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531" documentId="8_{F39292A8-3C47-4D37-98A0-70F2C0F84FEC}" xr6:coauthVersionLast="36" xr6:coauthVersionMax="36" xr10:uidLastSave="{DCE65A0E-709C-47BD-AF6F-636100FDF58F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<sst xmlns="http://schemas.openxmlformats.org/spreadsheetml/2006/main" count="1440" uniqueCount="823">
  <si>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</si>
  <si>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</si>
  <si>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</si>
  <si>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</si>
  <si>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</si>
  <si>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</si>
  <si>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</si>
  <si>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</si>
  <si>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</si>
  <si>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</si>
  <si>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</si>
  <si>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</si>
  <si>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</si>
  <si>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</si>
  <si>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</si>
  <si>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</si>
  <si>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</si>
  <si>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</si>
  <si>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</si>
  <si>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</si>
  <si>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</si>
  <si>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</si>
  <si>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</si>
  <si>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</si>
  <si>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</si>
  <si>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</si>
  <si>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</si>
  <si>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</si>
  <si>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</si>
  <si>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</si>
  <si>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</si>
  <si>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</si>
  <si>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</si>
  <si>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</si>
  <si>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</si>
  <si>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</si>
  <si>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</si>
  <si>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</si>
  <si>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</si>
  <si>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</si>
  <si>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</si>
  <si>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</si>
  <si>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</si>
  <si>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</si>
  <si>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</si>
  <si>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</si>
  <si>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</si>
  <si>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</si>
  <si>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</si>
  <si>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</si>
  <si>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</si>
  <si>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</si>
  <si>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</si>
  <si>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</si>
  <si>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</si>
  <si>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</si>
  <si>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</si>
  <si>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</si>
  <si>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</si>
  <si>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</si>
  <si>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</si>
  <si>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</si>
  <si>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</si>
  <si>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</si>
  <si>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</si>
  <si>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</si>
  <si>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</si>
  <si>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</si>
  <si>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</si>
  <si>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</si>
  <si>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</si>
  <si>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</si>
  <si>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</si>
  <si>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</si>
  <si>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</si>
  <si>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</si>
  <si>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</si>
  <si>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</si>
  <si>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</si>
  <si>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</si>
  <si>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</si>
  <si>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</si>
  <si>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</si>
  <si>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</si>
  <si>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</si>
  <si>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</si>
  <si>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</si>
  <si>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</si>
  <si>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</si>
  <si>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</si>
  <si>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</si>
  <si>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</si>
  <si>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</si>
  <si>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</si>
  <si>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</si>
  <si>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</si>
  <si>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</si>
  <si>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</si>
  <si>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</si>
  <si>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</si>
  <si>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</si>
  <si>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</si>
  <si>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</si>
  <si>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</si>
  <si>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</si>
  <si>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</si>
  <si>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</si>
  <si>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</si>
  <si>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</si>
  <si>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</si>
  <si>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</si>
  <si>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</si>
  <si>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</si>
  <si>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</si>
  <si>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</si>
  <si>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</si>
  <si>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</si>
  <si>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</si>
  <si>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</si>
  <si>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</si>
  <si>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</si>
  <si>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</si>
  <si>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</si>
  <si>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</si>
  <si>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</si>
  <si>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</si>
  <si>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</si>
  <si>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</si>
  <si>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</si>
  <si>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</si>
  <si>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</si>
  <si>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</si>
  <si>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</si>
  <si>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</si>
  <si>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</si>
  <si>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</si>
  <si>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</si>
  <si>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</si>
  <si>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</si>
  <si>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</si>
  <si>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</si>
  <si>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</si>
  <si>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</si>
  <si>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</si>
  <si>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</si>
  <si>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</si>
  <si>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</si>
  <si>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</si>
  <si>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</si>
  <si>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</si>
  <si>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</si>
  <si>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</si>
  <si>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</si>
  <si>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</si>
  <si>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</si>
  <si>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</si>
  <si>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</si>
  <si>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</si>
  <si>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</si>
  <si>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</si>
  <si>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</si>
  <si>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</si>
  <si>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</si>
  <si>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</si>
  <si>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</si>
  <si>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</si>
  <si>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</si>
  <si>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</si>
  <si>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</si>
  <si>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</si>
  <si>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</si>
  <si>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</si>
  <si>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</si>
  <si>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</si>
  <si>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</si>
  <si>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</si>
  <si>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</si>
  <si>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</si>
  <si>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</si>
  <si>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</si>
  <si>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</si>
  <si>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</si>
  <si>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</si>
  <si>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</si>
  <si>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</si>
  <si>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</si>
  <si>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</si>
  <si>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</si>
  <si>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</si>
  <si>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</si>
  <si>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</si>
  <si>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</si>
  <si>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</si>
  <si>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</si>
  <si>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</si>
  <si>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</si>
  <si>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</si>
  <si>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</si>
  <si>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</si>
  <si>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</si>
  <si>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</si>
  <si>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</si>
  <si>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</si>
  <si>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</si>
  <si>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</si>
  <si>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</si>
  <si>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</si>
  <si>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</si>
  <si>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</si>
  <si>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</si>
  <si>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</si>
  <si>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</si>
  <si>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</si>
  <si>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</si>
  <si>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</si>
  <si>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</si>
  <si>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</si>
  <si>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</si>
  <si>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</si>
  <si>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</si>
  <si>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</si>
  <si>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</si>
  <si>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</si>
  <si>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</si>
  <si>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</si>
  <si>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</si>
  <si>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</si>
  <si>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</si>
  <si>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</si>
  <si>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</si>
  <si>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</si>
  <si>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</si>
  <si>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</si>
  <si>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</si>
  <si>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</si>
  <si>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</si>
  <si>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</si>
  <si>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</si>
  <si>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</si>
  <si>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</si>
  <si>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</si>
  <si>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</si>
  <si>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</si>
  <si>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</si>
  <si>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</si>
  <si>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</si>
  <si>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</si>
  <si>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</si>
  <si>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</si>
  <si>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</si>
  <si>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</si>
  <si>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</si>
  <si>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</si>
  <si>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</si>
  <si>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</si>
  <si>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</si>
  <si>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</si>
  <si>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</si>
  <si>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</si>
  <si>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</si>
  <si>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</si>
  <si>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</si>
  <si>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</si>
  <si>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</si>
  <si>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</si>
  <si>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</si>
  <si>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</si>
  <si>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</si>
  <si>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</si>
  <si>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</si>
  <si>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</si>
  <si>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</si>
  <si>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</si>
  <si>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</si>
  <si>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</si>
  <si>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</si>
  <si>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</si>
  <si>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</si>
  <si>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</si>
  <si>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</si>
  <si>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</si>
  <si>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</si>
  <si>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</si>
  <si>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</si>
  <si>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</si>
  <si>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</si>
  <si>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</si>
  <si>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</si>
  <si>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</si>
  <si>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</si>
  <si>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</si>
  <si>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</si>
  <si>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</si>
  <si>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</si>
  <si>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</si>
  <si>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</si>
  <si>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</si>
  <si>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</si>
  <si>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</si>
  <si>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</si>
  <si>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</si>
  <si>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</si>
  <si>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</si>
  <si>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</si>
  <si>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</si>
  <si>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</si>
  <si>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</si>
  <si>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</si>
  <si>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</si>
  <si>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</si>
  <si>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</si>
  <si>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</si>
  <si>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</si>
  <si>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</si>
  <si>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</si>
  <si>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</si>
  <si>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</si>
  <si>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</si>
  <si>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</si>
  <si>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</si>
  <si>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</si>
  <si>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</si>
  <si>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</si>
  <si>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</si>
  <si>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</si>
  <si>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</si>
  <si>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</si>
  <si>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</si>
  <si>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</si>
  <si>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</si>
  <si>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</si>
  <si>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</si>
  <si>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</si>
  <si>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</si>
  <si>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</si>
  <si>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</si>
  <si>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</si>
  <si>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</si>
  <si>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</si>
  <si>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</si>
  <si>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</si>
  <si>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</si>
  <si>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</si>
  <si>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</si>
  <si>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</si>
  <si>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</si>
  <si>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</si>
  <si>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</si>
  <si>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</si>
  <si>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</si>
  <si>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</si>
  <si>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</si>
  <si>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</si>
  <si>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</si>
  <si>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</si>
  <si>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</si>
  <si>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</si>
  <si>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</si>
  <si>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</si>
  <si>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</si>
  <si>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</si>
  <si>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</si>
  <si>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</si>
  <si>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</si>
  <si>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</si>
  <si>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</si>
  <si>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</si>
  <si>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</si>
  <si>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</si>
  <si>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</si>
  <si>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</si>
  <si>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</si>
  <si>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</si>
  <si>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</si>
  <si>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</si>
  <si>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</si>
  <si>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</si>
  <si>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</si>
  <si>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</si>
  <si>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</si>
  <si>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</si>
  <si>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</si>
  <si>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</si>
  <si>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</si>
  <si>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</si>
  <si>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</si>
  <si>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</si>
  <si>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</si>
  <si>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</si>
  <si>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</si>
  <si>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</si>
  <si>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</si>
  <si>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</si>
  <si>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</si>
  <si>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</si>
  <si>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</si>
  <si>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</si>
  <si>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</si>
  <si>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</si>
  <si>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</si>
  <si>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</si>
  <si>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</si>
  <si>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</si>
  <si>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</si>
  <si>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</si>
  <si>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</si>
  <si>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</si>
  <si>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</si>
  <si>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</si>
  <si>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</si>
  <si>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</si>
  <si>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</si>
  <si>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</si>
  <si>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</si>
  <si>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</si>
  <si>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</si>
  <si>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</si>
  <si>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</si>
  <si>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</si>
  <si>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</si>
  <si>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</si>
  <si>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</si>
  <si>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</si>
  <si>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</si>
  <si>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</si>
  <si>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</si>
  <si>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</si>
  <si>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</si>
  <si>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</si>
  <si>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</si>
  <si>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</si>
  <si>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</si>
  <si>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</si>
  <si>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</si>
  <si>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</si>
  <si>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</si>
  <si>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</si>
  <si>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</si>
  <si>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</si>
  <si>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</si>
  <si>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</si>
  <si>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</si>
  <si>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</si>
  <si>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</si>
  <si>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</si>
  <si>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</si>
  <si>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</si>
  <si>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</si>
  <si>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</si>
  <si>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</si>
  <si>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</si>
  <si>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</si>
  <si>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</si>
  <si>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</si>
  <si>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</si>
  <si>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</si>
  <si>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</si>
  <si>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</si>
  <si>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</si>
  <si>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</si>
  <si>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</si>
  <si>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</si>
  <si>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</si>
  <si>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</si>
  <si>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</si>
  <si>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</si>
  <si>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</si>
  <si>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</si>
  <si>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</si>
  <si>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</si>
  <si>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</si>
  <si>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</si>
  <si>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</si>
  <si>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</si>
  <si>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</si>
  <si>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</si>
  <si>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</si>
  <si>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</si>
  <si>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</si>
  <si>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</si>
  <si>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</si>
  <si>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</si>
  <si>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</si>
  <si>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</si>
  <si>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</si>
  <si>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</si>
  <si>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</si>
  <si>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</si>
  <si>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</si>
  <si>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</si>
  <si>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</si>
  <si>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</si>
  <si>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</si>
  <si>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</si>
  <si>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</si>
  <si>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</si>
  <si>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</si>
  <si>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</si>
  <si>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</si>
  <si>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</si>
  <si>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</si>
  <si>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</si>
  <si>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</si>
  <si>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</si>
  <si>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</si>
  <si>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</si>
  <si>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</si>
  <si>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</si>
  <si>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</si>
  <si>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</si>
  <si>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</si>
  <si>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</si>
  <si>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</si>
  <si>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</si>
  <si>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</si>
  <si>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</si>
  <si>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</si>
  <si>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</si>
  <si>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</si>
  <si>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</si>
  <si>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</si>
  <si>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</si>
  <si>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</si>
  <si>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</si>
  <si>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</si>
  <si>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</si>
  <si>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</si>
  <si>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</si>
  <si>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</si>
  <si>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</si>
  <si>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</si>
  <si>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</si>
  <si>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</si>
  <si>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</si>
  <si>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</si>
  <si>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</si>
  <si>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</si>
  <si>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</si>
  <si>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</si>
  <si>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</si>
  <si>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</si>
  <si>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</si>
  <si>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</si>
  <si>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</si>
  <si>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</si>
  <si>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</si>
  <si>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</si>
  <si>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</si>
  <si>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</si>
  <si>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</si>
  <si>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</si>
  <si>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</si>
  <si>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</si>
  <si>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</si>
  <si>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</si>
  <si>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</si>
  <si>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</si>
  <si>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</si>
  <si>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</si>
  <si>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</si>
  <si>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</si>
  <si>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</si>
  <si>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</si>
  <si>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</si>
  <si>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</si>
  <si>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</si>
  <si>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</si>
  <si>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</si>
  <si>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</si>
  <si>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</si>
  <si>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</si>
  <si>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</si>
  <si>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</si>
  <si>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</si>
  <si>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</si>
  <si>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</si>
  <si>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</si>
  <si>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</si>
  <si>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</si>
  <si>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</si>
  <si>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</si>
  <si>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</si>
  <si>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</si>
  <si>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</si>
  <si>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</si>
  <si>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</si>
  <si>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</si>
  <si>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</si>
  <si>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</si>
  <si>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</si>
  <si>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</si>
  <si>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</si>
  <si>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</si>
  <si>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</si>
  <si>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</si>
  <si>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</si>
  <si>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</si>
  <si>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</si>
  <si>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</si>
  <si>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</si>
  <si>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</si>
  <si>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</si>
  <si>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</si>
  <si>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</si>
  <si>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</si>
  <si>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</si>
  <si>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</si>
  <si>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</si>
  <si>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</si>
  <si>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</si>
  <si>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</si>
  <si>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</si>
  <si>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</si>
  <si>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</si>
  <si>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</si>
  <si>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</si>
  <si>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</si>
  <si>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</si>
  <si>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</si>
  <si>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</si>
  <si>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</si>
  <si>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</si>
  <si>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</si>
  <si>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</si>
  <si>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</si>
  <si>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</si>
  <si>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</si>
  <si>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</si>
  <si>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</si>
  <si>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</si>
  <si>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</si>
  <si>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</si>
  <si>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</si>
  <si>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</si>
  <si>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</si>
  <si>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</si>
  <si>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</si>
  <si>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</si>
  <si>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</si>
  <si>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</si>
  <si>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</si>
  <si>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</si>
  <si>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</si>
  <si>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</si>
  <si>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</si>
  <si>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</si>
  <si>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</si>
  <si>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</si>
  <si>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</si>
  <si>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</si>
  <si>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</si>
  <si>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</si>
  <si>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</si>
  <si>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</si>
  <si>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</si>
  <si>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</si>
  <si>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</si>
  <si>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</si>
  <si>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</si>
  <si>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</si>
  <si>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</si>
  <si>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</si>
  <si>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</si>
  <si>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</si>
  <si>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</si>
  <si>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</si>
  <si>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</si>
  <si>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</si>
  <si>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</si>
  <si>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</si>
  <si>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</si>
  <si>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</si>
  <si>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</si>
  <si>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</si>
  <si>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</si>
  <si>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</si>
  <si>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</si>
  <si>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</si>
  <si>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</si>
  <si>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</si>
  <si>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</si>
  <si>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</si>
  <si>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</si>
  <si>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</si>
  <si>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</si>
  <si>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</si>
  <si>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</si>
  <si>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</si>
  <si>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</si>
  <si>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</si>
  <si>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</si>
  <si>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</si>
  <si>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</si>
  <si>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</si>
  <si>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</si>
  <si>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</si>
  <si>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</si>
  <si>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</si>
  <si>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</si>
  <si>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</si>
  <si>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</si>
  <si>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</si>
  <si>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</si>
  <si>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</si>
  <si>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</si>
  <si>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</si>
  <si>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</si>
  <si>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</si>
  <si>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</si>
  <si>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</si>
  <si>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</si>
  <si>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</si>
  <si>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</si>
  <si>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</si>
  <si>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</si>
  <si>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</si>
  <si>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</si>
  <si>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</si>
  <si>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</si>
  <si>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</si>
  <si>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</si>
  <si>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</si>
  <si>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</si>
  <si>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</si>
  <si>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</si>
  <si>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</si>
  <si>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</si>
  <si>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</si>
  <si>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</si>
  <si>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</si>
  <si>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</si>
  <si>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</si>
  <si>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</si>
  <si>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</si>
  <si>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</si>
  <si>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</si>
  <si>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</si>
  <si>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</si>
  <si>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</si>
  <si>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</si>
  <si>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</si>
  <si>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</si>
  <si>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</si>
  <si>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</si>
  <si>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</si>
  <si>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</si>
  <si>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</si>
  <si>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</si>
  <si>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</si>
  <si>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</si>
  <si>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</si>
  <si>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</si>
  <si>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</si>
  <si>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</si>
  <si>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</si>
  <si>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</si>
  <si>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</si>
  <si>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</si>
  <si>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</si>
  <si>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</si>
  <si>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</si>
  <si>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</si>
  <si>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</si>
  <si>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</si>
  <si>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</si>
  <si>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</si>
  <si>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</si>
  <si>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</si>
  <si>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</si>
  <si>
    <t>Darwin Initiative Main — Round 32</t>
  </si>
  <si>
    <t>UK Department for Environment, Food &amp; Rural Affairs — Defra</t>
  </si>
  <si>
    <t>2-5 años</t>
  </si>
  <si>
    <t>Investigador establecido; equipo interdisciplinario</t>
  </si>
  <si>
    <t>Institución académica; ONG; entidad pública o privada registrada</t>
  </si>
  <si>
    <t>Países y hotspots elegibles; República Dominicana e Islas del Caribe</t>
  </si>
  <si>
    <t>Conservación de biodiversidad y reducción multidimensional de la pobreza</t>
  </si>
  <si>
    <t>biodiversidad; conservación; restauración; comunidades; pobreza; escalamiento; Caribe</t>
  </si>
  <si>
    <t>Financia proyectos grandes, basados en evidencia y con potencial de escala, que produzcan resultados simultáneos para la conservación de la biodiversidad y la reducción de la pobreza.</t>
  </si>
  <si>
    <t>UNPHU puede postular como organización líder. República Dominicana figura como país elegible dentro del hotspot Islas del Caribe; por ser país UMIC debe justificarse especialmente la necesidad del financiamiento y el beneficio a población vulnerable.</t>
  </si>
  <si>
    <t>Etapa 1: nota conceptual. Cierre 20/07/2026 a las 23:59 BST (18:59 AST). Solo una solicitud líder por organización y esquema. Inicio previsto desde abril de 2027.</t>
  </si>
  <si>
    <t>https://www.darwininitiative.org.uk/how-to-apply/main-applications/</t>
  </si>
  <si>
    <t>https://pivot.proquest.com/funding_opps/00d28df5-0db9-4812-8c68-d1d75de8f0f3</t>
  </si>
  <si>
    <t>UK Defra / NIRAS Biodiversity Challenge Funds</t>
  </si>
  <si>
    <t>Referencia de búsqueda BIO-2026-002. La ficha Pivot del adjunto contenía datos de una edición anterior; usar los datos oficiales de Round 32.</t>
  </si>
  <si>
    <t>Darwin Initiative Capability &amp; Capacity — Round 32</t>
  </si>
  <si>
    <t>Investigador establecido; especialista en fortalecimiento institucional</t>
  </si>
  <si>
    <t>Institución académica; instituto de investigación; ONG; entidad pública</t>
  </si>
  <si>
    <t>Fortalecimiento de capacidades institucionales para la conservación</t>
  </si>
  <si>
    <t>biodiversidad; formación; gobernanza; redes; capacidades locales; pobreza; Caribe</t>
  </si>
  <si>
    <t>Apoya proyectos que desarrollen la capacidad de organizaciones locales y nacionales para producir impactos sostenibles en conservación de biodiversidad y reducción de pobreza.</t>
  </si>
  <si>
    <t>UNPHU puede participar como organización local, entidad líder o institución beneficiaria, siempre que el proyecto contribuya a abordar la pérdida de biodiversidad y la pobreza dentro del hotspot elegible.</t>
  </si>
  <si>
    <t>Proceso de una sola etapa. Cierre 31/08/2026 a las 23:59 BST (18:59 AST). Duración máxima de tres años; inicio previsto desde abril de 2027.</t>
  </si>
  <si>
    <t>https://www.darwininitiative.org.uk/how-to-apply/capability-capacity-applications/</t>
  </si>
  <si>
    <t>Conservation, Food &amp; Health Foundation — Conservation Grants</t>
  </si>
  <si>
    <t>Conservation, Food &amp; Health Foundation</t>
  </si>
  <si>
    <t>Investigador emergente; investigador establecido</t>
  </si>
  <si>
    <t>Institución académica; ONG; organización sin fines de lucro</t>
  </si>
  <si>
    <t>Caribe, América Latina, África, Asia y Medio Oriente</t>
  </si>
  <si>
    <t>Conservación e investigación aplicada</t>
  </si>
  <si>
    <t>biodiversidad; recursos naturales; cambio climático; comunidades; capacidades; políticas</t>
  </si>
  <si>
    <t>Apoya investigación de campo, proyectos piloto y acciones aplicadas que generen soluciones locales y vinculen científicos, comunidades, organizaciones y responsables de políticas.</t>
  </si>
  <si>
    <t>Las universidades son elegibles si demuestran finalidad no gubernamental o benéfica. República Dominicana es elegible como país del Caribe.</t>
  </si>
  <si>
    <t>La próxima ventana para conceptos abre el 15/10/2026 y cierra el 22/12/2026. No existen límites formales; la mayoría de las subvenciones se sitúa entre USD 25,000 y 50,000 por año. Solo una propuesta por organización y año; no cubre overhead.</t>
  </si>
  <si>
    <t>https://cfhfoundation.grantsmanagement08.com/</t>
  </si>
  <si>
    <t>Conservation, Food &amp; Health Foundation / GMA Foundations</t>
  </si>
  <si>
    <t>FY 2024–2026 Broad Agency Announcement for the Office of Education</t>
  </si>
  <si>
    <t>National Oceanic and Atmospheric Administration — NOAA</t>
  </si>
  <si>
    <t>Investigador emergente; investigador establecido; equipo interdisciplinario</t>
  </si>
  <si>
    <t>Institución académica; ONG; empresa; gobierno; organización extranjera</t>
  </si>
  <si>
    <t>Biodiversidad marina, ecosistemas costeros, clima y educación</t>
  </si>
  <si>
    <t>océanos saludables; hábitats; biodiversidad marina; costas resilientes; cambio climático; educación</t>
  </si>
  <si>
    <t>Broad Agency Announcement para investigación, educación, divulgación y proyectos innovadores vinculados con los objetivos estratégicos de NOAA.</t>
  </si>
  <si>
    <t>Las instituciones de educación superior y organizaciones extranjeras son elegibles, siempre que NOAA disponga de autoridad legal para financiar la actividad propuesta.</t>
  </si>
  <si>
    <t>Cierre 30/09/2026 a las 23:59 ET. Financiamiento sujeto a disponibilidad presupuestaria. Conviene consultar previamente a la oficina programática y completar los registros federales requeridos.</t>
  </si>
  <si>
    <t>https://www.grants.gov/search-results-detail/356002</t>
  </si>
  <si>
    <t>https://pivot.proquest.com/funding_opps/1b3a4403-d139-491a-aae6-f2f1552f7976</t>
  </si>
  <si>
    <t>NOAA Office of Education / U.S. Department of Commerce</t>
  </si>
  <si>
    <t>2026-051</t>
  </si>
  <si>
    <t>2026-052</t>
  </si>
  <si>
    <t>2026-053</t>
  </si>
  <si>
    <t>2026-054</t>
  </si>
  <si>
    <t>Muy buen encaje institucional para UNPHU; coordinar internamente porque solo se permite una solicitud líder por esquema.</t>
  </si>
  <si>
    <t xml:space="preserve"> Utilizar el identificador oficial NOAA-SEC-OED-2024-28060 y no confundir con otros BAA de NOAA.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</si>
</sst>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E49" workbookViewId="0">
      <selection activeCell="I54" sqref="I54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 ht="85.5">
      <c r="A52" s="3" t="s">
        <v>817</v>
      </c>
      <c r="B52" s="4" t="s">
        <v>42</v>
      </c>
      <c r="C52" s="4" t="s">
        <v>769</v>
      </c>
      <c r="D52" s="4" t="s">
        <v>770</v>
      </c>
      <c r="E52" s="4" t="s">
        <v>47</v>
      </c>
      <c r="F52" s="4" t="s">
        <v>202</v>
      </c>
      <c r="G52" s="6">
        <v>46223</v>
      </c>
      <c r="H52" s="4" t="s">
        <v>33</v>
      </c>
      <c r="I52" s="4" t="s">
        <v>57</v>
      </c>
      <c r="J52" s="4" t="s">
        <v>35</v>
      </c>
      <c r="K52" s="4" t="str">
        <f t="shared" ca="1" si="1"/>
        <v>Próxima a vencer</v>
      </c>
      <c r="L52" s="8">
        <v>200000</v>
      </c>
      <c r="M52" s="8">
        <v>1000000</v>
      </c>
      <c r="N52" s="4" t="s">
        <v>59</v>
      </c>
      <c r="O52" s="4" t="s">
        <v>771</v>
      </c>
      <c r="P52" s="4" t="s">
        <v>37</v>
      </c>
      <c r="Q52" s="4" t="s">
        <v>772</v>
      </c>
      <c r="R52" s="4" t="s">
        <v>773</v>
      </c>
      <c r="S52" s="4" t="s">
        <v>774</v>
      </c>
      <c r="T52" s="4" t="s">
        <v>40</v>
      </c>
      <c r="U52" s="4" t="s">
        <v>775</v>
      </c>
      <c r="V52" s="4" t="s">
        <v>776</v>
      </c>
      <c r="W52" s="4" t="s">
        <v>777</v>
      </c>
      <c r="X52" s="4" t="s">
        <v>778</v>
      </c>
      <c r="Y52" s="4" t="s">
        <v>779</v>
      </c>
      <c r="Z52" s="4" t="s">
        <v>780</v>
      </c>
      <c r="AA52" s="4" t="s">
        <v>781</v>
      </c>
      <c r="AB52" s="6">
        <v>46223</v>
      </c>
      <c r="AC52" s="4" t="s">
        <v>782</v>
      </c>
      <c r="AD52" s="4" t="s">
        <v>783</v>
      </c>
    </row>
    <row r="53" spans="1:30" ht="71.25">
      <c r="A53" s="3" t="s">
        <v>818</v>
      </c>
      <c r="B53" s="4" t="s">
        <v>42</v>
      </c>
      <c r="C53" s="4" t="s">
        <v>784</v>
      </c>
      <c r="D53" s="4" t="s">
        <v>770</v>
      </c>
      <c r="E53" s="4" t="s">
        <v>47</v>
      </c>
      <c r="F53" s="4" t="s">
        <v>202</v>
      </c>
      <c r="G53" s="6">
        <v>46265</v>
      </c>
      <c r="H53" s="4" t="s">
        <v>33</v>
      </c>
      <c r="I53" s="4" t="s">
        <v>34</v>
      </c>
      <c r="J53" s="4" t="s">
        <v>35</v>
      </c>
      <c r="K53" s="4" t="str">
        <f t="shared" ca="1" si="1"/>
        <v>Abierta</v>
      </c>
      <c r="L53" s="8">
        <v>75000</v>
      </c>
      <c r="M53" s="8">
        <v>250000</v>
      </c>
      <c r="N53" s="4" t="s">
        <v>59</v>
      </c>
      <c r="O53" s="4" t="s">
        <v>533</v>
      </c>
      <c r="P53" s="4" t="s">
        <v>72</v>
      </c>
      <c r="Q53" s="4" t="s">
        <v>785</v>
      </c>
      <c r="R53" s="4" t="s">
        <v>786</v>
      </c>
      <c r="S53" s="4" t="s">
        <v>774</v>
      </c>
      <c r="T53" s="4" t="s">
        <v>40</v>
      </c>
      <c r="U53" s="4" t="s">
        <v>787</v>
      </c>
      <c r="V53" s="4" t="s">
        <v>788</v>
      </c>
      <c r="W53" s="4" t="s">
        <v>789</v>
      </c>
      <c r="X53" s="4" t="s">
        <v>790</v>
      </c>
      <c r="Y53" s="4" t="s">
        <v>791</v>
      </c>
      <c r="Z53" s="4" t="s">
        <v>792</v>
      </c>
      <c r="AA53" s="4"/>
      <c r="AB53" s="6">
        <v>46223</v>
      </c>
      <c r="AC53" s="4" t="s">
        <v>782</v>
      </c>
      <c r="AD53" s="4" t="s">
        <v>821</v>
      </c>
    </row>
    <row r="54" spans="1:30" ht="85.5">
      <c r="A54" s="3" t="s">
        <v>819</v>
      </c>
      <c r="B54" s="4" t="s">
        <v>42</v>
      </c>
      <c r="C54" s="4" t="s">
        <v>793</v>
      </c>
      <c r="D54" s="4" t="s">
        <v>794</v>
      </c>
      <c r="E54" s="4" t="s">
        <v>31</v>
      </c>
      <c r="F54" s="4" t="s">
        <v>32</v>
      </c>
      <c r="G54" s="6">
        <v>46378</v>
      </c>
      <c r="H54" s="4" t="s">
        <v>33</v>
      </c>
      <c r="I54" s="4" t="s">
        <v>49</v>
      </c>
      <c r="J54" s="4" t="s">
        <v>64</v>
      </c>
      <c r="K54" s="4" t="str">
        <f t="shared" ca="1" si="1"/>
        <v>Pendiente Apertura</v>
      </c>
      <c r="L54" s="8"/>
      <c r="M54" s="8"/>
      <c r="N54" s="4" t="s">
        <v>36</v>
      </c>
      <c r="O54" s="4" t="s">
        <v>188</v>
      </c>
      <c r="P54" s="4" t="s">
        <v>37</v>
      </c>
      <c r="Q54" s="4" t="s">
        <v>795</v>
      </c>
      <c r="R54" s="4" t="s">
        <v>796</v>
      </c>
      <c r="S54" s="4" t="s">
        <v>797</v>
      </c>
      <c r="T54" s="4" t="s">
        <v>40</v>
      </c>
      <c r="U54" s="4" t="s">
        <v>798</v>
      </c>
      <c r="V54" s="4" t="s">
        <v>799</v>
      </c>
      <c r="W54" s="4" t="s">
        <v>800</v>
      </c>
      <c r="X54" s="4" t="s">
        <v>801</v>
      </c>
      <c r="Y54" s="4" t="s">
        <v>802</v>
      </c>
      <c r="Z54" s="4" t="s">
        <v>803</v>
      </c>
      <c r="AA54" s="4"/>
      <c r="AB54" s="6">
        <v>46223</v>
      </c>
      <c r="AC54" s="4" t="s">
        <v>804</v>
      </c>
      <c r="AD54" s="4"/>
    </row>
    <row r="55" spans="1:30" ht="71.25">
      <c r="A55" s="3" t="s">
        <v>820</v>
      </c>
      <c r="B55" s="4" t="s">
        <v>42</v>
      </c>
      <c r="C55" s="4" t="s">
        <v>805</v>
      </c>
      <c r="D55" s="4" t="s">
        <v>806</v>
      </c>
      <c r="E55" s="4" t="s">
        <v>47</v>
      </c>
      <c r="F55" s="4" t="s">
        <v>32</v>
      </c>
      <c r="G55" s="6">
        <v>46295</v>
      </c>
      <c r="H55" s="4" t="s">
        <v>33</v>
      </c>
      <c r="I55" s="4" t="s">
        <v>34</v>
      </c>
      <c r="J55" s="4" t="s">
        <v>35</v>
      </c>
      <c r="K55" s="4" t="str">
        <f t="shared" ca="1" si="1"/>
        <v>Abierta</v>
      </c>
      <c r="L55" s="8"/>
      <c r="M55" s="8"/>
      <c r="N55" s="4" t="s">
        <v>36</v>
      </c>
      <c r="O55" s="4" t="s">
        <v>387</v>
      </c>
      <c r="P55" s="4" t="s">
        <v>37</v>
      </c>
      <c r="Q55" s="4" t="s">
        <v>807</v>
      </c>
      <c r="R55" s="4" t="s">
        <v>808</v>
      </c>
      <c r="S55" s="4" t="s">
        <v>663</v>
      </c>
      <c r="T55" s="4" t="s">
        <v>40</v>
      </c>
      <c r="U55" s="4" t="s">
        <v>809</v>
      </c>
      <c r="V55" s="4" t="s">
        <v>810</v>
      </c>
      <c r="W55" s="4" t="s">
        <v>811</v>
      </c>
      <c r="X55" s="4" t="s">
        <v>812</v>
      </c>
      <c r="Y55" s="4" t="s">
        <v>813</v>
      </c>
      <c r="Z55" s="4" t="s">
        <v>814</v>
      </c>
      <c r="AA55" s="4" t="s">
        <v>815</v>
      </c>
      <c r="AB55" s="6">
        <v>46223</v>
      </c>
      <c r="AC55" s="4" t="s">
        <v>816</v>
      </c>
      <c r="AD55" s="4" t="s">
        <v>822</v>
      </c>
    </row>
    <row r="56" spans="1:30">
      <c r="A56" s="4" t="str">
        <f t="shared" ref="A52:A64" si="2">IF(C56="","","OP-"&amp;TEXT(ROW()-1,"0000"))</f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1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2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1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2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1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2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1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2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1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2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1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2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1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2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1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2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1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ref="A65:A128" si="3">IF(C65="","","OP-"&amp;TEXT(ROW()-1,"0000"))</f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1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3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1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si="3"/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1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1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1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1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1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4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4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4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5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5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5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6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7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6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7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6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7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8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9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8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9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8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9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10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1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10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1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10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1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2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3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2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3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2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3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4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5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4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5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4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5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6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7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6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7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6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7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9" sqref="J9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2026-07-20T14:52:48Z</dcterms:modified>
</cp:coreProperties>
</file>