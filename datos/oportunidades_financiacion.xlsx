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27" documentId="13_ncr:1_{E27D3A06-FCD8-43D9-8829-1AF8D3BEB877}" xr6:coauthVersionLast="36" xr6:coauthVersionMax="36" xr10:uidLastSave="{AD02B6A1-C2A8-4DF2-AE4B-89787D220183}"/>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19" i="1" l="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8" i="1"/>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K17" i="1"/>
  <c r="K16" i="1"/>
  <c r="K15" i="1"/>
  <c r="K14" i="1"/>
  <c r="K13" i="1"/>
  <c r="K12" i="1"/>
  <c r="K11" i="1"/>
  <c r="K10" i="1"/>
  <c r="K9" i="1"/>
  <c r="K8" i="1"/>
  <c r="K7" i="1"/>
  <c r="K6" i="1"/>
  <c r="K5" i="1"/>
  <c r="K4" i="1"/>
  <c r="K3" i="1"/>
  <c r="K2" i="1"/>
  <c r="Z20" i="1"/>
  <c r="Z19" i="1"/>
  <c r="Z18" i="1"/>
  <c r="Z17" i="1"/>
</calcChain>
</file>

<file path=xl/sharedStrings.xml><?xml version="1.0" encoding="utf-8"?>
<sst xmlns="http://schemas.openxmlformats.org/spreadsheetml/2006/main" count="2328" uniqueCount="1312">
  <si>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</si>
  <si>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</si>
  <si>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</si>
  <si>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</si>
  <si>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</si>
  <si>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</si>
  <si>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</si>
  <si>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</si>
  <si>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</si>
  <si>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</si>
  <si>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</si>
  <si>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</si>
  <si>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</si>
  <si>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</si>
  <si>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</si>
  <si>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</si>
  <si>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</si>
  <si>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</si>
  <si>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</si>
  <si>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</si>
  <si>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</si>
  <si>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</si>
  <si>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</si>
  <si>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</si>
  <si>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</si>
  <si>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</si>
  <si>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</si>
  <si>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</si>
  <si>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</si>
  <si>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</si>
  <si>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No</t>
  </si>
  <si>
    <t>Fundación privada</t>
  </si>
  <si>
    <t>Estados Unidos</t>
  </si>
  <si>
    <t>Confirmada</t>
  </si>
  <si>
    <t>Propuesta completa</t>
  </si>
  <si>
    <t>Abierta</t>
  </si>
  <si>
    <t>USD</t>
  </si>
  <si>
    <t>Proyecto de investigación</t>
  </si>
  <si>
    <t>Investigador emergente; Investigador establecido</t>
  </si>
  <si>
    <t>Institución académica; ONG</t>
  </si>
  <si>
    <t>Sin restricción</t>
  </si>
  <si>
    <t>IA; aprendizaje automático; innovación</t>
  </si>
  <si>
    <t>Sí</t>
  </si>
  <si>
    <t>Gobierno nacional</t>
  </si>
  <si>
    <t>Expresión de interés</t>
  </si>
  <si>
    <t>Estudiante de grado</t>
  </si>
  <si>
    <t>Institución académica</t>
  </si>
  <si>
    <t>Gobierno internacional</t>
  </si>
  <si>
    <t>Anticipada</t>
  </si>
  <si>
    <t>Carta de intención</t>
  </si>
  <si>
    <t>Cerrada</t>
  </si>
  <si>
    <t>EUR</t>
  </si>
  <si>
    <t>Beca</t>
  </si>
  <si>
    <t>Estudiante de posgrado</t>
  </si>
  <si>
    <t>Empresa</t>
  </si>
  <si>
    <t>Organización internacional</t>
  </si>
  <si>
    <t>Continua</t>
  </si>
  <si>
    <t>Prepropuesta</t>
  </si>
  <si>
    <t>Suspendida</t>
  </si>
  <si>
    <t>GBP</t>
  </si>
  <si>
    <t>Premio</t>
  </si>
  <si>
    <t>Investigador emergente</t>
  </si>
  <si>
    <t>ONG</t>
  </si>
  <si>
    <t>Sin fecha</t>
  </si>
  <si>
    <t>En revisión</t>
  </si>
  <si>
    <t>DOP</t>
  </si>
  <si>
    <t>Fellowship / posdoctorado</t>
  </si>
  <si>
    <t>Investigador establecido</t>
  </si>
  <si>
    <t>Gobierno</t>
  </si>
  <si>
    <t>Empresa privada</t>
  </si>
  <si>
    <t>Solicitud</t>
  </si>
  <si>
    <t>CAD</t>
  </si>
  <si>
    <t>Capacitación</t>
  </si>
  <si>
    <t>Profesor</t>
  </si>
  <si>
    <t>Persona individual</t>
  </si>
  <si>
    <t>Nominación</t>
  </si>
  <si>
    <t>Otra</t>
  </si>
  <si>
    <t>Publicación / difusión</t>
  </si>
  <si>
    <t>Postdoctorado</t>
  </si>
  <si>
    <t>Consorcio</t>
  </si>
  <si>
    <t>Asociación profesional</t>
  </si>
  <si>
    <t>Cuestionario</t>
  </si>
  <si>
    <t>Innovación</t>
  </si>
  <si>
    <t>No aplica</t>
  </si>
  <si>
    <t>Otro</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</si>
  <si>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</si>
  <si>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</si>
  <si>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</si>
  <si>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</si>
  <si>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</si>
  <si>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</si>
  <si>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</si>
  <si>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</si>
  <si>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</si>
  <si>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</si>
  <si>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</si>
  <si>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</si>
  <si>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</si>
  <si>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</si>
  <si>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</si>
  <si>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</si>
  <si>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</si>
  <si>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</si>
  <si>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</si>
  <si>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</si>
  <si>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</si>
  <si>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</si>
  <si>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</si>
  <si>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</si>
  <si>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</si>
  <si>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</si>
  <si>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</si>
  <si>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</si>
  <si>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</si>
  <si>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</si>
  <si>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</si>
  <si>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</si>
  <si>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</si>
  <si>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</si>
  <si>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</si>
  <si>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</si>
  <si>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Si</t>
  </si>
  <si>
    <t>Vision Grants</t>
  </si>
  <si>
    <t>Spencer Foundation</t>
  </si>
  <si>
    <t>12-18 meses</t>
  </si>
  <si>
    <t>Planificacion de investigación</t>
  </si>
  <si>
    <t>Planificacion de 
investigación</t>
  </si>
  <si>
    <t>Multidisciplinar</t>
  </si>
  <si>
    <t>La propuesta debe ser administrada por una organización sin fines de lucro. UNPHU podría presentar institucionalmente.</t>
  </si>
  <si>
    <t>Formulario de intención: 12/08/2026. Propuesta completa: 16/09/2026.</t>
  </si>
  <si>
    <t>https://www.spencer.org/grant_types/vision-grants</t>
  </si>
  <si>
    <t>Amazon Web Services</t>
  </si>
  <si>
    <t>AWS Cloud Credit for Research</t>
  </si>
  <si>
    <t>Pais</t>
  </si>
  <si>
    <t>República Dominicana</t>
  </si>
  <si>
    <t>España</t>
  </si>
  <si>
    <t>sin limite</t>
  </si>
  <si>
    <t>12 meses</t>
  </si>
  <si>
    <t>Investigador afiliado a institución 
acreditada</t>
  </si>
  <si>
    <t>IA; Cloud; AWS</t>
  </si>
  <si>
    <t>Proporciona infraestructura en la nube para pruebas de concepto, procesamiento de datos, modelos de IA y herramientas científicas.</t>
  </si>
  <si>
    <t>Evaluación continua. La revisión puede tardar entre 90 y 120 días. No entrega efectivo</t>
  </si>
  <si>
    <t>https://aws.amazon.com/es/government-education/research-and-technical-computing/cloud-credit-for-research/?</t>
  </si>
  <si>
    <t>OpenAI</t>
  </si>
  <si>
    <t>OpenAI Researcher Access Program</t>
  </si>
  <si>
    <t>Créditos de API</t>
  </si>
  <si>
    <t>Investigadores, especialmente en etapas iniciales o con recursos limitados</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</si>
  <si>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</si>
  <si>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</si>
  <si>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</si>
  <si>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</si>
  <si>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</si>
  <si>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</si>
  <si>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</si>
  <si>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Puede financiar entrenamiento, despliegue, almacenamiento y experimentación del sistema adaptativo.</t>
  </si>
  <si>
    <t>Excelente para diseñar y validar un sistema de gamificación adaptativa para enseñanza de programación.</t>
  </si>
  <si>
    <t>FONDOCYT</t>
  </si>
  <si>
    <t>MESCyT</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</si>
  <si>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</si>
  <si>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</si>
  <si>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</si>
  <si>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</si>
  <si>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</si>
  <si>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https://mescyt.gob.do/wp-content/uploads/2026/03/Llamado-Convocatoria-FONDOCYT-2025-2026-2.pdf</t>
  </si>
  <si>
    <t>Preparar desde ahora la propuesta para el próximo ciclo.</t>
  </si>
  <si>
    <t>Google.org Generative AI Accelerator</t>
  </si>
  <si>
    <t>Google</t>
  </si>
  <si>
    <t>Empresa privada / filantropía corporativa</t>
  </si>
  <si>
    <t xml:space="preserve"> 6 meses</t>
  </si>
  <si>
    <t>Investigación, I+D+i; transferencia tecnológica</t>
  </si>
  <si>
    <t>Equipos de universidades, organizaciones sociales y empresas sociales</t>
  </si>
  <si>
    <t>Subvención, asistencia técnica y créditos Google Cloud</t>
  </si>
  <si>
    <t>Universidad, entidad cívica, ONG o empresa social</t>
  </si>
  <si>
    <t>Sin restriccion</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</si>
  <si>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</si>
  <si>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</si>
  <si>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</si>
  <si>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Para I+D+i y transferencia puede requerirse empresa asociada y aporte mínimo del 20 %</t>
  </si>
  <si>
    <t>Vigilar una nueva edición.</t>
  </si>
  <si>
    <t>https://impactchallenge.withgoogle.com/genaiaccelerator</t>
  </si>
  <si>
    <t>https://pivot.proquest.com/funding_opps/eab18edd-bc1f-4f00-b3ad-f2f1552f7976</t>
  </si>
  <si>
    <t>Presentar la solución como mejora medible del aprendizaje y de la empleabilidad digital.</t>
  </si>
  <si>
    <t>UNU-WIDER: IA y mercado laboral</t>
  </si>
  <si>
    <t>UNU-WIDER / Naciones Unidas</t>
  </si>
  <si>
    <t>Internacional</t>
  </si>
  <si>
    <t>24 meses</t>
  </si>
  <si>
    <t>Subvención de investigación</t>
  </si>
  <si>
    <t>Científicos sociales cuantitativos de carrera temprana</t>
  </si>
  <si>
    <t>Institución de investigación</t>
  </si>
  <si>
    <t>Internacional, con énfasis en países de ingresos bajos y medios</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</si>
  <si>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</si>
  <si>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</si>
  <si>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</si>
  <si>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</si>
  <si>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</si>
  <si>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</si>
  <si>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Encaje indirecto, pero viable como experimento sobre formación y empleabilidad.</t>
  </si>
  <si>
    <t>ARIA Mathematics for Safe AI</t>
  </si>
  <si>
    <t>Advanced Research + Invention Agency</t>
  </si>
  <si>
    <t>Reino Unido</t>
  </si>
  <si>
    <t>Individuo, universidad, empresa 
u organización</t>
  </si>
  <si>
    <t>Prioridad a UK</t>
  </si>
  <si>
    <t xml:space="preserve">IA generativa para aprendizaje </t>
  </si>
  <si>
    <t>IA; habilidades y mercado laboral</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</si>
  <si>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</si>
  <si>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</si>
  <si>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</si>
  <si>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https://aria.org.uk/funding-opportunities</t>
  </si>
  <si>
    <t>https://pivot.proquest.com/funding_opps/83ca791d-b275-4b81-9778-f2f1552f7976</t>
  </si>
  <si>
    <t>Solo recomendable con socio británico.</t>
  </si>
  <si>
    <t>Tecnologia; Medio Ambiente; Matematicas</t>
  </si>
  <si>
    <t>Van abriendo convocatorias durante año</t>
  </si>
  <si>
    <t>Google PhD Fellowship</t>
  </si>
  <si>
    <t>2026-001</t>
  </si>
  <si>
    <t>2026-002</t>
  </si>
  <si>
    <t>2026-003</t>
  </si>
  <si>
    <t>2026-004</t>
  </si>
  <si>
    <t>2026-005</t>
  </si>
  <si>
    <t>2026-006</t>
  </si>
  <si>
    <t>2026-007</t>
  </si>
  <si>
    <t>2026-008</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</si>
  <si>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</si>
  <si>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</si>
  <si>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</si>
  <si>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</si>
  <si>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</si>
  <si>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</si>
  <si>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</si>
  <si>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Abre cada año. estar atento</t>
  </si>
  <si>
    <t>2026-009</t>
  </si>
  <si>
    <t>Improving Capability Evaluations</t>
  </si>
  <si>
    <t>Open Philanthropy</t>
  </si>
  <si>
    <t>Investigadores de carrera
 temprana o consolidada</t>
  </si>
  <si>
    <t>Universidad, ONG, empresa o nueva organización</t>
  </si>
  <si>
    <t>Amplia elegibilidad internacional.</t>
  </si>
  <si>
    <t>Medio Ambiente; Ciencias de Salud; Computacion</t>
  </si>
  <si>
    <t>IA; Calidad del Aire; Salud y Bienestar</t>
  </si>
  <si>
    <t>No existe una única regla de elegibilidad para todos los fondos. Depende de cada convocatoria, pero el espectro de beneficiarios es amplio.</t>
  </si>
  <si>
    <t>No funciona como una agencia tradicional con un calendario anual uniforme: la mayoría de sus subvenciones se identifica mediante investigación propia y contacto directo con posibles beneficiarios</t>
  </si>
  <si>
    <t>https://coefficientgiving.org/funds/</t>
  </si>
  <si>
    <t>https://pivot.proquest.com/funding_opps/f6991b86-5e72-4139-9013-f2f1552f7976</t>
  </si>
  <si>
    <t>No existe un calendario, estar atento</t>
  </si>
  <si>
    <t>2026-010</t>
  </si>
  <si>
    <t>IBM</t>
  </si>
  <si>
    <t>El estudiante debe ser nominado por un docente. Existen límites institucionales de nominaciones.</t>
  </si>
  <si>
    <t>Doctorado; IA; programación; nube híbrida; computación responsable; educación</t>
  </si>
  <si>
    <t>IA y computación responsable</t>
  </si>
  <si>
    <t>Beca doctoral alineada con áreas estratégicas de IBM, incluyendo IA y computación responsable.</t>
  </si>
  <si>
    <t>https://research.ibm.com/labs/yorktown-heights/ibm-academic-awards-program</t>
  </si>
  <si>
    <t>https://pivot.proquest.com/funding_opps/95edca90-0c52-429e-8e63-d1d75de8f0f3</t>
  </si>
  <si>
    <t xml:space="preserve"> IBM Ph.D. Fellowship</t>
  </si>
  <si>
    <t>Horizon Europe — New European Bauhaus</t>
  </si>
  <si>
    <t>2026-011</t>
  </si>
  <si>
    <t>Comisión Europea</t>
  </si>
  <si>
    <t>Union Europea</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</si>
  <si>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</si>
  <si>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</si>
  <si>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</si>
  <si>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</si>
  <si>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</si>
  <si>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</si>
  <si>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</si>
  <si>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</si>
  <si>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</si>
  <si>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</si>
  <si>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Spencer Foundation – Vision Grants</t>
  </si>
  <si>
    <t>OpenAI – Researcher Access Program</t>
  </si>
  <si>
    <t>MESCyT – Convocatoria FONDOCYT 2025-2026</t>
  </si>
  <si>
    <t>Google.org Accelerator: Generative AI</t>
  </si>
  <si>
    <t>UNU-WIDER – Effects of AI on firm and labour market outcomes</t>
  </si>
  <si>
    <t>ARIA – Mathematics for Safe AI</t>
  </si>
  <si>
    <t>Google Research – PhD Fellowship Program</t>
  </si>
  <si>
    <t>Coefficient Giving – Improving Capability Evaluations</t>
  </si>
  <si>
    <t>IBM Research – Academic Awards Program</t>
  </si>
  <si>
    <t>2026-012</t>
  </si>
  <si>
    <t>Erasmus+ Capacity Building in Higher Education 2026 — Region 11 Caribbean</t>
  </si>
  <si>
    <t>Comisión Europea / European Education and Culture Executive Agency</t>
  </si>
  <si>
    <t>48 meses</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</si>
  <si>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</si>
  <si>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</si>
  <si>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</si>
  <si>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</si>
  <si>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</si>
  <si>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</si>
  <si>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UNPHU puede participar como institución de educación superior caribeña dentro de un consorcio que cumpla la composición mínima aplicable al strand seleccionado.</t>
  </si>
  <si>
    <t>https://erasmus-plus.ec.europa.eu/funding-opportunities/capacity-building-in-higher-education-caribbean</t>
  </si>
  <si>
    <t>Comisión Europea, Erasmus+ Programme Guide 2026</t>
  </si>
  <si>
    <t>2026-013</t>
  </si>
  <si>
    <t>AIA Upjohn Research Initiative</t>
  </si>
  <si>
    <t>American Institute of Architects — AIA</t>
  </si>
  <si>
    <t>18 meses</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</si>
  <si>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</si>
  <si>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</si>
  <si>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</si>
  <si>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</si>
  <si>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</si>
  <si>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</si>
  <si>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</si>
  <si>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</si>
  <si>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</si>
  <si>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</si>
  <si>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</si>
  <si>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</si>
  <si>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</si>
  <si>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</si>
  <si>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</si>
  <si>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</si>
  <si>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</si>
  <si>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</si>
  <si>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</si>
  <si>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</si>
  <si>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</si>
  <si>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</si>
  <si>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</si>
  <si>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</si>
  <si>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</si>
  <si>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</si>
  <si>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Getty Conservation Guest Scholars Program 2027–2028</t>
  </si>
  <si>
    <t>Getty Conservation Institute</t>
  </si>
  <si>
    <t>3 meses</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</si>
  <si>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</si>
  <si>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</si>
  <si>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</si>
  <si>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</si>
  <si>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</si>
  <si>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</si>
  <si>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</si>
  <si>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</si>
  <si>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CCA–WRI Research Fellowship Program 2027 — Vacancy</t>
  </si>
  <si>
    <t>Canadian Centre for Architecture (CCA) / Window Research Institute (WRI)</t>
  </si>
  <si>
    <t>1-3 meses</t>
  </si>
  <si>
    <t>Investigador establecido; Profesor</t>
  </si>
  <si>
    <t>Internacional; residencia presencial en el CCA, Montreal, entre agosto y octubre</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</si>
  <si>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</si>
  <si>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</si>
  <si>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</si>
  <si>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</si>
  <si>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</si>
  <si>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</si>
  <si>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</si>
  <si>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</si>
  <si>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</si>
  <si>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</si>
  <si>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</si>
  <si>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</si>
  <si>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</si>
  <si>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</si>
  <si>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</si>
  <si>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</si>
  <si>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</si>
  <si>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CYTED — Convocatoria 2026 de Redes Temáticas</t>
  </si>
  <si>
    <t>Programa Iberoamericano de Ciencia y Tecnología para el Desarrollo (CYTED)</t>
  </si>
  <si>
    <t>Hasta 48 meses</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</si>
  <si>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</si>
  <si>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</si>
  <si>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</si>
  <si>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</si>
  <si>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</si>
  <si>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</si>
  <si>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</si>
  <si>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</si>
  <si>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</si>
  <si>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 xml:space="preserve"> edificios desocupados; suelo vacante; reutilización adaptativa; urbanismo; paisaje; vivienda; IA; visión computacional; teledetección</t>
  </si>
  <si>
    <t xml:space="preserve">Sin restricción </t>
  </si>
  <si>
    <t>Arquitectura, urbanismo, paisaje y terrenos desocupados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</si>
  <si>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</si>
  <si>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</si>
  <si>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</si>
  <si>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</si>
  <si>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</si>
  <si>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</si>
  <si>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</si>
  <si>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</si>
  <si>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</si>
  <si>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</si>
  <si>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</si>
  <si>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2026-017</t>
  </si>
  <si>
    <t>2026-018</t>
  </si>
  <si>
    <t>2026-019</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</si>
  <si>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</si>
  <si>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</si>
  <si>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</si>
  <si>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</si>
  <si>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</si>
  <si>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</si>
  <si>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</si>
  <si>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</si>
  <si>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</si>
  <si>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</si>
  <si>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</si>
  <si>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</si>
  <si>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FONTAGRO — Convocatoria 2026: sistemas agroalimentarios con menor huella ambiental</t>
  </si>
  <si>
    <t>FONTAGRO / BID / IICA</t>
  </si>
  <si>
    <t>Según proyecto</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</si>
  <si>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</si>
  <si>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</si>
  <si>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</si>
  <si>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</si>
  <si>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</si>
  <si>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</si>
  <si>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</si>
  <si>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</si>
  <si>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CBE JU — Separación y purificación en biorrefinerías</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</si>
  <si>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</si>
  <si>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</si>
  <si>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</si>
  <si>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</si>
  <si>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</si>
  <si>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</si>
  <si>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</si>
  <si>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</si>
  <si>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CYTED 2026 — Inocuidad alimentaria y reducción del desperdicio alimentario</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</si>
  <si>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</si>
  <si>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</si>
  <si>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</si>
  <si>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</si>
  <si>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</si>
  <si>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</si>
  <si>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</si>
  <si>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</si>
  <si>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</si>
  <si>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EREF Research Grants</t>
  </si>
  <si>
    <t>Environmental Research &amp; Education Foundation (EREF)</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</si>
  <si>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</si>
  <si>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</si>
  <si>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</si>
  <si>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</si>
  <si>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</si>
  <si>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</si>
  <si>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</si>
  <si>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</si>
  <si>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</si>
  <si>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CBE JU — Valorización biotecnológica de biomasa residual</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</si>
  <si>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</si>
  <si>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</si>
  <si>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</si>
  <si>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</si>
  <si>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</si>
  <si>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</si>
  <si>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</si>
  <si>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CBE JU — Biofertilizantes y bioprotectores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</si>
  <si>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</si>
  <si>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</si>
  <si>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</si>
  <si>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</si>
  <si>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</si>
  <si>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</si>
  <si>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</si>
  <si>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CBE JU — Competitividad de biorrefinerías mediante biotecnología</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</si>
  <si>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</si>
  <si>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</si>
  <si>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</si>
  <si>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</si>
  <si>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</si>
  <si>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</si>
  <si>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</si>
  <si>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</si>
  <si>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CBE JU — Químicos y materiales a partir de residuos leñosos</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</si>
  <si>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</si>
  <si>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</si>
  <si>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</si>
  <si>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</si>
  <si>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</si>
  <si>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</si>
  <si>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</si>
  <si>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2026-020</t>
  </si>
  <si>
    <t>2026-021</t>
  </si>
  <si>
    <t>2026-022</t>
  </si>
  <si>
    <t>2026-023</t>
  </si>
  <si>
    <t>2026-024</t>
  </si>
  <si>
    <t>2026-025</t>
  </si>
  <si>
    <t>2026-026</t>
  </si>
  <si>
    <t>2026-027</t>
  </si>
  <si>
    <t>2026-028</t>
  </si>
  <si>
    <t>Agrónomos, biotecnólogos, especialistas en agroindustria, bioeconomía, suelos, producción y extensión</t>
  </si>
  <si>
    <t xml:space="preserve"> UNPHU necesita otro país miembro y una institución pública de investigación.</t>
  </si>
  <si>
    <t>Universidades, centros de I+D</t>
  </si>
  <si>
    <t>Investigadores de residuos sólidos, compostaje, digestión anaerobia, circularidad y emisiones</t>
  </si>
  <si>
    <t>Agrónomos, biotecnólogos, microbiólogos, químicos, ingenieros de procesos y especialistas en residuos</t>
  </si>
  <si>
    <t xml:space="preserve"> UNPHU debe incorporarse a un consorcio europeo en preparación.</t>
  </si>
  <si>
    <t>Agrónomos, fitopatólogos, biotecnólogos, microbiólogos, edafólogos e ingenieros agroindustriales</t>
  </si>
  <si>
    <t>Biotecnología industrial, ingeniería química, agroindustria, logística de biomasa y evaluación ambiental</t>
  </si>
  <si>
    <t>Agronomía forestal, química, materiales, ingeniería de procesos, agroforestería y sostenibilidad</t>
  </si>
  <si>
    <t xml:space="preserve"> Identificar biomasa dominicana y cultivos concretos para validar el producto.</t>
  </si>
  <si>
    <t xml:space="preserve"> poda, aserrín, residuos leñosos de café/cacao o sistemas agroforestales.</t>
  </si>
  <si>
    <t>UNESCO–IGCP — Financiación de geociencias para América Latina y el Caribe</t>
  </si>
  <si>
    <t>UNESCO e International Union of Geological Sciences (IUGS)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</si>
  <si>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</si>
  <si>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</si>
  <si>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</si>
  <si>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</si>
  <si>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</si>
  <si>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</si>
  <si>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</si>
  <si>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</si>
  <si>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</si>
  <si>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</si>
  <si>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</si>
  <si>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</si>
  <si>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</si>
  <si>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</si>
  <si>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</si>
  <si>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</si>
  <si>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</si>
  <si>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</si>
  <si>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</si>
  <si>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</si>
  <si>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</si>
  <si>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</si>
  <si>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</si>
  <si>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</si>
  <si>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</si>
  <si>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</si>
  <si>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Data Science and Modeling for Green Chemistry</t>
  </si>
  <si>
    <t>American Chemical Society Green Chemistry Institute Pharmaceutical Roundtable</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</si>
  <si>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</si>
  <si>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</si>
  <si>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</si>
  <si>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</si>
  <si>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</si>
  <si>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</si>
  <si>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</si>
  <si>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</si>
  <si>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</si>
  <si>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36 meses</t>
  </si>
  <si>
    <t>2026-029</t>
  </si>
  <si>
    <t>2026-030</t>
  </si>
  <si>
    <t>2026-031</t>
  </si>
  <si>
    <t>2026-032</t>
  </si>
  <si>
    <t xml:space="preserve"> requiere conformar anticipadamente una red internacional y vincular empresas manufactureras.</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</si>
  <si>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</si>
  <si>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</si>
  <si>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</si>
  <si>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</si>
  <si>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</si>
  <si>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</si>
  <si>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</si>
  <si>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</si>
  <si>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</si>
  <si>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</si>
  <si>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</si>
  <si>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</si>
  <si>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</si>
  <si>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</si>
  <si>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</si>
  <si>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</si>
  <si>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</si>
  <si>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</si>
  <si>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</si>
  <si>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</si>
  <si>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</si>
  <si>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</si>
  <si>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</si>
  <si>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</si>
  <si>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</si>
  <si>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</si>
  <si>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</si>
  <si>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</si>
  <si>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</si>
  <si>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</si>
  <si>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</si>
  <si>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</si>
  <si>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International Association of Sedimentologists; eo@sedimentologists.org</t>
  </si>
  <si>
    <t>Prioridad alta para fortalecer laboratorio. Confirmar la clasificación aplicable a República Dominicana y costos de envío.</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</si>
  <si>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</si>
  <si>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</si>
  <si>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</si>
  <si>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</si>
  <si>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</si>
  <si>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</si>
  <si>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</si>
  <si>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</si>
  <si>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</si>
  <si>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</si>
  <si>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</si>
  <si>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</si>
  <si>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</si>
  <si>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</si>
  <si>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</si>
  <si>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</si>
  <si>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</si>
  <si>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</si>
  <si>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</si>
  <si>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</si>
  <si>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</si>
  <si>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2026-033</t>
  </si>
  <si>
    <t>2026-034</t>
  </si>
  <si>
    <t>2026-035</t>
  </si>
  <si>
    <t>2026-036</t>
  </si>
  <si>
    <t>2026-037</t>
  </si>
  <si>
    <t>plantear prospección de aguas subterráneas y beneficio comunitario medible.</t>
  </si>
  <si>
    <t xml:space="preserve"> monitorear el ciclo anual de enero a marzo de 2027.</t>
  </si>
  <si>
    <t>Beca José Juan Vilar Martínez — Excelencia en Investigación en Periodoncia 2026</t>
  </si>
  <si>
    <t>Sociedad Española de Periodoncia y Oseointegración (SEPA)</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</si>
  <si>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</si>
  <si>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</si>
  <si>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</si>
  <si>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</si>
  <si>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</si>
  <si>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</si>
  <si>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</si>
  <si>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</si>
  <si>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</si>
  <si>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David Steflik Memorial Student Research Grant 2026</t>
  </si>
  <si>
    <t>American Academy of Implant Dentistry Foundation</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</si>
  <si>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</si>
  <si>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</si>
  <si>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</si>
  <si>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</si>
  <si>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</si>
  <si>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</si>
  <si>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</si>
  <si>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</si>
  <si>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</si>
  <si>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</si>
  <si>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</si>
  <si>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</si>
  <si>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</si>
  <si>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</si>
  <si>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</si>
  <si>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</si>
  <si>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</si>
  <si>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</si>
  <si>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</si>
  <si>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</si>
  <si>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</si>
  <si>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</si>
  <si>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</si>
  <si>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</si>
  <si>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</si>
  <si>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</si>
  <si>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</si>
  <si>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</si>
  <si>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</si>
  <si>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</si>
  <si>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</si>
  <si>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</si>
  <si>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</si>
  <si>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</si>
  <si>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</si>
  <si>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</si>
  <si>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</si>
  <si>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</si>
  <si>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2026-038</t>
  </si>
  <si>
    <t>2026-039</t>
  </si>
  <si>
    <t>2026-040</t>
  </si>
  <si>
    <t>2026-041</t>
  </si>
  <si>
    <t>2026-042</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</si>
  <si>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</si>
  <si>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</si>
  <si>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</si>
  <si>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</si>
  <si>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</si>
  <si>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</si>
  <si>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</si>
  <si>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</si>
  <si>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</si>
  <si>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</si>
  <si>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</si>
  <si>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</si>
  <si>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</si>
  <si>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FY26 PRMRP — Impact Award</t>
  </si>
  <si>
    <t>Defense Health Agency / CDMRP — PRMRP</t>
  </si>
  <si>
    <t>Máximo 4 años</t>
  </si>
  <si>
    <t>Investigador independiente; en modalidad asociada, uno de los PI debe ser investigador clínico</t>
  </si>
  <si>
    <t>Endometriosis y neuropatía periférica</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</si>
  <si>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</si>
  <si>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</si>
  <si>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</si>
  <si>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</si>
  <si>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</si>
  <si>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FY26 PRMRP — Technology/Therapeutic Development Award</t>
  </si>
  <si>
    <t>Investigador independiente con equipo de desarrollo de producto, regulación y transición clínica</t>
  </si>
  <si>
    <t>Organización extranjera o estadounidense, pública o privada</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</si>
  <si>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</si>
  <si>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</si>
  <si>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</si>
  <si>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</si>
  <si>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</si>
  <si>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</si>
  <si>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</si>
  <si>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</si>
  <si>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</si>
  <si>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</si>
  <si>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</si>
  <si>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</si>
  <si>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</si>
  <si>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</si>
  <si>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</si>
  <si>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World Endometriosis Society Early Career Investigator Awards 2027</t>
  </si>
  <si>
    <t>World Endometriosis Society</t>
  </si>
  <si>
    <t>Canadá / Internacional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</si>
  <si>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</si>
  <si>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</si>
  <si>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</si>
  <si>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</si>
  <si>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</si>
  <si>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</si>
  <si>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</si>
  <si>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</si>
  <si>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</si>
  <si>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</si>
  <si>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</si>
  <si>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</si>
  <si>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</si>
  <si>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</si>
  <si>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</si>
  <si>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</si>
  <si>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</si>
  <si>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</si>
  <si>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</si>
  <si>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</si>
  <si>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</si>
  <si>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</si>
  <si>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</si>
  <si>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</si>
  <si>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</si>
  <si>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</si>
  <si>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</si>
  <si>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</si>
  <si>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</si>
  <si>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</si>
  <si>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</si>
  <si>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</si>
  <si>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</si>
  <si>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</si>
  <si>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</si>
  <si>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</si>
  <si>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</si>
  <si>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</si>
  <si>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Ofrece siete fellowships de EUR 32,000. Las áreas de medicina del dolor y fertilidad/urología permiten proyectos relacionados con CIPN, dolor pélvico y endometriosis.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</si>
  <si>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</si>
  <si>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</si>
  <si>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</si>
  <si>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2026-043</t>
  </si>
  <si>
    <t>2026-044</t>
  </si>
  <si>
    <t>2026-045</t>
  </si>
  <si>
    <t>2026-046</t>
  </si>
  <si>
    <t>2026-047</t>
  </si>
  <si>
    <t>2026-048</t>
  </si>
  <si>
    <t>2026-049</t>
  </si>
  <si>
    <t>2026-050</t>
  </si>
  <si>
    <t xml:space="preserve"> investigador joven; no financia costos institucionales.</t>
  </si>
  <si>
    <t xml:space="preserve"> manejo integral y servicios de salud. La intervención o guía debe contar con evidencia previa.</t>
  </si>
  <si>
    <t xml:space="preserve"> calidad de vida o investigación social en endometriosis.</t>
  </si>
  <si>
    <t xml:space="preserve"> Verificar criterios exactos de etapa profesional en el portal ABF.</t>
  </si>
  <si>
    <t>existe candidato terapéutico, dispositivo, biomarcador o prueba diagnóstica para CIPN/endometriosis.</t>
  </si>
  <si>
    <t xml:space="preserve"> biomarcadores, diagnóstico o tratamiento traslacional de CIPN/endometriosis.</t>
  </si>
  <si>
    <t>solo si existe una cohorte o intervención reutilizable y la población es PTE. Confirmar SAM/UEI, eBRAP y Grants.gov activos.</t>
  </si>
  <si>
    <t>dolor neuropático;  dolor pélvico; endometriosis; fertilidad; rehabilitación; medicina del dolor</t>
  </si>
  <si>
    <t>epilepsia; neuroestimulación; neuropatía;  endometriosis; mecanismos; medicina experimental</t>
  </si>
  <si>
    <t>manejo integral; endometriosis;  implementación; ruta clínica; acceso; adherencia; calidad de atención</t>
  </si>
  <si>
    <t xml:space="preserve"> neuropatía inducida por quimioterapia; mecanismos; diagnóstico; tratamiento; ensayo clínico; tecnología</t>
  </si>
  <si>
    <t>neuroprotección; fármaco; diagnóstico; dispositivo; endometriosis; biomarcadores; IND; IDE</t>
  </si>
  <si>
    <t>endometriosis;  mecanismos; biomarcadores; soluciones clínicas; investigación traslacional</t>
  </si>
  <si>
    <t>epilepsia postraumática; PTE; neuroestimulación;  lesión cerebral traumática; dispositivos avanzados</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</si>
  <si>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</si>
  <si>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</si>
  <si>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</si>
  <si>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</si>
  <si>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</si>
  <si>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</si>
  <si>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</si>
  <si>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</si>
  <si>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</si>
  <si>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</si>
  <si>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</si>
  <si>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</si>
  <si>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</si>
  <si>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</si>
  <si>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</si>
  <si>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Darwin Initiative Capability &amp; Capacity — Round 32</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</si>
  <si>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</si>
  <si>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</si>
  <si>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</si>
  <si>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</si>
  <si>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</si>
  <si>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</si>
  <si>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</si>
  <si>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</si>
  <si>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</si>
  <si>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</si>
  <si>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</si>
  <si>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</si>
  <si>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</si>
  <si>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</si>
  <si>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</si>
  <si>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</si>
  <si>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</si>
  <si>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</si>
  <si>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</si>
  <si>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</si>
  <si>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</si>
  <si>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</si>
  <si>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</si>
  <si>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</si>
  <si>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</si>
  <si>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</si>
  <si>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</si>
  <si>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</si>
  <si>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</si>
  <si>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</si>
  <si>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</si>
  <si>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</si>
  <si>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2026-051</t>
  </si>
  <si>
    <t>2026-052</t>
  </si>
  <si>
    <t>2026-053</t>
  </si>
  <si>
    <t>2026-054</t>
  </si>
  <si>
    <t>Muy buen encaje institucional para UNPHU; coordinar internamente porque solo se permite una solicitud líder por esquema.</t>
  </si>
  <si>
    <t xml:space="preserve"> Utilizar el identificador oficial NOAA-SEC-OED-2024-28060 y no confundir con otros BAA de NOAA.</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</si>
  <si>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</si>
  <si>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</si>
  <si>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</si>
  <si>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</si>
  <si>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</si>
  <si>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</si>
  <si>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</si>
  <si>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</si>
  <si>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</si>
  <si>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</si>
  <si>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</si>
  <si>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</si>
  <si>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</si>
  <si>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</si>
  <si>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</si>
  <si>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</si>
  <si>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</si>
  <si>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</si>
  <si>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</si>
  <si>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</si>
  <si>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</si>
  <si>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</si>
  <si>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</si>
  <si>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</si>
  <si>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</si>
  <si>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</si>
  <si>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</si>
  <si>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</si>
  <si>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</si>
  <si>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</si>
  <si>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</si>
  <si>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</si>
  <si>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</si>
  <si>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</si>
  <si>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</si>
  <si>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</si>
  <si>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</si>
  <si>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</si>
  <si>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</si>
  <si>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</si>
  <si>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</si>
  <si>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</si>
  <si>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</si>
  <si>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</si>
  <si>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Food Planet Prize</t>
  </si>
  <si>
    <t>Curt Bergfors Foundation</t>
  </si>
  <si>
    <t>Suecia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</si>
  <si>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</si>
  <si>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</si>
  <si>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</si>
  <si>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</si>
  <si>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</si>
  <si>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</si>
  <si>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</si>
  <si>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</si>
  <si>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</si>
  <si>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</si>
  <si>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</si>
  <si>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</si>
  <si>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</si>
  <si>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</si>
  <si>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</si>
  <si>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</si>
  <si>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</si>
  <si>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2026-055</t>
  </si>
  <si>
    <t>2026-056</t>
  </si>
  <si>
    <t>2026-057</t>
  </si>
  <si>
    <t>2026-058</t>
  </si>
  <si>
    <t>2026-059</t>
  </si>
  <si>
    <t>2026-060</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</si>
  <si>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</si>
  <si>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</si>
  <si>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</si>
  <si>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</si>
  <si>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</si>
  <si>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</si>
  <si>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</si>
  <si>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</si>
  <si>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</si>
  <si>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</si>
  <si>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</si>
  <si>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</si>
  <si>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</si>
  <si>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</si>
  <si>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</si>
  <si>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</si>
  <si>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</si>
  <si>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</si>
  <si>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</si>
  <si>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</si>
  <si>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</si>
  <si>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</si>
  <si>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</si>
  <si>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</si>
  <si>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</si>
  <si>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</si>
  <si>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</si>
  <si>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</si>
  <si>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</si>
  <si>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</si>
  <si>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</si>
  <si>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</si>
  <si>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</si>
  <si>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</si>
  <si>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</si>
  <si>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</si>
  <si>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</si>
  <si>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</si>
  <si>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</si>
  <si>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</si>
  <si>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</si>
  <si>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</si>
  <si>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</si>
  <si>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</si>
  <si>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2026-061</t>
  </si>
  <si>
    <t>2026-062</t>
  </si>
  <si>
    <t>2026-063</t>
  </si>
  <si>
    <t>2026-064</t>
  </si>
  <si>
    <t>. Encaje muy alto para Veterinaria si cuenta con casos, muestras o población felina suficientes. Confirmar la recepción contractual de fondos en República Dominicana.</t>
  </si>
  <si>
    <t>Monto pequeño, pero buen instrumento semilla para estudiantes, levantamiento de datos, series de casos o pruebas piloto de fauna silvestre.</t>
  </si>
  <si>
    <t>Encaje muy alto. Preparar desde ahora equipo, hipótesis, población felina, aprobaciones éticas y borrador de prepropuesta.</t>
  </si>
  <si>
    <t>Confirmar que el programa de Medicina Veterinaria de UNPHU satisface la definición de acreditación de Morris y organizar una selección interna antes del 07/10.</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</si>
  <si>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</si>
  <si>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</si>
  <si>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</si>
  <si>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</si>
  <si>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</si>
  <si>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</si>
  <si>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</si>
  <si>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</si>
  <si>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</si>
  <si>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</si>
  <si>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</si>
  <si>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</si>
  <si>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</si>
  <si>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</si>
  <si>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</si>
  <si>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</si>
  <si>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</si>
  <si>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</si>
  <si>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</si>
  <si>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</si>
  <si>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</si>
  <si>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</si>
  <si>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</si>
  <si>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</si>
  <si>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</si>
  <si>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</si>
  <si>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</si>
  <si>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</si>
  <si>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</si>
  <si>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</si>
  <si>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</si>
  <si>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</si>
  <si>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</si>
  <si>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</si>
  <si>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</si>
  <si>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</si>
  <si>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</si>
  <si>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</si>
  <si>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</si>
  <si>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</si>
  <si>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</si>
  <si>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</si>
  <si>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</si>
  <si>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</si>
  <si>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</si>
  <si>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</si>
  <si>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</si>
  <si>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CIUS Research Grants 2026–2027</t>
  </si>
  <si>
    <t>Canadian Institute of Ukrainian Studies – University of Alberta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</si>
  <si>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</si>
  <si>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</si>
  <si>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</si>
  <si>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</si>
  <si>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</si>
  <si>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</si>
  <si>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</si>
  <si>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</si>
  <si>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</si>
  <si>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</si>
  <si>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</si>
  <si>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</si>
  <si>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</si>
  <si>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</si>
  <si>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</si>
  <si>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</si>
  <si>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</si>
  <si>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</si>
  <si>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</si>
  <si>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</si>
  <si>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2026-065</t>
  </si>
  <si>
    <t>2026-066</t>
  </si>
  <si>
    <t>2026-067</t>
  </si>
  <si>
    <t>2026-068</t>
  </si>
  <si>
    <t>2026-069</t>
  </si>
  <si>
    <t>2026-070</t>
  </si>
  <si>
    <t>Canada</t>
  </si>
  <si>
    <t xml:space="preserve">Encaje excelente para historia jurídica dominicana, caribeña, colonial o transnacional. </t>
  </si>
  <si>
    <t xml:space="preserve">No financia la ejecución de un proyecto de investigación; es un premio académico. </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</si>
  <si>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</si>
  <si>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</si>
  <si>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</si>
  <si>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</si>
  <si>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</si>
  <si>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</si>
  <si>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</si>
  <si>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https://www.simonsfoundation.org/grant/targeted-grants-to-institutes/</t>
  </si>
  <si>
    <t>Simons Foundation; mps@simonsfoundation.org</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</si>
  <si>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</si>
  <si>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</si>
  <si>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</si>
  <si>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</si>
  <si>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</si>
  <si>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</si>
  <si>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</si>
  <si>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</si>
  <si>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</si>
  <si>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</si>
  <si>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</si>
  <si>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</si>
  <si>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</si>
  <si>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</si>
  <si>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</si>
  <si>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</si>
  <si>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</si>
  <si>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</si>
  <si>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</si>
  <si>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</si>
  <si>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</si>
  <si>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</si>
  <si>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</si>
  <si>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</si>
  <si>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</si>
  <si>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</si>
  <si>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</si>
  <si>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</si>
  <si>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</si>
  <si>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</si>
  <si>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</si>
  <si>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</si>
  <si>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</si>
  <si>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</si>
  <si>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</si>
  <si>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</si>
  <si>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</si>
  <si>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</si>
  <si>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</si>
  <si>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</si>
  <si>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</si>
  <si>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</si>
  <si>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</si>
  <si>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</si>
  <si>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</si>
  <si>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</si>
  <si>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</si>
  <si>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</si>
  <si>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</si>
  <si>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</si>
  <si>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</si>
  <si>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</si>
  <si>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</si>
  <si>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</si>
  <si>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</si>
  <si>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</si>
  <si>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</si>
  <si>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</si>
  <si>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</si>
  <si>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</si>
  <si>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</si>
  <si>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</si>
  <si>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</si>
  <si>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</si>
  <si>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</si>
  <si>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</si>
  <si>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</si>
  <si>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</si>
  <si>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</si>
  <si>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</si>
  <si>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</si>
  <si>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</si>
  <si>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</si>
  <si>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</si>
  <si>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</si>
  <si>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</si>
  <si>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</si>
  <si>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</si>
  <si>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2026-071</t>
  </si>
  <si>
    <t>2026-072</t>
  </si>
  <si>
    <t>2026-073</t>
  </si>
  <si>
    <t>2026-074</t>
  </si>
  <si>
    <t>2026-075</t>
  </si>
  <si>
    <t>2026-076</t>
  </si>
  <si>
    <t>2026-077</t>
  </si>
  <si>
    <t>2026-078</t>
  </si>
  <si>
    <t xml:space="preserve"> Compatible con candidatos individuales de UNPHU; no es subvención para un proyecto institucional.</t>
  </si>
  <si>
    <t xml:space="preserve"> Muy selectiva; publicar para perfiles sénior con trayectoria internacional fuerte en física solar.</t>
  </si>
  <si>
    <t xml:space="preserve"> Compatible con candidatos individuales vinculados a UNPHU; no financia un proyecto institucional.</t>
  </si>
  <si>
    <t>Mantener separada de las subvenciones de investigación; funciona principalmente como movilidad y educación.</t>
  </si>
  <si>
    <t>Alta pertinencia para física teórica; difundir inmediatamente por la proximidad del cierre.</t>
  </si>
  <si>
    <t>Compatibilidad alta; opción directa para organizar una escuela o taller internacional de física en UNPHU.</t>
  </si>
  <si>
    <t xml:space="preserve"> solo para grupos con temática claramente alineada y capacidad para cumplir los controles estadounidenses.</t>
  </si>
  <si>
    <t xml:space="preserve"> Alta cuantía; la compatibilidad depende de demostrar trayectoria, infraestructura y alcance internacional del centro postulante de UNPHU.</t>
  </si>
  <si>
    <t>Gilead Sciences: Giving in Latin America &amp; the Caribbean</t>
  </si>
  <si>
    <t>Gilead Sciences</t>
  </si>
  <si>
    <t>Hasta 12 meses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</si>
  <si>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</si>
  <si>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</si>
  <si>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</si>
  <si>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</si>
  <si>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</si>
  <si>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</si>
  <si>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</si>
  <si>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</si>
  <si>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</si>
  <si>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</si>
  <si>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</si>
  <si>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</si>
  <si>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</si>
  <si>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</si>
  <si>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</si>
  <si>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</si>
  <si>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</si>
  <si>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</si>
  <si>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</si>
  <si>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</si>
  <si>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</si>
  <si>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</si>
  <si>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IBRO/Dana Brain Awareness Week Grants 2027</t>
  </si>
  <si>
    <t>International Brain Research Organization — IBRO / Dana Foundation</t>
  </si>
  <si>
    <t>Bélgica / Estados Unidos</t>
  </si>
  <si>
    <t>Actividad o evento de divulgación durante 2027</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</si>
  <si>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</si>
  <si>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</si>
  <si>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</si>
  <si>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</si>
  <si>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</si>
  <si>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</si>
  <si>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</si>
  <si>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</si>
  <si>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</si>
  <si>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</si>
  <si>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RNID Translational Research Grant 2026</t>
  </si>
  <si>
    <t>2026-079</t>
  </si>
  <si>
    <t>2026-080</t>
  </si>
  <si>
    <t>2026-081</t>
  </si>
  <si>
    <t>2026-082</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</si>
  <si>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</si>
  <si>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</si>
  <si>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</si>
  <si>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</si>
  <si>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</si>
  <si>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</si>
  <si>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</si>
  <si>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</si>
  <si>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</si>
  <si>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</si>
  <si>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</si>
  <si>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</si>
  <si>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</si>
  <si>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</si>
  <si>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</si>
  <si>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</si>
  <si>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</si>
  <si>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</si>
  <si>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</si>
  <si>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</si>
  <si>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</si>
  <si>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</si>
  <si>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</si>
  <si>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</si>
  <si>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</si>
  <si>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</si>
  <si>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</si>
  <si>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</si>
  <si>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</si>
  <si>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</si>
  <si>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</si>
  <si>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</si>
  <si>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</si>
  <si>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</si>
  <si>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</si>
  <si>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</si>
  <si>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</si>
  <si>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</si>
  <si>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</si>
  <si>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</si>
  <si>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</si>
  <si>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</si>
  <si>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Research-Practice Partnerships: Collaborative Research for Educational Change</t>
  </si>
  <si>
    <t>Hasta 3 años</t>
  </si>
  <si>
    <t>Subvención para asociación investigación-práctica</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</si>
  <si>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</si>
  <si>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</si>
  <si>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</si>
  <si>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</si>
  <si>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</si>
  <si>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</si>
  <si>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</si>
  <si>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</si>
  <si>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</si>
  <si>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</si>
  <si>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2026-083</t>
  </si>
  <si>
    <t>2026-084</t>
  </si>
  <si>
    <t>2026-085</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</si>
  <si>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</si>
  <si>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</si>
  <si>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</si>
  <si>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</si>
  <si>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</si>
  <si>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</si>
  <si>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</si>
  <si>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</si>
  <si>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</si>
  <si>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</si>
  <si>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</si>
  <si>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</si>
  <si>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</si>
  <si>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Premio Nacional Ambiental 2026</t>
  </si>
  <si>
    <t>Ministerio de Medio Ambiente y Recursos Naturales</t>
  </si>
  <si>
    <t>No especificado</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</si>
  <si>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</si>
  <si>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</si>
  <si>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</si>
  <si>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</si>
  <si>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</si>
  <si>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</si>
  <si>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</si>
  <si>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</si>
  <si>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</si>
  <si>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</si>
  <si>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</si>
  <si>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</si>
  <si>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</si>
  <si>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</si>
  <si>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</si>
  <si>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</si>
  <si>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</si>
  <si>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</si>
  <si>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</si>
  <si>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</si>
  <si>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</si>
  <si>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</si>
  <si>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</si>
  <si>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</si>
  <si>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</si>
  <si>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</si>
  <si>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</si>
  <si>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</si>
  <si>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</si>
  <si>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</si>
  <si>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</si>
  <si>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</si>
  <si>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</si>
  <si>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</si>
  <si>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</si>
  <si>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</si>
  <si>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</si>
  <si>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</si>
  <si>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</si>
  <si>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</si>
  <si>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</si>
  <si>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</si>
  <si>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</si>
  <si>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</si>
  <si>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</si>
  <si>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</si>
  <si>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</si>
  <si>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</si>
  <si>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</si>
  <si>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</si>
  <si>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</si>
  <si>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</si>
  <si>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</si>
  <si>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</si>
  <si>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</si>
  <si>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</si>
  <si>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2026-086</t>
  </si>
  <si>
    <t>2026-087</t>
  </si>
  <si>
    <t>2026-088</t>
  </si>
  <si>
    <t>2026-089</t>
  </si>
  <si>
    <t>2026-090</t>
  </si>
  <si>
    <t>2026-091</t>
  </si>
  <si>
    <t xml:space="preserve"> Para una propuesta dominicana conviene vincular el proyecto con poblaciones migratorias compartidas, redes regionales, pesca artesanal, captura incidental o monitoreo coordinado. Verificar requisitos federales de cumplimiento y permisos aplicables.</t>
  </si>
  <si>
    <t>Financia la planificación de estudios o programas de investigación de gran escala orientados a transformar sistemas educativos mediante colaboración entre investigadores, profesor, comunidades y responsables de políticas.</t>
  </si>
  <si>
    <t>profesor, investigadores y estudiantes de posgrado o doctorado</t>
  </si>
  <si>
    <t>profesor e investigadores de tiempo completo 
y estudiantes de posgrado de instituciones acreditadas.</t>
  </si>
  <si>
    <t>profesor, grupos académicos e investigadores industriales en química, procesos, IA y modelización</t>
  </si>
  <si>
    <t>Es una ayuda en especie: IAS compra y envía el equipo; no transfiere efectivo. Puede cubrir barrenas, tamices, microscopios, software especializado y materiales profesor.</t>
  </si>
  <si>
    <t>Menor de 40 años al cierre, título elegible y actividad durante toda la beca en universidad, hospital o centro de investigación. profesor con posición permanente no son elegibles.</t>
  </si>
  <si>
    <t>No favorece un centro que funcione únicamente como punto de reunión para profesor locales. Requiere representante institucional autorizado. Inicio previsto entre junio y septiembre de 2027.</t>
  </si>
  <si>
    <t>Profesionales sanitarios; investigadores clínicos; profesor; especialistas en salud pública; responsables de programas comunitarios</t>
  </si>
  <si>
    <t>Neurocientíficos; profesor; comunicadores científicos; organizadores de actividades de divulgación sobre el cerebro</t>
  </si>
  <si>
    <t>Investigadores educativos; profesor; gestores; responsables de políticas públicas; especialistas en discapacidad; organizaciones comunitarias y profesionales de servicios de apoyo</t>
  </si>
  <si>
    <t>Investigadores, estudiantes, empresas y entidades públicas</t>
  </si>
  <si>
    <t>profesor, investigadores educativos, especialistas en IA, programación, arquitectura digital, diseño curricular y aseguramiento de la calidad</t>
  </si>
  <si>
    <t>Investigadores en arquitectura, tecnología del diseño, sostenibilidad, materiales, salud,  e innovación profesional</t>
  </si>
  <si>
    <t>Ingeniería química, bioprocesos, química analítica, materiales y biotecnología</t>
  </si>
  <si>
    <t xml:space="preserve">Investigadores agroalimentarios, agrónomos, especialistas en desperdicio, bioeconomía </t>
  </si>
  <si>
    <t>Clínicos, científicos básicos o sociales en etapa inicial</t>
  </si>
  <si>
    <t>Investigadores en educación, evaluación de impacto, discapacidad,  tecnologías educativas, traducción accesible, interpretación, lingüística aplicada y políticas públicas</t>
  </si>
  <si>
    <t>Investigador de carrera temprana con master, PhD o equivalente y trayectoria prevista en neuropatía periférica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</si>
</sst>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u/>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builtinId="8"/>
    <cellStyle name="Normal" xfId="0" builtinId="0"/>
  </cellStyles>
  <dxfs count="3">
    <dxf>
      <font>
        <color rgb="FF274E13"/>
      </font>
      <fill>
        <patternFill patternType="solid">
          <bgColor rgb="FFD9EAD3"/>
        </patternFill>
      </fill>
    </dxf>
    <dxf>
      <font>
        <color rgb="FF9C0006"/>
      </font>
      <fill>
        <patternFill patternType="solid">
          <bgColor rgb="FFF4CCCC"/>
        </patternFill>
      </fill>
    </dxf>
    <dxf>
      <font>
        <b/>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aria.org.uk/funding-opportunities" TargetMode="External"/><Relationship Id="rId13" Type="http://schemas.openxmlformats.org/officeDocument/2006/relationships/hyperlink" Target="https://pivot.proquest.com/funding_opps/95edca90-0c52-429e-8e63-d1d75de8f0f3" TargetMode="External"/><Relationship Id="rId18" Type="http://schemas.openxmlformats.org/officeDocument/2006/relationships/hyperlink" Target="https://pivot.proquest.com/funding_opps/3dae87f6-c1a1-4ce2-9d84-d1d75de8f0f3" TargetMode="External"/><Relationship Id="rId3" Type="http://schemas.openxmlformats.org/officeDocument/2006/relationships/hyperlink" Target="https://mescyt.gob.do/wp-content/uploads/2026/03/Llamado-Convocatoria-FONDOCYT-2025-2026-2.pdf" TargetMode="External"/><Relationship Id="rId21" Type="http://schemas.openxmlformats.org/officeDocument/2006/relationships/printerSettings" Target="../printerSettings/printerSettings1.bin"/><Relationship Id="rId7" Type="http://schemas.openxmlformats.org/officeDocument/2006/relationships/hyperlink" Target="https://pivot.proquest.com/funding_opps/7c1ebfe4-9115-40a7-af84-f2f1552f7976" TargetMode="External"/><Relationship Id="rId12" Type="http://schemas.openxmlformats.org/officeDocument/2006/relationships/hyperlink" Target="https://research.ibm.com/labs/yorktown-heights/ibm-academic-awards-program" TargetMode="External"/><Relationship Id="rId17" Type="http://schemas.openxmlformats.org/officeDocument/2006/relationships/hyperlink" Target="https://www.lafoundation.org/what-we-do/leadership/laf-fellowship?" TargetMode="External"/><Relationship Id="rId2" Type="http://schemas.openxmlformats.org/officeDocument/2006/relationships/hyperlink" Target="https://openai.com/form/researcher-access-program/" TargetMode="External"/><Relationship Id="rId16" Type="http://schemas.openxmlformats.org/officeDocument/2006/relationships/hyperlink" Target="https://www.aia.org/advocacy/research/grants-fellowships/upjohn-research-initiative?utm_source=chatgpt.com" TargetMode="External"/><Relationship Id="rId20" Type="http://schemas.openxmlformats.org/officeDocument/2006/relationships/hyperlink" Target="https://rnid.org.uk/what-we-do/biomedical-research/apply-for-funding/translational-grant/?" TargetMode="External"/><Relationship Id="rId1" Type="http://schemas.openxmlformats.org/officeDocument/2006/relationships/hyperlink" Target="https://www.spencer.org/grant_types/vision-grants" TargetMode="External"/><Relationship Id="rId6" Type="http://schemas.openxmlformats.org/officeDocument/2006/relationships/hyperlink" Target="https://www.wider.unu.edu/opportunity/effects-artificial-intelligence-firm-and-labour-market-outcomes" TargetMode="External"/><Relationship Id="rId11" Type="http://schemas.openxmlformats.org/officeDocument/2006/relationships/hyperlink" Target="https://pivot.proquest.com/funding_opps/f6991b86-5e72-4139-9013-f2f1552f7976" TargetMode="External"/><Relationship Id="rId5" Type="http://schemas.openxmlformats.org/officeDocument/2006/relationships/hyperlink" Target="https://pivot.proquest.com/funding_opps/eab18edd-bc1f-4f00-b3ad-f2f1552f7976" TargetMode="External"/><Relationship Id="rId15" Type="http://schemas.openxmlformats.org/officeDocument/2006/relationships/hyperlink" Target="https://erasmus-plus.ec.europa.eu/funding-opportunities/capacity-building-in-higher-education-caribbean" TargetMode="External"/><Relationship Id="rId10" Type="http://schemas.openxmlformats.org/officeDocument/2006/relationships/hyperlink" Target="https://coefficientgiving.org/funds/" TargetMode="External"/><Relationship Id="rId19" Type="http://schemas.openxmlformats.org/officeDocument/2006/relationships/hyperlink" Target="https://www.grahamfoundation.org/grant_programs/?mode=individual" TargetMode="External"/><Relationship Id="rId4" Type="http://schemas.openxmlformats.org/officeDocument/2006/relationships/hyperlink" Target="https://impactchallenge.withgoogle.com/genaiaccelerator" TargetMode="External"/><Relationship Id="rId9" Type="http://schemas.openxmlformats.org/officeDocument/2006/relationships/hyperlink" Target="https://research.google/programs-and-events/phd-fellowship/" TargetMode="External"/><Relationship Id="rId14" Type="http://schemas.openxmlformats.org/officeDocument/2006/relationships/hyperlink" Target="https://ec.europa.eu/info/funding-tenders/opportunities/portal/screen/opportunities/calls-for-proposals?callIdentifier=HORIZON-NEB-2026-01" TargetMode="External"/><Relationship Id="rId22"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N43" workbookViewId="0">
      <selection activeCell="Q46" sqref="Q46"/>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213</v>
      </c>
      <c r="B2" s="3" t="s">
        <v>121</v>
      </c>
      <c r="C2" s="3" t="s">
        <v>122</v>
      </c>
      <c r="D2" s="3" t="s">
        <v>123</v>
      </c>
      <c r="E2" s="3" t="s">
        <v>31</v>
      </c>
      <c r="F2" s="3" t="s">
        <v>32</v>
      </c>
      <c r="G2" s="5">
        <v>46246</v>
      </c>
      <c r="H2" s="3" t="s">
        <v>33</v>
      </c>
      <c r="I2" s="3" t="s">
        <v>49</v>
      </c>
      <c r="J2" s="3" t="s">
        <v>35</v>
      </c>
      <c r="K2" s="3" t="str">
        <f t="shared" ref="K2:K17" ca="1" si="0">IF(J2="Cerrada","Cerrada",IF(J2="Suspendida","Suspendida",IF(G2="","Sin fecha",IF(G2&lt;TODAY(),"Vencida",IF(G2-TODAY()&lt;=30,"Próxima a vencer","Abierta")))))</f>
        <v>Próxima a vencer</v>
      </c>
      <c r="L2" s="7">
        <v>75000</v>
      </c>
      <c r="M2" s="7">
        <v>75000</v>
      </c>
      <c r="N2" s="3" t="s">
        <v>36</v>
      </c>
      <c r="O2" s="3" t="s">
        <v>124</v>
      </c>
      <c r="P2" s="3" t="s">
        <v>125</v>
      </c>
      <c r="Q2" s="3" t="s">
        <v>38</v>
      </c>
      <c r="R2" s="3" t="s">
        <v>39</v>
      </c>
      <c r="S2" s="3" t="s">
        <v>40</v>
      </c>
      <c r="T2" s="3" t="s">
        <v>40</v>
      </c>
      <c r="U2" s="3" t="s">
        <v>127</v>
      </c>
      <c r="V2" s="3" t="s">
        <v>41</v>
      </c>
      <c r="W2" s="3" t="s">
        <v>1294</v>
      </c>
      <c r="X2" s="3" t="s">
        <v>128</v>
      </c>
      <c r="Y2" s="3" t="s">
        <v>129</v>
      </c>
      <c r="Z2" s="11" t="s">
        <v>130</v>
      </c>
      <c r="AA2" s="11"/>
      <c r="AB2" s="5">
        <v>46218</v>
      </c>
      <c r="AC2" s="3" t="s">
        <v>265</v>
      </c>
      <c r="AD2" s="3" t="s">
        <v>155</v>
      </c>
    </row>
    <row r="3" spans="1:30" ht="57">
      <c r="A3" s="3" t="s">
        <v>214</v>
      </c>
      <c r="B3" s="4" t="s">
        <v>42</v>
      </c>
      <c r="C3" t="s">
        <v>132</v>
      </c>
      <c r="D3" t="s">
        <v>131</v>
      </c>
      <c r="E3" s="4" t="s">
        <v>31</v>
      </c>
      <c r="F3" s="4" t="s">
        <v>32</v>
      </c>
      <c r="G3" s="6">
        <v>73050</v>
      </c>
      <c r="H3" s="4" t="s">
        <v>56</v>
      </c>
      <c r="I3" s="4" t="s">
        <v>70</v>
      </c>
      <c r="J3" s="4" t="s">
        <v>35</v>
      </c>
      <c r="K3" s="4" t="str">
        <f t="shared" ca="1" si="0"/>
        <v>Abierta</v>
      </c>
      <c r="L3" s="8">
        <v>5000</v>
      </c>
      <c r="M3" s="8" t="s">
        <v>136</v>
      </c>
      <c r="N3" s="4" t="s">
        <v>36</v>
      </c>
      <c r="O3" s="4" t="s">
        <v>137</v>
      </c>
      <c r="P3" s="4" t="s">
        <v>84</v>
      </c>
      <c r="Q3" s="4" t="s">
        <v>1295</v>
      </c>
      <c r="R3" s="10" t="s">
        <v>138</v>
      </c>
      <c r="S3" s="3" t="s">
        <v>40</v>
      </c>
      <c r="T3" s="3" t="s">
        <v>40</v>
      </c>
      <c r="U3" s="3" t="s">
        <v>127</v>
      </c>
      <c r="V3" s="4" t="s">
        <v>139</v>
      </c>
      <c r="W3" s="4" t="s">
        <v>140</v>
      </c>
      <c r="X3" s="10" t="s">
        <v>1296</v>
      </c>
      <c r="Y3" s="4" t="s">
        <v>141</v>
      </c>
      <c r="Z3" s="4" t="s">
        <v>142</v>
      </c>
      <c r="AA3" s="4"/>
      <c r="AB3" s="5">
        <v>46218</v>
      </c>
      <c r="AC3" s="3" t="s">
        <v>132</v>
      </c>
      <c r="AD3" s="4" t="s">
        <v>154</v>
      </c>
    </row>
    <row r="4" spans="1:30" ht="57">
      <c r="A4" s="3" t="s">
        <v>215</v>
      </c>
      <c r="B4" s="4" t="s">
        <v>42</v>
      </c>
      <c r="C4" s="4" t="s">
        <v>144</v>
      </c>
      <c r="D4" s="4" t="s">
        <v>143</v>
      </c>
      <c r="E4" s="4" t="s">
        <v>31</v>
      </c>
      <c r="F4" s="4" t="s">
        <v>32</v>
      </c>
      <c r="G4" s="6">
        <v>72686</v>
      </c>
      <c r="H4" s="4" t="s">
        <v>56</v>
      </c>
      <c r="I4" s="4" t="s">
        <v>70</v>
      </c>
      <c r="J4" s="4" t="s">
        <v>35</v>
      </c>
      <c r="K4" s="4" t="str">
        <f t="shared" ca="1" si="0"/>
        <v>Abierta</v>
      </c>
      <c r="L4" s="8">
        <v>1000</v>
      </c>
      <c r="M4" s="8">
        <v>1000</v>
      </c>
      <c r="N4" s="4" t="s">
        <v>36</v>
      </c>
      <c r="O4" s="4" t="s">
        <v>137</v>
      </c>
      <c r="P4" s="4" t="s">
        <v>145</v>
      </c>
      <c r="Q4" s="4" t="s">
        <v>146</v>
      </c>
      <c r="R4" s="10" t="s">
        <v>147</v>
      </c>
      <c r="S4" s="4" t="s">
        <v>148</v>
      </c>
      <c r="T4" s="3" t="s">
        <v>40</v>
      </c>
      <c r="U4" s="3" t="s">
        <v>127</v>
      </c>
      <c r="V4" s="4" t="s">
        <v>149</v>
      </c>
      <c r="W4" s="4" t="s">
        <v>150</v>
      </c>
      <c r="X4" s="4" t="s">
        <v>151</v>
      </c>
      <c r="Y4" s="4" t="s">
        <v>152</v>
      </c>
      <c r="Z4" s="13" t="s">
        <v>153</v>
      </c>
      <c r="AA4" s="13"/>
      <c r="AB4" s="5">
        <v>46218</v>
      </c>
      <c r="AC4" s="3" t="s">
        <v>266</v>
      </c>
      <c r="AD4" s="4"/>
    </row>
    <row r="5" spans="1:30" ht="285">
      <c r="A5" s="3" t="s">
        <v>216</v>
      </c>
      <c r="B5" s="4" t="s">
        <v>42</v>
      </c>
      <c r="C5" s="4" t="s">
        <v>156</v>
      </c>
      <c r="D5" s="4" t="s">
        <v>157</v>
      </c>
      <c r="E5" s="4" t="s">
        <v>43</v>
      </c>
      <c r="F5" s="4" t="s">
        <v>134</v>
      </c>
      <c r="G5" s="6">
        <v>46112</v>
      </c>
      <c r="H5" s="4" t="s">
        <v>33</v>
      </c>
      <c r="I5" s="4" t="s">
        <v>34</v>
      </c>
      <c r="J5" s="4" t="s">
        <v>50</v>
      </c>
      <c r="K5" s="4" t="str">
        <f t="shared" ca="1" si="0"/>
        <v>Cerrada</v>
      </c>
      <c r="L5" s="8">
        <v>0</v>
      </c>
      <c r="M5" s="8">
        <v>12000000</v>
      </c>
      <c r="N5" s="4" t="s">
        <v>65</v>
      </c>
      <c r="O5" s="4"/>
      <c r="P5" s="4" t="s">
        <v>169</v>
      </c>
      <c r="Q5" s="4" t="s">
        <v>158</v>
      </c>
      <c r="R5" s="4" t="s">
        <v>159</v>
      </c>
      <c r="S5" s="4" t="s">
        <v>134</v>
      </c>
      <c r="T5" s="4" t="s">
        <v>40</v>
      </c>
      <c r="U5" s="4" t="s">
        <v>127</v>
      </c>
      <c r="V5" s="4" t="s">
        <v>160</v>
      </c>
      <c r="W5" s="4" t="s">
        <v>161</v>
      </c>
      <c r="X5" s="4" t="s">
        <v>162</v>
      </c>
      <c r="Y5" s="12" t="s">
        <v>177</v>
      </c>
      <c r="Z5" s="13" t="s">
        <v>163</v>
      </c>
      <c r="AA5" s="4"/>
      <c r="AB5" s="6">
        <v>46218</v>
      </c>
      <c r="AC5" s="4" t="s">
        <v>267</v>
      </c>
      <c r="AD5" s="4" t="s">
        <v>164</v>
      </c>
    </row>
    <row r="6" spans="1:30" ht="42.75">
      <c r="A6" s="3" t="s">
        <v>217</v>
      </c>
      <c r="B6" s="4" t="s">
        <v>42</v>
      </c>
      <c r="C6" t="s">
        <v>165</v>
      </c>
      <c r="D6" s="4" t="s">
        <v>166</v>
      </c>
      <c r="E6" s="4" t="s">
        <v>167</v>
      </c>
      <c r="F6" s="4" t="s">
        <v>32</v>
      </c>
      <c r="G6" s="6">
        <v>46063</v>
      </c>
      <c r="H6" s="4" t="s">
        <v>33</v>
      </c>
      <c r="I6" s="4" t="s">
        <v>70</v>
      </c>
      <c r="J6" s="4" t="s">
        <v>50</v>
      </c>
      <c r="K6" s="4" t="str">
        <f t="shared" ca="1" si="0"/>
        <v>Cerrada</v>
      </c>
      <c r="L6" s="8"/>
      <c r="M6" s="8"/>
      <c r="N6" s="4" t="s">
        <v>36</v>
      </c>
      <c r="O6" s="4" t="s">
        <v>168</v>
      </c>
      <c r="P6" s="4" t="s">
        <v>171</v>
      </c>
      <c r="Q6" s="4" t="s">
        <v>170</v>
      </c>
      <c r="R6" s="4" t="s">
        <v>172</v>
      </c>
      <c r="S6" s="4" t="s">
        <v>173</v>
      </c>
      <c r="T6" s="4" t="s">
        <v>173</v>
      </c>
      <c r="U6" s="4" t="s">
        <v>202</v>
      </c>
      <c r="V6" s="4" t="s">
        <v>174</v>
      </c>
      <c r="W6" s="4" t="s">
        <v>175</v>
      </c>
      <c r="X6" s="4" t="s">
        <v>176</v>
      </c>
      <c r="Y6" s="12" t="s">
        <v>178</v>
      </c>
      <c r="Z6" s="13" t="s">
        <v>179</v>
      </c>
      <c r="AA6" s="13" t="s">
        <v>180</v>
      </c>
      <c r="AB6" s="6">
        <v>46218</v>
      </c>
      <c r="AC6" s="4" t="s">
        <v>268</v>
      </c>
      <c r="AD6" s="4" t="s">
        <v>181</v>
      </c>
    </row>
    <row r="7" spans="1:30" ht="42.75">
      <c r="A7" s="3" t="s">
        <v>218</v>
      </c>
      <c r="B7" s="4" t="s">
        <v>42</v>
      </c>
      <c r="C7" s="4" t="s">
        <v>182</v>
      </c>
      <c r="D7" s="4" t="s">
        <v>183</v>
      </c>
      <c r="E7" s="4" t="s">
        <v>55</v>
      </c>
      <c r="F7" s="4" t="s">
        <v>184</v>
      </c>
      <c r="G7" s="6">
        <v>46113</v>
      </c>
      <c r="H7" s="4" t="s">
        <v>33</v>
      </c>
      <c r="I7" s="4" t="s">
        <v>70</v>
      </c>
      <c r="J7" s="4" t="s">
        <v>50</v>
      </c>
      <c r="K7" s="4" t="str">
        <f t="shared" ca="1" si="0"/>
        <v>Cerrada</v>
      </c>
      <c r="L7" s="8">
        <v>10000</v>
      </c>
      <c r="M7" s="8">
        <v>200000</v>
      </c>
      <c r="N7" s="4" t="s">
        <v>36</v>
      </c>
      <c r="O7" s="4" t="s">
        <v>185</v>
      </c>
      <c r="P7" s="4" t="s">
        <v>186</v>
      </c>
      <c r="Q7" s="4" t="s">
        <v>187</v>
      </c>
      <c r="R7" s="4" t="s">
        <v>188</v>
      </c>
      <c r="S7" s="4" t="s">
        <v>189</v>
      </c>
      <c r="T7" s="4" t="s">
        <v>173</v>
      </c>
      <c r="U7" s="4" t="s">
        <v>203</v>
      </c>
      <c r="V7" s="4" t="s">
        <v>190</v>
      </c>
      <c r="W7" s="4" t="s">
        <v>191</v>
      </c>
      <c r="X7" s="4" t="s">
        <v>192</v>
      </c>
      <c r="Y7" s="4" t="s">
        <v>193</v>
      </c>
      <c r="Z7" s="13" t="s">
        <v>194</v>
      </c>
      <c r="AA7" s="13" t="s">
        <v>195</v>
      </c>
      <c r="AB7" s="6">
        <v>46218</v>
      </c>
      <c r="AC7" s="4" t="s">
        <v>269</v>
      </c>
      <c r="AD7" s="4" t="s">
        <v>196</v>
      </c>
    </row>
    <row r="8" spans="1:30" ht="57">
      <c r="A8" s="3" t="s">
        <v>219</v>
      </c>
      <c r="B8" s="4" t="s">
        <v>42</v>
      </c>
      <c r="C8" s="4" t="s">
        <v>197</v>
      </c>
      <c r="D8" s="4" t="s">
        <v>198</v>
      </c>
      <c r="E8" s="4" t="s">
        <v>47</v>
      </c>
      <c r="F8" s="4" t="s">
        <v>199</v>
      </c>
      <c r="G8" s="6">
        <v>46234</v>
      </c>
      <c r="H8" s="4" t="s">
        <v>33</v>
      </c>
      <c r="I8" s="4" t="s">
        <v>49</v>
      </c>
      <c r="J8" s="4" t="s">
        <v>35</v>
      </c>
      <c r="K8" s="4" t="str">
        <f t="shared" ca="1" si="0"/>
        <v>Próxima a vencer</v>
      </c>
      <c r="L8" s="8">
        <v>10000</v>
      </c>
      <c r="M8" s="8">
        <v>500000</v>
      </c>
      <c r="N8" s="4" t="s">
        <v>59</v>
      </c>
      <c r="O8" s="4" t="s">
        <v>185</v>
      </c>
      <c r="P8" s="4" t="s">
        <v>37</v>
      </c>
      <c r="Q8" s="4" t="s">
        <v>1304</v>
      </c>
      <c r="R8" s="10" t="s">
        <v>200</v>
      </c>
      <c r="S8" s="4" t="s">
        <v>201</v>
      </c>
      <c r="T8" s="4" t="s">
        <v>201</v>
      </c>
      <c r="U8" s="4" t="s">
        <v>210</v>
      </c>
      <c r="V8" s="4" t="s">
        <v>204</v>
      </c>
      <c r="W8" s="4" t="s">
        <v>205</v>
      </c>
      <c r="X8" s="4" t="s">
        <v>206</v>
      </c>
      <c r="Y8" s="4" t="s">
        <v>211</v>
      </c>
      <c r="Z8" s="13" t="s">
        <v>207</v>
      </c>
      <c r="AA8" s="4" t="s">
        <v>208</v>
      </c>
      <c r="AB8" s="6">
        <v>46218</v>
      </c>
      <c r="AC8" s="4" t="s">
        <v>270</v>
      </c>
      <c r="AD8" s="4" t="s">
        <v>209</v>
      </c>
    </row>
    <row r="9" spans="1:30" ht="42.75">
      <c r="A9" s="3" t="s">
        <v>220</v>
      </c>
      <c r="B9" s="4" t="s">
        <v>42</v>
      </c>
      <c r="C9" s="4" t="s">
        <v>212</v>
      </c>
      <c r="D9" s="4" t="s">
        <v>166</v>
      </c>
      <c r="E9" s="4" t="s">
        <v>69</v>
      </c>
      <c r="F9" s="4" t="s">
        <v>32</v>
      </c>
      <c r="G9" s="6">
        <v>46142</v>
      </c>
      <c r="H9" s="4" t="s">
        <v>33</v>
      </c>
      <c r="I9" s="4" t="s">
        <v>75</v>
      </c>
      <c r="J9" s="4" t="s">
        <v>50</v>
      </c>
      <c r="K9" s="4" t="str">
        <f t="shared" ca="1" si="0"/>
        <v>Cerrada</v>
      </c>
      <c r="L9" s="8"/>
      <c r="M9" s="8">
        <v>15000</v>
      </c>
      <c r="N9" s="4" t="s">
        <v>36</v>
      </c>
      <c r="O9" s="4" t="s">
        <v>185</v>
      </c>
      <c r="P9" s="4" t="s">
        <v>66</v>
      </c>
      <c r="Q9" s="4" t="s">
        <v>221</v>
      </c>
      <c r="R9" s="4" t="s">
        <v>221</v>
      </c>
      <c r="S9" s="4" t="s">
        <v>184</v>
      </c>
      <c r="T9" s="4" t="s">
        <v>173</v>
      </c>
      <c r="U9" s="4" t="s">
        <v>222</v>
      </c>
      <c r="V9" s="4" t="s">
        <v>223</v>
      </c>
      <c r="W9" s="4" t="s">
        <v>224</v>
      </c>
      <c r="X9" t="s">
        <v>225</v>
      </c>
      <c r="Y9" s="4" t="s">
        <v>226</v>
      </c>
      <c r="Z9" s="13" t="s">
        <v>227</v>
      </c>
      <c r="AA9" s="4"/>
      <c r="AB9" s="6">
        <v>46219</v>
      </c>
      <c r="AC9" s="4" t="s">
        <v>271</v>
      </c>
      <c r="AD9" s="4" t="s">
        <v>228</v>
      </c>
    </row>
    <row r="10" spans="1:30" ht="71.25">
      <c r="A10" s="3" t="s">
        <v>229</v>
      </c>
      <c r="B10" s="4" t="s">
        <v>42</v>
      </c>
      <c r="C10" s="4" t="s">
        <v>230</v>
      </c>
      <c r="D10" t="s">
        <v>231</v>
      </c>
      <c r="E10" s="4" t="s">
        <v>31</v>
      </c>
      <c r="F10" s="4" t="s">
        <v>32</v>
      </c>
      <c r="G10" s="6">
        <v>46255</v>
      </c>
      <c r="H10" s="4" t="s">
        <v>33</v>
      </c>
      <c r="I10" s="4" t="s">
        <v>34</v>
      </c>
      <c r="J10" s="4" t="s">
        <v>35</v>
      </c>
      <c r="K10" s="4" t="str">
        <f t="shared" ca="1" si="0"/>
        <v>Próxima a vencer</v>
      </c>
      <c r="L10" s="8">
        <v>200000</v>
      </c>
      <c r="M10" s="8">
        <v>5000000</v>
      </c>
      <c r="N10" s="4" t="s">
        <v>36</v>
      </c>
      <c r="O10" s="4" t="s">
        <v>185</v>
      </c>
      <c r="P10" s="4" t="s">
        <v>186</v>
      </c>
      <c r="Q10" s="10" t="s">
        <v>232</v>
      </c>
      <c r="R10" s="4" t="s">
        <v>233</v>
      </c>
      <c r="S10" s="4" t="s">
        <v>184</v>
      </c>
      <c r="T10" s="4" t="s">
        <v>234</v>
      </c>
      <c r="U10" s="4" t="s">
        <v>235</v>
      </c>
      <c r="V10" s="4" t="s">
        <v>236</v>
      </c>
      <c r="W10" s="4" t="s">
        <v>238</v>
      </c>
      <c r="X10" s="4" t="s">
        <v>237</v>
      </c>
      <c r="Y10" s="4"/>
      <c r="Z10" s="13" t="s">
        <v>239</v>
      </c>
      <c r="AA10" s="13" t="s">
        <v>240</v>
      </c>
      <c r="AB10" s="6">
        <v>46219</v>
      </c>
      <c r="AC10" s="4" t="s">
        <v>272</v>
      </c>
      <c r="AD10" s="4" t="s">
        <v>241</v>
      </c>
    </row>
    <row r="11" spans="1:30" ht="42.75">
      <c r="A11" s="3" t="s">
        <v>242</v>
      </c>
      <c r="B11" s="4" t="s">
        <v>42</v>
      </c>
      <c r="C11" s="4" t="s">
        <v>250</v>
      </c>
      <c r="D11" s="4" t="s">
        <v>243</v>
      </c>
      <c r="E11" s="4" t="s">
        <v>69</v>
      </c>
      <c r="F11" s="4" t="s">
        <v>32</v>
      </c>
      <c r="G11" s="6">
        <v>46264</v>
      </c>
      <c r="H11" s="4" t="s">
        <v>33</v>
      </c>
      <c r="I11" s="4" t="s">
        <v>75</v>
      </c>
      <c r="J11" s="4" t="s">
        <v>35</v>
      </c>
      <c r="K11" s="4" t="str">
        <f t="shared" ca="1" si="0"/>
        <v>Abierta</v>
      </c>
      <c r="L11" s="8">
        <v>6000</v>
      </c>
      <c r="M11" s="8">
        <v>25000</v>
      </c>
      <c r="N11" s="4" t="s">
        <v>36</v>
      </c>
      <c r="O11" s="4" t="s">
        <v>185</v>
      </c>
      <c r="P11" s="4" t="s">
        <v>52</v>
      </c>
      <c r="Q11" s="4" t="s">
        <v>221</v>
      </c>
      <c r="R11" s="4" t="s">
        <v>221</v>
      </c>
      <c r="S11" s="4" t="s">
        <v>184</v>
      </c>
      <c r="T11" s="4" t="s">
        <v>173</v>
      </c>
      <c r="U11" s="4" t="s">
        <v>246</v>
      </c>
      <c r="V11" s="4" t="s">
        <v>245</v>
      </c>
      <c r="W11" s="4" t="s">
        <v>247</v>
      </c>
      <c r="X11" s="4" t="s">
        <v>244</v>
      </c>
      <c r="Y11" s="4"/>
      <c r="Z11" s="13" t="s">
        <v>248</v>
      </c>
      <c r="AA11" s="13" t="s">
        <v>249</v>
      </c>
      <c r="AB11" s="6">
        <v>46219</v>
      </c>
      <c r="AC11" s="4" t="s">
        <v>273</v>
      </c>
      <c r="AD11" s="4"/>
    </row>
    <row r="12" spans="1:30" ht="85.5">
      <c r="A12" s="3" t="s">
        <v>252</v>
      </c>
      <c r="B12" s="4"/>
      <c r="C12" t="s">
        <v>251</v>
      </c>
      <c r="D12" s="4" t="s">
        <v>253</v>
      </c>
      <c r="E12" s="4" t="s">
        <v>55</v>
      </c>
      <c r="F12" s="4" t="s">
        <v>254</v>
      </c>
      <c r="G12" s="6">
        <v>46357</v>
      </c>
      <c r="H12" s="4" t="s">
        <v>33</v>
      </c>
      <c r="I12" s="4" t="s">
        <v>34</v>
      </c>
      <c r="J12" s="4" t="s">
        <v>35</v>
      </c>
      <c r="K12" s="4" t="str">
        <f t="shared" ca="1" si="0"/>
        <v>Abierta</v>
      </c>
      <c r="L12" s="8"/>
      <c r="M12" s="8">
        <v>5000000</v>
      </c>
      <c r="N12" s="4" t="s">
        <v>51</v>
      </c>
      <c r="O12" s="4" t="s">
        <v>185</v>
      </c>
      <c r="P12" s="4" t="s">
        <v>37</v>
      </c>
      <c r="Q12" s="4" t="s">
        <v>255</v>
      </c>
      <c r="R12" s="4" t="s">
        <v>256</v>
      </c>
      <c r="S12" s="4" t="s">
        <v>257</v>
      </c>
      <c r="T12" s="4" t="s">
        <v>258</v>
      </c>
      <c r="U12" s="4" t="s">
        <v>259</v>
      </c>
      <c r="V12" s="4" t="s">
        <v>260</v>
      </c>
      <c r="W12" s="4" t="s">
        <v>261</v>
      </c>
      <c r="X12" s="4" t="s">
        <v>262</v>
      </c>
      <c r="Y12" s="4"/>
      <c r="Z12" s="13" t="s">
        <v>263</v>
      </c>
      <c r="AA12" s="4"/>
      <c r="AB12" s="6">
        <v>46219</v>
      </c>
      <c r="AC12" s="4" t="s">
        <v>264</v>
      </c>
      <c r="AD12" s="4"/>
    </row>
    <row r="13" spans="1:30" ht="128.25">
      <c r="A13" s="3" t="s">
        <v>274</v>
      </c>
      <c r="B13" s="4" t="s">
        <v>42</v>
      </c>
      <c r="C13" s="4" t="s">
        <v>275</v>
      </c>
      <c r="D13" s="4" t="s">
        <v>276</v>
      </c>
      <c r="E13" s="4" t="s">
        <v>55</v>
      </c>
      <c r="F13" s="4" t="s">
        <v>254</v>
      </c>
      <c r="G13" s="6">
        <v>46063</v>
      </c>
      <c r="H13" s="4" t="s">
        <v>33</v>
      </c>
      <c r="I13" s="4" t="s">
        <v>34</v>
      </c>
      <c r="J13" s="4" t="s">
        <v>50</v>
      </c>
      <c r="K13" s="4" t="str">
        <f t="shared" ca="1" si="0"/>
        <v>Cerrada</v>
      </c>
      <c r="L13" s="8">
        <v>200000</v>
      </c>
      <c r="M13" s="8">
        <v>1000000</v>
      </c>
      <c r="N13" s="4" t="s">
        <v>51</v>
      </c>
      <c r="O13" s="4" t="s">
        <v>277</v>
      </c>
      <c r="P13" s="4" t="s">
        <v>37</v>
      </c>
      <c r="Q13" s="4" t="s">
        <v>1305</v>
      </c>
      <c r="R13" s="4" t="s">
        <v>278</v>
      </c>
      <c r="S13" s="4" t="s">
        <v>279</v>
      </c>
      <c r="T13" s="4" t="s">
        <v>173</v>
      </c>
      <c r="U13" s="4" t="s">
        <v>280</v>
      </c>
      <c r="V13" s="4" t="s">
        <v>281</v>
      </c>
      <c r="W13" s="4" t="s">
        <v>282</v>
      </c>
      <c r="X13" s="4" t="s">
        <v>284</v>
      </c>
      <c r="Y13" s="4" t="s">
        <v>283</v>
      </c>
      <c r="Z13" s="13" t="s">
        <v>285</v>
      </c>
      <c r="AA13" s="4"/>
      <c r="AB13" s="6">
        <v>46219</v>
      </c>
      <c r="AC13" s="4" t="s">
        <v>286</v>
      </c>
      <c r="AD13" s="4"/>
    </row>
    <row r="14" spans="1:30" ht="85.5">
      <c r="A14" s="3" t="s">
        <v>287</v>
      </c>
      <c r="B14" s="4" t="s">
        <v>42</v>
      </c>
      <c r="C14" s="4" t="s">
        <v>288</v>
      </c>
      <c r="D14" s="4" t="s">
        <v>289</v>
      </c>
      <c r="E14" s="4" t="s">
        <v>55</v>
      </c>
      <c r="F14" s="4" t="s">
        <v>32</v>
      </c>
      <c r="G14" s="6"/>
      <c r="H14" s="4" t="s">
        <v>63</v>
      </c>
      <c r="I14" s="4" t="s">
        <v>70</v>
      </c>
      <c r="J14" s="4" t="s">
        <v>64</v>
      </c>
      <c r="K14" s="4" t="str">
        <f t="shared" ca="1" si="0"/>
        <v>Sin fecha</v>
      </c>
      <c r="L14" s="8">
        <v>15000</v>
      </c>
      <c r="M14" s="8">
        <v>30000</v>
      </c>
      <c r="N14" s="4" t="s">
        <v>36</v>
      </c>
      <c r="O14" s="4" t="s">
        <v>290</v>
      </c>
      <c r="P14" s="4" t="s">
        <v>186</v>
      </c>
      <c r="Q14" s="4" t="s">
        <v>1306</v>
      </c>
      <c r="R14" s="4" t="s">
        <v>291</v>
      </c>
      <c r="S14" s="4" t="s">
        <v>184</v>
      </c>
      <c r="T14" s="4" t="s">
        <v>292</v>
      </c>
      <c r="U14" s="4" t="s">
        <v>293</v>
      </c>
      <c r="V14" s="4" t="s">
        <v>294</v>
      </c>
      <c r="W14" s="4" t="s">
        <v>295</v>
      </c>
      <c r="X14" s="4" t="s">
        <v>296</v>
      </c>
      <c r="Y14" s="4" t="s">
        <v>297</v>
      </c>
      <c r="Z14" s="13" t="s">
        <v>298</v>
      </c>
      <c r="AA14" s="4"/>
      <c r="AB14" s="6">
        <v>46219</v>
      </c>
      <c r="AC14" s="4" t="s">
        <v>299</v>
      </c>
      <c r="AD14" s="4" t="s">
        <v>300</v>
      </c>
    </row>
    <row r="15" spans="1:30" ht="85.5">
      <c r="A15" s="3" t="s">
        <v>301</v>
      </c>
      <c r="B15" s="4" t="s">
        <v>42</v>
      </c>
      <c r="C15" s="4" t="s">
        <v>302</v>
      </c>
      <c r="D15" s="4" t="s">
        <v>303</v>
      </c>
      <c r="E15" s="4" t="s">
        <v>31</v>
      </c>
      <c r="F15" s="4" t="s">
        <v>32</v>
      </c>
      <c r="G15" s="6">
        <v>46280</v>
      </c>
      <c r="H15" s="4" t="s">
        <v>33</v>
      </c>
      <c r="I15" s="4" t="s">
        <v>70</v>
      </c>
      <c r="J15" s="4" t="s">
        <v>35</v>
      </c>
      <c r="K15" s="4" t="str">
        <f t="shared" ca="1" si="0"/>
        <v>Abierta</v>
      </c>
      <c r="L15" s="8">
        <v>25000</v>
      </c>
      <c r="M15" s="8">
        <v>25000</v>
      </c>
      <c r="N15" s="4" t="s">
        <v>36</v>
      </c>
      <c r="O15" s="4" t="s">
        <v>137</v>
      </c>
      <c r="P15" s="4" t="s">
        <v>82</v>
      </c>
      <c r="Q15" s="4" t="s">
        <v>304</v>
      </c>
      <c r="R15" s="4"/>
      <c r="S15" s="4" t="s">
        <v>184</v>
      </c>
      <c r="T15" s="4" t="s">
        <v>173</v>
      </c>
      <c r="U15" s="4" t="s">
        <v>305</v>
      </c>
      <c r="V15" s="4" t="s">
        <v>306</v>
      </c>
      <c r="W15" s="4" t="s">
        <v>307</v>
      </c>
      <c r="X15" s="4" t="s">
        <v>308</v>
      </c>
      <c r="Y15" s="4" t="s">
        <v>309</v>
      </c>
      <c r="Z15" s="13" t="s">
        <v>310</v>
      </c>
      <c r="AA15" s="13" t="s">
        <v>311</v>
      </c>
      <c r="AB15" s="6">
        <v>46219</v>
      </c>
      <c r="AC15" s="4" t="s">
        <v>312</v>
      </c>
      <c r="AD15" s="4" t="s">
        <v>313</v>
      </c>
    </row>
    <row r="16" spans="1:30" ht="85.5">
      <c r="A16" s="3" t="s">
        <v>314</v>
      </c>
      <c r="B16" s="4" t="s">
        <v>42</v>
      </c>
      <c r="C16" s="4" t="s">
        <v>315</v>
      </c>
      <c r="D16" s="4" t="s">
        <v>316</v>
      </c>
      <c r="E16" s="4" t="s">
        <v>69</v>
      </c>
      <c r="F16" s="4" t="s">
        <v>32</v>
      </c>
      <c r="G16" s="6">
        <v>46280</v>
      </c>
      <c r="H16" s="4" t="s">
        <v>33</v>
      </c>
      <c r="I16" s="4" t="s">
        <v>84</v>
      </c>
      <c r="J16" s="4" t="s">
        <v>35</v>
      </c>
      <c r="K16" s="4" t="str">
        <f t="shared" ca="1" si="0"/>
        <v>Abierta</v>
      </c>
      <c r="L16" s="8">
        <v>10000</v>
      </c>
      <c r="M16" s="8">
        <v>20000</v>
      </c>
      <c r="N16" s="4" t="s">
        <v>36</v>
      </c>
      <c r="O16" s="4"/>
      <c r="P16" s="4" t="s">
        <v>37</v>
      </c>
      <c r="Q16" s="4" t="s">
        <v>365</v>
      </c>
      <c r="R16" s="4" t="s">
        <v>366</v>
      </c>
      <c r="S16" s="4" t="s">
        <v>184</v>
      </c>
      <c r="T16" s="4" t="s">
        <v>173</v>
      </c>
      <c r="U16" s="4" t="s">
        <v>367</v>
      </c>
      <c r="V16" s="4" t="s">
        <v>368</v>
      </c>
      <c r="W16" s="4" t="s">
        <v>369</v>
      </c>
      <c r="X16" s="4" t="s">
        <v>370</v>
      </c>
      <c r="Y16" s="4" t="s">
        <v>371</v>
      </c>
      <c r="Z16" s="13" t="s">
        <v>372</v>
      </c>
      <c r="AA16" s="4"/>
      <c r="AB16" s="6">
        <v>46220</v>
      </c>
      <c r="AC16" s="4" t="s">
        <v>373</v>
      </c>
      <c r="AD16" s="4" t="s">
        <v>374</v>
      </c>
    </row>
    <row r="17" spans="1:30" ht="128.25">
      <c r="A17" s="3" t="s">
        <v>375</v>
      </c>
      <c r="B17" s="4" t="s">
        <v>42</v>
      </c>
      <c r="C17" s="4" t="s">
        <v>317</v>
      </c>
      <c r="D17" s="4" t="s">
        <v>318</v>
      </c>
      <c r="E17" s="4" t="s">
        <v>31</v>
      </c>
      <c r="F17" s="4" t="s">
        <v>32</v>
      </c>
      <c r="G17" s="6"/>
      <c r="H17" s="4" t="s">
        <v>63</v>
      </c>
      <c r="I17" s="4" t="s">
        <v>70</v>
      </c>
      <c r="J17" s="4" t="s">
        <v>64</v>
      </c>
      <c r="K17" s="4" t="str">
        <f t="shared" ca="1" si="0"/>
        <v>Sin fecha</v>
      </c>
      <c r="L17" s="8">
        <v>21500</v>
      </c>
      <c r="M17" s="8">
        <v>21500</v>
      </c>
      <c r="N17" s="4" t="s">
        <v>36</v>
      </c>
      <c r="O17" s="4" t="s">
        <v>319</v>
      </c>
      <c r="P17" s="4" t="s">
        <v>66</v>
      </c>
      <c r="Q17" s="4" t="s">
        <v>67</v>
      </c>
      <c r="R17" s="4" t="s">
        <v>74</v>
      </c>
      <c r="S17" s="4" t="s">
        <v>320</v>
      </c>
      <c r="T17" s="4" t="s">
        <v>40</v>
      </c>
      <c r="U17" s="4" t="s">
        <v>321</v>
      </c>
      <c r="V17" s="4" t="s">
        <v>322</v>
      </c>
      <c r="W17" s="4" t="s">
        <v>323</v>
      </c>
      <c r="X17" s="4" t="s">
        <v>324</v>
      </c>
      <c r="Y17" s="4" t="s">
        <v>325</v>
      </c>
      <c r="Z17" s="13" t="str">
        <f>HYPERLINK("https://www.getty.edu/projects/conservation-guest-scholars/","https://www.getty.edu/projects/conservation-guest-scholars/")</f>
        <v>https://www.getty.edu/projects/conservation-guest-scholars/</v>
      </c>
      <c r="AA17" s="4"/>
      <c r="AB17" s="6">
        <v>46220</v>
      </c>
      <c r="AC17" s="4" t="s">
        <v>326</v>
      </c>
      <c r="AD17" s="4" t="s">
        <v>327</v>
      </c>
    </row>
    <row r="18" spans="1:30" ht="114">
      <c r="A18" s="3" t="s">
        <v>376</v>
      </c>
      <c r="B18" s="4" t="s">
        <v>42</v>
      </c>
      <c r="C18" s="4" t="s">
        <v>328</v>
      </c>
      <c r="D18" s="4" t="s">
        <v>329</v>
      </c>
      <c r="E18" s="4" t="s">
        <v>55</v>
      </c>
      <c r="F18" s="4" t="s">
        <v>184</v>
      </c>
      <c r="G18" s="6">
        <v>46266</v>
      </c>
      <c r="H18" s="4" t="s">
        <v>48</v>
      </c>
      <c r="I18" s="4" t="s">
        <v>70</v>
      </c>
      <c r="J18" s="4" t="s">
        <v>64</v>
      </c>
      <c r="K18" s="4" t="str">
        <f ca="1">IF(J18="En revisión","Pendiente Apertura",IF(J18="Cerrada","Cerrada",IF(J18="Suspendida","Suspendida",IF(G18="","Sin fecha",IF(G18&lt;TODAY(),"Vencida",IF(G18-TODAY()&lt;=30,"Próxima a vencer","Abierta"))))))</f>
        <v>Pendiente Apertura</v>
      </c>
      <c r="L18" s="8">
        <v>5000</v>
      </c>
      <c r="M18" s="8">
        <v>15000</v>
      </c>
      <c r="N18" s="4" t="s">
        <v>71</v>
      </c>
      <c r="O18" s="4" t="s">
        <v>330</v>
      </c>
      <c r="P18" s="4" t="s">
        <v>66</v>
      </c>
      <c r="Q18" s="4" t="s">
        <v>331</v>
      </c>
      <c r="R18" s="4" t="s">
        <v>74</v>
      </c>
      <c r="S18" s="4" t="s">
        <v>332</v>
      </c>
      <c r="T18" s="4" t="s">
        <v>363</v>
      </c>
      <c r="U18" s="4" t="s">
        <v>364</v>
      </c>
      <c r="V18" s="4" t="s">
        <v>362</v>
      </c>
      <c r="W18" s="4" t="s">
        <v>333</v>
      </c>
      <c r="X18" s="4" t="s">
        <v>334</v>
      </c>
      <c r="Y18" s="4" t="s">
        <v>335</v>
      </c>
      <c r="Z18" s="13" t="str">
        <f>HYPERLINK("https://www.cca.qc.ca/en/101525/cca-wri-research-fellowship-program","https://www.cca.qc.ca/en/101525/cca-wri-research-fellowship-program")</f>
        <v>https://www.cca.qc.ca/en/101525/cca-wri-research-fellowship-program</v>
      </c>
      <c r="AA18" s="4"/>
      <c r="AB18" s="6">
        <v>46220</v>
      </c>
      <c r="AC18" s="4" t="s">
        <v>336</v>
      </c>
      <c r="AD18" s="4" t="s">
        <v>337</v>
      </c>
    </row>
    <row r="19" spans="1:30" ht="128.25">
      <c r="A19" s="3" t="s">
        <v>377</v>
      </c>
      <c r="B19" s="4" t="s">
        <v>42</v>
      </c>
      <c r="C19" s="4" t="s">
        <v>338</v>
      </c>
      <c r="D19" s="4" t="s">
        <v>339</v>
      </c>
      <c r="E19" s="4" t="s">
        <v>31</v>
      </c>
      <c r="F19" s="4" t="s">
        <v>199</v>
      </c>
      <c r="G19" s="6">
        <v>46209</v>
      </c>
      <c r="H19" s="4" t="s">
        <v>33</v>
      </c>
      <c r="I19" s="4" t="s">
        <v>70</v>
      </c>
      <c r="J19" s="4" t="s">
        <v>50</v>
      </c>
      <c r="K19" s="4" t="str">
        <f t="shared" ref="K19:K80" ca="1" si="1">IF(J19="En revisión","Pendiente Apertura",IF(J19="Cerrada","Cerrada",IF(J19="Suspendida","Suspendida",IF(G19="","Sin fecha",IF(G19&lt;TODAY(),"Vencida",IF(G19-TODAY()&lt;=30,"Próxima a vencer","Abierta"))))))</f>
        <v>Cerrada</v>
      </c>
      <c r="L19" s="8"/>
      <c r="M19" s="8"/>
      <c r="N19" s="4" t="s">
        <v>59</v>
      </c>
      <c r="O19" s="4" t="s">
        <v>340</v>
      </c>
      <c r="P19" s="4" t="s">
        <v>66</v>
      </c>
      <c r="Q19" s="4" t="s">
        <v>38</v>
      </c>
      <c r="R19" s="4" t="s">
        <v>74</v>
      </c>
      <c r="S19" s="4" t="s">
        <v>341</v>
      </c>
      <c r="T19" s="4" t="s">
        <v>342</v>
      </c>
      <c r="U19" s="4" t="s">
        <v>343</v>
      </c>
      <c r="V19" s="4" t="s">
        <v>344</v>
      </c>
      <c r="W19" s="4" t="s">
        <v>345</v>
      </c>
      <c r="X19" s="4" t="s">
        <v>346</v>
      </c>
      <c r="Y19" s="4" t="s">
        <v>347</v>
      </c>
      <c r="Z19" s="13" t="str">
        <f>HYPERLINK("https://www.urbanstudiesfoundation.org/funding/international-fellowships/","https://www.urbanstudiesfoundation.org/funding/international-fellowships/")</f>
        <v>https://www.urbanstudiesfoundation.org/funding/international-fellowships/</v>
      </c>
      <c r="AA19" s="4"/>
      <c r="AB19" s="6">
        <v>46220</v>
      </c>
      <c r="AC19" s="4" t="s">
        <v>348</v>
      </c>
      <c r="AD19" s="4" t="s">
        <v>349</v>
      </c>
    </row>
    <row r="20" spans="1:30" ht="114">
      <c r="A20" s="3" t="s">
        <v>378</v>
      </c>
      <c r="B20" s="4" t="s">
        <v>42</v>
      </c>
      <c r="C20" s="4" t="s">
        <v>350</v>
      </c>
      <c r="D20" s="4" t="s">
        <v>351</v>
      </c>
      <c r="E20" s="4" t="s">
        <v>55</v>
      </c>
      <c r="F20" s="4" t="s">
        <v>184</v>
      </c>
      <c r="G20" s="6">
        <v>46157.708333333299</v>
      </c>
      <c r="H20" s="4" t="s">
        <v>33</v>
      </c>
      <c r="I20" s="4" t="s">
        <v>34</v>
      </c>
      <c r="J20" s="4" t="s">
        <v>50</v>
      </c>
      <c r="K20" s="4" t="str">
        <f t="shared" ca="1" si="1"/>
        <v>Cerrada</v>
      </c>
      <c r="L20" s="8"/>
      <c r="M20" s="8">
        <v>20000</v>
      </c>
      <c r="N20" s="4" t="s">
        <v>51</v>
      </c>
      <c r="O20" s="4" t="s">
        <v>352</v>
      </c>
      <c r="P20" s="4" t="s">
        <v>186</v>
      </c>
      <c r="Q20" s="4" t="s">
        <v>38</v>
      </c>
      <c r="R20" s="4" t="s">
        <v>79</v>
      </c>
      <c r="S20" s="4" t="s">
        <v>353</v>
      </c>
      <c r="T20" s="4" t="s">
        <v>354</v>
      </c>
      <c r="U20" s="4" t="s">
        <v>355</v>
      </c>
      <c r="V20" s="4" t="s">
        <v>356</v>
      </c>
      <c r="W20" s="4" t="s">
        <v>357</v>
      </c>
      <c r="X20" s="4" t="s">
        <v>358</v>
      </c>
      <c r="Y20" s="4" t="s">
        <v>359</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360</v>
      </c>
      <c r="AD20" s="4" t="s">
        <v>361</v>
      </c>
    </row>
    <row r="21" spans="1:30" ht="71.25">
      <c r="A21" s="3" t="s">
        <v>465</v>
      </c>
      <c r="B21" s="4" t="s">
        <v>42</v>
      </c>
      <c r="C21" s="4" t="s">
        <v>379</v>
      </c>
      <c r="D21" s="4" t="s">
        <v>380</v>
      </c>
      <c r="E21" s="4" t="s">
        <v>55</v>
      </c>
      <c r="F21" s="4" t="s">
        <v>254</v>
      </c>
      <c r="G21" s="6">
        <v>46287</v>
      </c>
      <c r="H21" s="4" t="s">
        <v>33</v>
      </c>
      <c r="I21" s="4" t="s">
        <v>34</v>
      </c>
      <c r="J21" s="4" t="s">
        <v>35</v>
      </c>
      <c r="K21" s="4" t="str">
        <f t="shared" ca="1" si="1"/>
        <v>Abierta</v>
      </c>
      <c r="L21" s="8"/>
      <c r="M21" s="8">
        <v>3250000</v>
      </c>
      <c r="N21" s="4" t="s">
        <v>51</v>
      </c>
      <c r="O21" s="4" t="s">
        <v>381</v>
      </c>
      <c r="P21" s="4" t="s">
        <v>186</v>
      </c>
      <c r="Q21" s="4" t="s">
        <v>38</v>
      </c>
      <c r="R21" s="4" t="s">
        <v>79</v>
      </c>
      <c r="S21" s="4" t="s">
        <v>382</v>
      </c>
      <c r="T21" s="4" t="s">
        <v>40</v>
      </c>
      <c r="U21" s="4" t="s">
        <v>383</v>
      </c>
      <c r="V21" s="4" t="s">
        <v>384</v>
      </c>
      <c r="W21" s="4" t="s">
        <v>385</v>
      </c>
      <c r="X21" s="4" t="s">
        <v>386</v>
      </c>
      <c r="Y21" s="4" t="s">
        <v>387</v>
      </c>
      <c r="Z21" s="4" t="s">
        <v>388</v>
      </c>
      <c r="AA21" s="4"/>
      <c r="AB21" s="6">
        <v>46220</v>
      </c>
      <c r="AC21" s="4" t="s">
        <v>389</v>
      </c>
      <c r="AD21" s="4" t="s">
        <v>390</v>
      </c>
    </row>
    <row r="22" spans="1:30" ht="71.25">
      <c r="A22" s="3" t="s">
        <v>466</v>
      </c>
      <c r="B22" s="4" t="s">
        <v>42</v>
      </c>
      <c r="C22" s="4" t="s">
        <v>391</v>
      </c>
      <c r="D22" s="4" t="s">
        <v>392</v>
      </c>
      <c r="E22" s="4" t="s">
        <v>55</v>
      </c>
      <c r="F22" s="4" t="s">
        <v>184</v>
      </c>
      <c r="G22" s="6">
        <v>46132</v>
      </c>
      <c r="H22" s="4" t="s">
        <v>33</v>
      </c>
      <c r="I22" s="4" t="s">
        <v>34</v>
      </c>
      <c r="J22" s="4" t="s">
        <v>50</v>
      </c>
      <c r="K22" s="4" t="str">
        <f t="shared" ca="1" si="1"/>
        <v>Cerrada</v>
      </c>
      <c r="L22" s="8"/>
      <c r="M22" s="8">
        <v>250000</v>
      </c>
      <c r="N22" s="4" t="s">
        <v>36</v>
      </c>
      <c r="O22" s="4" t="s">
        <v>393</v>
      </c>
      <c r="P22" s="4" t="s">
        <v>186</v>
      </c>
      <c r="Q22" s="4" t="s">
        <v>474</v>
      </c>
      <c r="R22" s="4" t="s">
        <v>79</v>
      </c>
      <c r="S22" s="4" t="s">
        <v>394</v>
      </c>
      <c r="T22" s="4" t="s">
        <v>40</v>
      </c>
      <c r="U22" s="4" t="s">
        <v>395</v>
      </c>
      <c r="V22" s="4" t="s">
        <v>396</v>
      </c>
      <c r="W22" s="4" t="s">
        <v>397</v>
      </c>
      <c r="X22" s="4" t="s">
        <v>398</v>
      </c>
      <c r="Y22" s="4" t="s">
        <v>399</v>
      </c>
      <c r="Z22" s="4" t="s">
        <v>400</v>
      </c>
      <c r="AA22" s="4"/>
      <c r="AB22" s="6">
        <v>46220</v>
      </c>
      <c r="AC22" s="4" t="s">
        <v>401</v>
      </c>
      <c r="AD22" s="4" t="s">
        <v>475</v>
      </c>
    </row>
    <row r="23" spans="1:30" ht="71.25">
      <c r="A23" s="3" t="s">
        <v>467</v>
      </c>
      <c r="B23" s="4" t="s">
        <v>42</v>
      </c>
      <c r="C23" s="4" t="s">
        <v>402</v>
      </c>
      <c r="D23" s="4" t="s">
        <v>380</v>
      </c>
      <c r="E23" s="4" t="s">
        <v>55</v>
      </c>
      <c r="F23" s="4" t="s">
        <v>254</v>
      </c>
      <c r="G23" s="6">
        <v>46287</v>
      </c>
      <c r="H23" s="4" t="s">
        <v>33</v>
      </c>
      <c r="I23" s="4" t="s">
        <v>34</v>
      </c>
      <c r="J23" s="4" t="s">
        <v>35</v>
      </c>
      <c r="K23" s="4" t="str">
        <f t="shared" ca="1" si="1"/>
        <v>Abierta</v>
      </c>
      <c r="L23" s="8"/>
      <c r="M23" s="8">
        <v>3250000</v>
      </c>
      <c r="N23" s="4" t="s">
        <v>51</v>
      </c>
      <c r="O23" s="4" t="s">
        <v>381</v>
      </c>
      <c r="P23" s="4" t="s">
        <v>186</v>
      </c>
      <c r="Q23" s="4" t="s">
        <v>1307</v>
      </c>
      <c r="R23" s="4" t="s">
        <v>79</v>
      </c>
      <c r="S23" s="4" t="s">
        <v>382</v>
      </c>
      <c r="T23" s="4" t="s">
        <v>40</v>
      </c>
      <c r="U23" s="4" t="s">
        <v>403</v>
      </c>
      <c r="V23" s="4" t="s">
        <v>404</v>
      </c>
      <c r="W23" s="4" t="s">
        <v>405</v>
      </c>
      <c r="X23" s="4" t="s">
        <v>406</v>
      </c>
      <c r="Y23" s="4" t="s">
        <v>407</v>
      </c>
      <c r="Z23" s="4" t="s">
        <v>408</v>
      </c>
      <c r="AA23" s="4"/>
      <c r="AB23" s="6">
        <v>46220</v>
      </c>
      <c r="AC23" s="4" t="s">
        <v>409</v>
      </c>
      <c r="AD23" s="4" t="s">
        <v>410</v>
      </c>
    </row>
    <row r="24" spans="1:30" ht="57">
      <c r="A24" s="3" t="s">
        <v>468</v>
      </c>
      <c r="B24" s="4" t="s">
        <v>42</v>
      </c>
      <c r="C24" s="4" t="s">
        <v>411</v>
      </c>
      <c r="D24" s="4" t="s">
        <v>351</v>
      </c>
      <c r="E24" s="4" t="s">
        <v>55</v>
      </c>
      <c r="F24" s="4" t="s">
        <v>184</v>
      </c>
      <c r="G24" s="6">
        <v>46157</v>
      </c>
      <c r="H24" s="4" t="s">
        <v>33</v>
      </c>
      <c r="I24" s="4" t="s">
        <v>70</v>
      </c>
      <c r="J24" s="4" t="s">
        <v>50</v>
      </c>
      <c r="K24" s="4" t="str">
        <f t="shared" ca="1" si="1"/>
        <v>Cerrada</v>
      </c>
      <c r="L24" s="8"/>
      <c r="M24" s="8">
        <v>20000</v>
      </c>
      <c r="N24" s="4" t="s">
        <v>51</v>
      </c>
      <c r="O24" s="4" t="s">
        <v>277</v>
      </c>
      <c r="P24" s="4" t="s">
        <v>186</v>
      </c>
      <c r="Q24" s="4" t="s">
        <v>1308</v>
      </c>
      <c r="R24" s="4" t="s">
        <v>476</v>
      </c>
      <c r="S24" s="4" t="s">
        <v>412</v>
      </c>
      <c r="T24" s="4" t="s">
        <v>40</v>
      </c>
      <c r="U24" s="4" t="s">
        <v>413</v>
      </c>
      <c r="V24" s="4" t="s">
        <v>414</v>
      </c>
      <c r="W24" s="4" t="s">
        <v>415</v>
      </c>
      <c r="X24" s="4" t="s">
        <v>416</v>
      </c>
      <c r="Y24" s="4" t="s">
        <v>417</v>
      </c>
      <c r="Z24" s="4" t="s">
        <v>418</v>
      </c>
      <c r="AA24" s="4"/>
      <c r="AB24" s="6">
        <v>46220</v>
      </c>
      <c r="AC24" s="4" t="s">
        <v>419</v>
      </c>
      <c r="AD24" s="4" t="s">
        <v>420</v>
      </c>
    </row>
    <row r="25" spans="1:30" ht="71.25">
      <c r="A25" s="3" t="s">
        <v>469</v>
      </c>
      <c r="B25" s="4" t="s">
        <v>42</v>
      </c>
      <c r="C25" s="4" t="s">
        <v>421</v>
      </c>
      <c r="D25" s="4" t="s">
        <v>422</v>
      </c>
      <c r="E25" s="4" t="s">
        <v>31</v>
      </c>
      <c r="F25" s="4" t="s">
        <v>32</v>
      </c>
      <c r="G25" s="6">
        <v>46357</v>
      </c>
      <c r="H25" s="4" t="s">
        <v>33</v>
      </c>
      <c r="I25" s="4" t="s">
        <v>57</v>
      </c>
      <c r="J25" s="4" t="s">
        <v>35</v>
      </c>
      <c r="K25" s="4" t="str">
        <f t="shared" ca="1" si="1"/>
        <v>Abierta</v>
      </c>
      <c r="L25" s="8">
        <v>15000</v>
      </c>
      <c r="M25" s="8">
        <v>500000</v>
      </c>
      <c r="N25" s="4" t="s">
        <v>36</v>
      </c>
      <c r="O25" s="4" t="s">
        <v>185</v>
      </c>
      <c r="P25" s="4" t="s">
        <v>186</v>
      </c>
      <c r="Q25" s="4" t="s">
        <v>477</v>
      </c>
      <c r="R25" s="4" t="s">
        <v>46</v>
      </c>
      <c r="S25" s="4" t="s">
        <v>40</v>
      </c>
      <c r="T25" s="4" t="s">
        <v>40</v>
      </c>
      <c r="U25" s="4" t="s">
        <v>423</v>
      </c>
      <c r="V25" s="4" t="s">
        <v>424</v>
      </c>
      <c r="W25" s="4" t="s">
        <v>425</v>
      </c>
      <c r="X25" s="4" t="s">
        <v>426</v>
      </c>
      <c r="Y25" s="4" t="s">
        <v>427</v>
      </c>
      <c r="Z25" s="4" t="s">
        <v>428</v>
      </c>
      <c r="AA25" s="4" t="s">
        <v>429</v>
      </c>
      <c r="AB25" s="6">
        <v>46220</v>
      </c>
      <c r="AC25" s="4" t="s">
        <v>430</v>
      </c>
      <c r="AD25" s="4" t="s">
        <v>431</v>
      </c>
    </row>
    <row r="26" spans="1:30" ht="71.25">
      <c r="A26" s="3" t="s">
        <v>470</v>
      </c>
      <c r="B26" s="4" t="s">
        <v>42</v>
      </c>
      <c r="C26" s="4" t="s">
        <v>432</v>
      </c>
      <c r="D26" s="4" t="s">
        <v>380</v>
      </c>
      <c r="E26" s="4" t="s">
        <v>55</v>
      </c>
      <c r="F26" s="4" t="s">
        <v>254</v>
      </c>
      <c r="G26" s="6">
        <v>46287</v>
      </c>
      <c r="H26" s="4" t="s">
        <v>33</v>
      </c>
      <c r="I26" s="4" t="s">
        <v>34</v>
      </c>
      <c r="J26" s="4" t="s">
        <v>35</v>
      </c>
      <c r="K26" s="4" t="str">
        <f t="shared" ca="1" si="1"/>
        <v>Abierta</v>
      </c>
      <c r="L26" s="8"/>
      <c r="M26" s="8">
        <v>7000000</v>
      </c>
      <c r="N26" s="4" t="s">
        <v>51</v>
      </c>
      <c r="O26" s="4" t="s">
        <v>381</v>
      </c>
      <c r="P26" s="4" t="s">
        <v>186</v>
      </c>
      <c r="Q26" s="4" t="s">
        <v>478</v>
      </c>
      <c r="R26" s="4" t="s">
        <v>79</v>
      </c>
      <c r="S26" s="4" t="s">
        <v>382</v>
      </c>
      <c r="T26" s="4" t="s">
        <v>40</v>
      </c>
      <c r="U26" s="4" t="s">
        <v>433</v>
      </c>
      <c r="V26" s="4" t="s">
        <v>434</v>
      </c>
      <c r="W26" s="4" t="s">
        <v>435</v>
      </c>
      <c r="X26" s="4" t="s">
        <v>436</v>
      </c>
      <c r="Y26" s="4" t="s">
        <v>437</v>
      </c>
      <c r="Z26" s="4" t="s">
        <v>438</v>
      </c>
      <c r="AA26" s="4"/>
      <c r="AB26" s="6">
        <v>46220</v>
      </c>
      <c r="AC26" s="4" t="s">
        <v>439</v>
      </c>
      <c r="AD26" s="4" t="s">
        <v>479</v>
      </c>
    </row>
    <row r="27" spans="1:30" ht="71.25">
      <c r="A27" s="3" t="s">
        <v>471</v>
      </c>
      <c r="B27" s="4" t="s">
        <v>42</v>
      </c>
      <c r="C27" s="4" t="s">
        <v>440</v>
      </c>
      <c r="D27" s="4" t="s">
        <v>380</v>
      </c>
      <c r="E27" s="4" t="s">
        <v>55</v>
      </c>
      <c r="F27" s="4" t="s">
        <v>254</v>
      </c>
      <c r="G27" s="6">
        <v>46287</v>
      </c>
      <c r="H27" s="4" t="s">
        <v>33</v>
      </c>
      <c r="I27" s="4" t="s">
        <v>34</v>
      </c>
      <c r="J27" s="4" t="s">
        <v>35</v>
      </c>
      <c r="K27" s="4" t="str">
        <f t="shared" ca="1" si="1"/>
        <v>Abierta</v>
      </c>
      <c r="L27" s="8"/>
      <c r="M27" s="8">
        <v>20000000</v>
      </c>
      <c r="N27" s="4" t="s">
        <v>51</v>
      </c>
      <c r="O27" s="4" t="s">
        <v>381</v>
      </c>
      <c r="P27" s="4" t="s">
        <v>186</v>
      </c>
      <c r="Q27" s="4" t="s">
        <v>480</v>
      </c>
      <c r="R27" s="4" t="s">
        <v>79</v>
      </c>
      <c r="S27" s="4" t="s">
        <v>382</v>
      </c>
      <c r="T27" s="4" t="s">
        <v>40</v>
      </c>
      <c r="U27" s="4" t="s">
        <v>441</v>
      </c>
      <c r="V27" s="4" t="s">
        <v>442</v>
      </c>
      <c r="W27" s="4" t="s">
        <v>443</v>
      </c>
      <c r="X27" s="4" t="s">
        <v>444</v>
      </c>
      <c r="Y27" s="4" t="s">
        <v>445</v>
      </c>
      <c r="Z27" s="4" t="s">
        <v>446</v>
      </c>
      <c r="AA27" s="4"/>
      <c r="AB27" s="6">
        <v>46220</v>
      </c>
      <c r="AC27" s="4" t="s">
        <v>447</v>
      </c>
      <c r="AD27" s="4" t="s">
        <v>483</v>
      </c>
    </row>
    <row r="28" spans="1:30" ht="71.25">
      <c r="A28" s="3" t="s">
        <v>472</v>
      </c>
      <c r="B28" s="4" t="s">
        <v>42</v>
      </c>
      <c r="C28" s="4" t="s">
        <v>448</v>
      </c>
      <c r="D28" s="4" t="s">
        <v>380</v>
      </c>
      <c r="E28" s="4" t="s">
        <v>55</v>
      </c>
      <c r="F28" s="4" t="s">
        <v>254</v>
      </c>
      <c r="G28" s="6">
        <v>46287</v>
      </c>
      <c r="H28" s="4" t="s">
        <v>33</v>
      </c>
      <c r="I28" s="4" t="s">
        <v>34</v>
      </c>
      <c r="J28" s="4" t="s">
        <v>35</v>
      </c>
      <c r="K28" s="4" t="str">
        <f t="shared" ca="1" si="1"/>
        <v>Abierta</v>
      </c>
      <c r="L28" s="8"/>
      <c r="M28" s="8">
        <v>20000000</v>
      </c>
      <c r="N28" s="4" t="s">
        <v>51</v>
      </c>
      <c r="O28" s="4" t="s">
        <v>381</v>
      </c>
      <c r="P28" s="4" t="s">
        <v>186</v>
      </c>
      <c r="Q28" s="4" t="s">
        <v>481</v>
      </c>
      <c r="R28" s="4" t="s">
        <v>79</v>
      </c>
      <c r="S28" s="4" t="s">
        <v>382</v>
      </c>
      <c r="T28" s="4" t="s">
        <v>40</v>
      </c>
      <c r="U28" s="4" t="s">
        <v>449</v>
      </c>
      <c r="V28" s="4" t="s">
        <v>450</v>
      </c>
      <c r="W28" s="4" t="s">
        <v>451</v>
      </c>
      <c r="X28" s="4" t="s">
        <v>452</v>
      </c>
      <c r="Y28" s="4" t="s">
        <v>453</v>
      </c>
      <c r="Z28" s="4" t="s">
        <v>454</v>
      </c>
      <c r="AA28" s="4"/>
      <c r="AB28" s="6">
        <v>46220</v>
      </c>
      <c r="AC28" s="4" t="s">
        <v>455</v>
      </c>
      <c r="AD28" s="4" t="s">
        <v>456</v>
      </c>
    </row>
    <row r="29" spans="1:30" ht="71.25">
      <c r="A29" s="3" t="s">
        <v>473</v>
      </c>
      <c r="B29" s="4" t="s">
        <v>42</v>
      </c>
      <c r="C29" s="4" t="s">
        <v>457</v>
      </c>
      <c r="D29" s="4" t="s">
        <v>380</v>
      </c>
      <c r="E29" s="4" t="s">
        <v>55</v>
      </c>
      <c r="F29" s="4" t="s">
        <v>254</v>
      </c>
      <c r="G29" s="6">
        <v>46287</v>
      </c>
      <c r="H29" s="4" t="s">
        <v>33</v>
      </c>
      <c r="I29" s="4" t="s">
        <v>34</v>
      </c>
      <c r="J29" s="4" t="s">
        <v>35</v>
      </c>
      <c r="K29" s="4" t="str">
        <f t="shared" ca="1" si="1"/>
        <v>Abierta</v>
      </c>
      <c r="L29" s="8"/>
      <c r="M29" s="8">
        <v>7000000</v>
      </c>
      <c r="N29" s="4" t="s">
        <v>51</v>
      </c>
      <c r="O29" s="4" t="s">
        <v>381</v>
      </c>
      <c r="P29" s="4" t="s">
        <v>186</v>
      </c>
      <c r="Q29" s="4" t="s">
        <v>482</v>
      </c>
      <c r="R29" s="4" t="s">
        <v>79</v>
      </c>
      <c r="S29" s="4" t="s">
        <v>382</v>
      </c>
      <c r="T29" s="4" t="s">
        <v>40</v>
      </c>
      <c r="U29" s="4" t="s">
        <v>458</v>
      </c>
      <c r="V29" s="4" t="s">
        <v>459</v>
      </c>
      <c r="W29" s="4" t="s">
        <v>460</v>
      </c>
      <c r="X29" s="4" t="s">
        <v>461</v>
      </c>
      <c r="Y29" s="4" t="s">
        <v>462</v>
      </c>
      <c r="Z29" s="4" t="s">
        <v>463</v>
      </c>
      <c r="AA29" s="4"/>
      <c r="AB29" s="6">
        <v>46220</v>
      </c>
      <c r="AC29" s="4" t="s">
        <v>464</v>
      </c>
      <c r="AD29" s="4" t="s">
        <v>484</v>
      </c>
    </row>
    <row r="30" spans="1:30" ht="71.25">
      <c r="A30" s="3" t="s">
        <v>525</v>
      </c>
      <c r="B30" s="4" t="s">
        <v>42</v>
      </c>
      <c r="C30" s="4" t="s">
        <v>485</v>
      </c>
      <c r="D30" s="4" t="s">
        <v>486</v>
      </c>
      <c r="E30" s="4" t="s">
        <v>55</v>
      </c>
      <c r="F30" s="4" t="s">
        <v>184</v>
      </c>
      <c r="G30" s="6">
        <v>46216</v>
      </c>
      <c r="H30" s="4" t="s">
        <v>33</v>
      </c>
      <c r="I30" s="4" t="s">
        <v>44</v>
      </c>
      <c r="J30" s="4" t="s">
        <v>50</v>
      </c>
      <c r="K30" s="4" t="str">
        <f t="shared" ca="1" si="1"/>
        <v>Cerrada</v>
      </c>
      <c r="L30" s="8"/>
      <c r="M30" s="8">
        <v>50000</v>
      </c>
      <c r="N30" s="4" t="s">
        <v>36</v>
      </c>
      <c r="O30" s="4" t="s">
        <v>524</v>
      </c>
      <c r="P30" s="4" t="s">
        <v>186</v>
      </c>
      <c r="Q30" s="4" t="s">
        <v>487</v>
      </c>
      <c r="R30" s="4" t="s">
        <v>46</v>
      </c>
      <c r="S30" s="4" t="s">
        <v>488</v>
      </c>
      <c r="T30" s="4" t="s">
        <v>40</v>
      </c>
      <c r="U30" s="4" t="s">
        <v>489</v>
      </c>
      <c r="V30" s="4" t="s">
        <v>490</v>
      </c>
      <c r="W30" s="4" t="s">
        <v>491</v>
      </c>
      <c r="X30" s="4" t="s">
        <v>492</v>
      </c>
      <c r="Y30" s="4" t="s">
        <v>493</v>
      </c>
      <c r="Z30" s="4" t="s">
        <v>494</v>
      </c>
      <c r="AA30" s="4"/>
      <c r="AB30" s="6">
        <v>46220</v>
      </c>
      <c r="AC30" s="4" t="s">
        <v>495</v>
      </c>
      <c r="AD30" s="4" t="s">
        <v>496</v>
      </c>
    </row>
    <row r="31" spans="1:30" ht="71.25">
      <c r="A31" s="3" t="s">
        <v>526</v>
      </c>
      <c r="B31" s="4" t="s">
        <v>42</v>
      </c>
      <c r="C31" s="4" t="s">
        <v>497</v>
      </c>
      <c r="D31" s="4" t="s">
        <v>351</v>
      </c>
      <c r="E31" s="4" t="s">
        <v>55</v>
      </c>
      <c r="F31" s="4" t="s">
        <v>184</v>
      </c>
      <c r="G31" s="6">
        <v>46157</v>
      </c>
      <c r="H31" s="4" t="s">
        <v>33</v>
      </c>
      <c r="I31" s="4" t="s">
        <v>34</v>
      </c>
      <c r="J31" s="4" t="s">
        <v>50</v>
      </c>
      <c r="K31" s="4" t="str">
        <f t="shared" ca="1" si="1"/>
        <v>Cerrada</v>
      </c>
      <c r="L31" s="8"/>
      <c r="M31" s="8">
        <v>20000</v>
      </c>
      <c r="N31" s="4" t="s">
        <v>51</v>
      </c>
      <c r="O31" s="4" t="s">
        <v>277</v>
      </c>
      <c r="P31" s="4" t="s">
        <v>186</v>
      </c>
      <c r="Q31" s="4" t="s">
        <v>498</v>
      </c>
      <c r="R31" s="4" t="s">
        <v>79</v>
      </c>
      <c r="S31" s="4" t="s">
        <v>412</v>
      </c>
      <c r="T31" s="4" t="s">
        <v>40</v>
      </c>
      <c r="U31" s="4" t="s">
        <v>499</v>
      </c>
      <c r="V31" s="4" t="s">
        <v>500</v>
      </c>
      <c r="W31" s="4" t="s">
        <v>501</v>
      </c>
      <c r="X31" s="4" t="s">
        <v>502</v>
      </c>
      <c r="Y31" s="4" t="s">
        <v>503</v>
      </c>
      <c r="Z31" s="4" t="s">
        <v>418</v>
      </c>
      <c r="AA31" s="4"/>
      <c r="AB31" s="6">
        <v>46220</v>
      </c>
      <c r="AC31" s="4" t="s">
        <v>504</v>
      </c>
      <c r="AD31" s="4" t="s">
        <v>505</v>
      </c>
    </row>
    <row r="32" spans="1:30" ht="71.25">
      <c r="A32" s="3" t="s">
        <v>527</v>
      </c>
      <c r="B32" s="4" t="s">
        <v>42</v>
      </c>
      <c r="C32" s="4" t="s">
        <v>506</v>
      </c>
      <c r="D32" s="4" t="s">
        <v>351</v>
      </c>
      <c r="E32" s="4" t="s">
        <v>55</v>
      </c>
      <c r="F32" s="4" t="s">
        <v>184</v>
      </c>
      <c r="G32" s="6">
        <v>46157</v>
      </c>
      <c r="H32" s="4" t="s">
        <v>33</v>
      </c>
      <c r="I32" s="4" t="s">
        <v>34</v>
      </c>
      <c r="J32" s="4" t="s">
        <v>50</v>
      </c>
      <c r="K32" s="4" t="str">
        <f t="shared" ca="1" si="1"/>
        <v>Cerrada</v>
      </c>
      <c r="L32" s="8"/>
      <c r="M32" s="8">
        <v>20000</v>
      </c>
      <c r="N32" s="4" t="s">
        <v>51</v>
      </c>
      <c r="O32" s="4" t="s">
        <v>277</v>
      </c>
      <c r="P32" s="4" t="s">
        <v>186</v>
      </c>
      <c r="Q32" s="4" t="s">
        <v>507</v>
      </c>
      <c r="R32" s="4" t="s">
        <v>79</v>
      </c>
      <c r="S32" s="4" t="s">
        <v>412</v>
      </c>
      <c r="T32" s="4" t="s">
        <v>40</v>
      </c>
      <c r="U32" s="4" t="s">
        <v>508</v>
      </c>
      <c r="V32" s="4" t="s">
        <v>509</v>
      </c>
      <c r="W32" s="4" t="s">
        <v>510</v>
      </c>
      <c r="X32" s="4" t="s">
        <v>511</v>
      </c>
      <c r="Y32" s="4" t="s">
        <v>512</v>
      </c>
      <c r="Z32" s="4" t="s">
        <v>418</v>
      </c>
      <c r="AA32" s="4"/>
      <c r="AB32" s="6">
        <v>46220</v>
      </c>
      <c r="AC32" s="4" t="s">
        <v>504</v>
      </c>
      <c r="AD32" s="4" t="s">
        <v>529</v>
      </c>
    </row>
    <row r="33" spans="1:30" ht="71.25">
      <c r="A33" s="3" t="s">
        <v>528</v>
      </c>
      <c r="B33" s="4" t="s">
        <v>42</v>
      </c>
      <c r="C33" s="4" t="s">
        <v>513</v>
      </c>
      <c r="D33" s="4" t="s">
        <v>514</v>
      </c>
      <c r="E33" s="4" t="s">
        <v>80</v>
      </c>
      <c r="F33" s="4" t="s">
        <v>32</v>
      </c>
      <c r="G33" s="6">
        <v>46357</v>
      </c>
      <c r="H33" s="4" t="s">
        <v>33</v>
      </c>
      <c r="I33" s="4" t="s">
        <v>70</v>
      </c>
      <c r="J33" s="4" t="s">
        <v>35</v>
      </c>
      <c r="K33" s="4" t="str">
        <f t="shared" ca="1" si="1"/>
        <v>Abierta</v>
      </c>
      <c r="L33" s="8"/>
      <c r="M33" s="8">
        <v>5000</v>
      </c>
      <c r="N33" s="4" t="s">
        <v>36</v>
      </c>
      <c r="O33" s="4"/>
      <c r="P33" s="4" t="s">
        <v>60</v>
      </c>
      <c r="Q33" s="4" t="s">
        <v>1297</v>
      </c>
      <c r="R33" s="4" t="s">
        <v>515</v>
      </c>
      <c r="S33" s="4" t="s">
        <v>40</v>
      </c>
      <c r="T33" s="4" t="s">
        <v>40</v>
      </c>
      <c r="U33" s="4" t="s">
        <v>516</v>
      </c>
      <c r="V33" s="4" t="s">
        <v>517</v>
      </c>
      <c r="W33" s="4" t="s">
        <v>518</v>
      </c>
      <c r="X33" s="4" t="s">
        <v>519</v>
      </c>
      <c r="Y33" s="4" t="s">
        <v>520</v>
      </c>
      <c r="Z33" s="4" t="s">
        <v>521</v>
      </c>
      <c r="AA33" s="4"/>
      <c r="AB33" s="6">
        <v>46220</v>
      </c>
      <c r="AC33" s="4" t="s">
        <v>522</v>
      </c>
      <c r="AD33" s="4" t="s">
        <v>523</v>
      </c>
    </row>
    <row r="34" spans="1:30" ht="71.25">
      <c r="A34" s="3" t="s">
        <v>585</v>
      </c>
      <c r="B34" s="4" t="s">
        <v>42</v>
      </c>
      <c r="C34" s="4" t="s">
        <v>530</v>
      </c>
      <c r="D34" s="4" t="s">
        <v>531</v>
      </c>
      <c r="E34" s="4" t="s">
        <v>80</v>
      </c>
      <c r="F34" s="4" t="s">
        <v>32</v>
      </c>
      <c r="G34" s="6">
        <v>46264</v>
      </c>
      <c r="H34" s="4" t="s">
        <v>33</v>
      </c>
      <c r="I34" s="4" t="s">
        <v>49</v>
      </c>
      <c r="J34" s="4" t="s">
        <v>35</v>
      </c>
      <c r="K34" s="4" t="str">
        <f t="shared" ca="1" si="1"/>
        <v>Abierta</v>
      </c>
      <c r="L34" s="8"/>
      <c r="M34" s="8">
        <v>50000</v>
      </c>
      <c r="N34" s="4" t="s">
        <v>36</v>
      </c>
      <c r="O34" s="4" t="s">
        <v>532</v>
      </c>
      <c r="P34" s="4" t="s">
        <v>186</v>
      </c>
      <c r="Q34" s="4" t="s">
        <v>533</v>
      </c>
      <c r="R34" s="4" t="s">
        <v>534</v>
      </c>
      <c r="S34" s="4" t="s">
        <v>184</v>
      </c>
      <c r="T34" s="4" t="s">
        <v>40</v>
      </c>
      <c r="U34" s="4" t="s">
        <v>535</v>
      </c>
      <c r="V34" s="4" t="s">
        <v>536</v>
      </c>
      <c r="W34" s="4" t="s">
        <v>537</v>
      </c>
      <c r="X34" s="4" t="s">
        <v>538</v>
      </c>
      <c r="Y34" s="4" t="s">
        <v>539</v>
      </c>
      <c r="Z34" s="4" t="s">
        <v>540</v>
      </c>
      <c r="AA34" s="4"/>
      <c r="AB34" s="6">
        <v>46220</v>
      </c>
      <c r="AC34" s="4" t="s">
        <v>541</v>
      </c>
      <c r="AD34" s="4" t="s">
        <v>590</v>
      </c>
    </row>
    <row r="35" spans="1:30" ht="71.25">
      <c r="A35" s="3" t="s">
        <v>586</v>
      </c>
      <c r="B35" s="4" t="s">
        <v>42</v>
      </c>
      <c r="C35" s="4" t="s">
        <v>542</v>
      </c>
      <c r="D35" s="4" t="s">
        <v>543</v>
      </c>
      <c r="E35" s="4" t="s">
        <v>80</v>
      </c>
      <c r="F35" s="4" t="s">
        <v>184</v>
      </c>
      <c r="G35" s="6">
        <v>46295</v>
      </c>
      <c r="H35" s="4" t="s">
        <v>33</v>
      </c>
      <c r="I35" s="4" t="s">
        <v>70</v>
      </c>
      <c r="J35" s="4" t="s">
        <v>35</v>
      </c>
      <c r="K35" s="4" t="str">
        <f t="shared" ca="1" si="1"/>
        <v>Abierta</v>
      </c>
      <c r="L35" s="8"/>
      <c r="M35" s="8">
        <v>2500</v>
      </c>
      <c r="N35" s="4" t="s">
        <v>51</v>
      </c>
      <c r="O35" s="4" t="s">
        <v>544</v>
      </c>
      <c r="P35" s="4" t="s">
        <v>186</v>
      </c>
      <c r="Q35" s="4" t="s">
        <v>545</v>
      </c>
      <c r="R35" s="4" t="s">
        <v>546</v>
      </c>
      <c r="S35" s="4" t="s">
        <v>184</v>
      </c>
      <c r="T35" s="4" t="s">
        <v>40</v>
      </c>
      <c r="U35" s="4" t="s">
        <v>547</v>
      </c>
      <c r="V35" s="4" t="s">
        <v>548</v>
      </c>
      <c r="W35" s="4" t="s">
        <v>549</v>
      </c>
      <c r="X35" s="4" t="s">
        <v>550</v>
      </c>
      <c r="Y35" s="4" t="s">
        <v>551</v>
      </c>
      <c r="Z35" s="4" t="s">
        <v>552</v>
      </c>
      <c r="AA35" s="4"/>
      <c r="AB35" s="6">
        <v>46220</v>
      </c>
      <c r="AC35" s="4" t="s">
        <v>543</v>
      </c>
      <c r="AD35" s="4" t="s">
        <v>553</v>
      </c>
    </row>
    <row r="36" spans="1:30" ht="71.25">
      <c r="A36" s="3" t="s">
        <v>587</v>
      </c>
      <c r="B36" s="4" t="s">
        <v>42</v>
      </c>
      <c r="C36" s="4" t="s">
        <v>554</v>
      </c>
      <c r="D36" s="4" t="s">
        <v>543</v>
      </c>
      <c r="E36" s="4" t="s">
        <v>80</v>
      </c>
      <c r="F36" s="4" t="s">
        <v>184</v>
      </c>
      <c r="G36" s="6">
        <v>46295</v>
      </c>
      <c r="H36" s="4" t="s">
        <v>33</v>
      </c>
      <c r="I36" s="4" t="s">
        <v>70</v>
      </c>
      <c r="J36" s="4" t="s">
        <v>35</v>
      </c>
      <c r="K36" s="4" t="str">
        <f t="shared" ca="1" si="1"/>
        <v>Abierta</v>
      </c>
      <c r="L36" s="8"/>
      <c r="M36" s="8">
        <v>10000</v>
      </c>
      <c r="N36" s="4" t="s">
        <v>51</v>
      </c>
      <c r="O36" s="4" t="s">
        <v>381</v>
      </c>
      <c r="P36" s="4" t="s">
        <v>186</v>
      </c>
      <c r="Q36" s="4" t="s">
        <v>555</v>
      </c>
      <c r="R36" s="4" t="s">
        <v>556</v>
      </c>
      <c r="S36" s="4" t="s">
        <v>557</v>
      </c>
      <c r="T36" s="4" t="s">
        <v>40</v>
      </c>
      <c r="U36" s="4" t="s">
        <v>558</v>
      </c>
      <c r="V36" s="4" t="s">
        <v>559</v>
      </c>
      <c r="W36" s="4" t="s">
        <v>560</v>
      </c>
      <c r="X36" s="4" t="s">
        <v>561</v>
      </c>
      <c r="Y36" s="4" t="s">
        <v>1298</v>
      </c>
      <c r="Z36" s="4" t="s">
        <v>552</v>
      </c>
      <c r="AA36" s="4"/>
      <c r="AB36" s="6">
        <v>46220</v>
      </c>
      <c r="AC36" s="4" t="s">
        <v>562</v>
      </c>
      <c r="AD36" s="4" t="s">
        <v>563</v>
      </c>
    </row>
    <row r="37" spans="1:30" ht="85.5">
      <c r="A37" s="3" t="s">
        <v>588</v>
      </c>
      <c r="B37" s="4" t="s">
        <v>42</v>
      </c>
      <c r="C37" s="4" t="s">
        <v>564</v>
      </c>
      <c r="D37" s="4" t="s">
        <v>565</v>
      </c>
      <c r="E37" s="4" t="s">
        <v>31</v>
      </c>
      <c r="F37" s="4" t="s">
        <v>199</v>
      </c>
      <c r="G37" s="6"/>
      <c r="H37" s="4" t="s">
        <v>56</v>
      </c>
      <c r="I37" s="4" t="s">
        <v>70</v>
      </c>
      <c r="J37" s="4" t="s">
        <v>35</v>
      </c>
      <c r="K37" s="4" t="str">
        <f t="shared" ca="1" si="1"/>
        <v>Sin fecha</v>
      </c>
      <c r="L37" s="8"/>
      <c r="M37" s="8">
        <v>7000</v>
      </c>
      <c r="N37" s="4" t="s">
        <v>59</v>
      </c>
      <c r="O37" s="4" t="s">
        <v>381</v>
      </c>
      <c r="P37" s="4" t="s">
        <v>186</v>
      </c>
      <c r="Q37" s="4" t="s">
        <v>566</v>
      </c>
      <c r="R37" s="4" t="s">
        <v>567</v>
      </c>
      <c r="S37" s="4" t="s">
        <v>134</v>
      </c>
      <c r="T37" s="4" t="s">
        <v>40</v>
      </c>
      <c r="U37" s="4" t="s">
        <v>568</v>
      </c>
      <c r="V37" s="4" t="s">
        <v>569</v>
      </c>
      <c r="W37" s="4" t="s">
        <v>570</v>
      </c>
      <c r="X37" s="4" t="s">
        <v>571</v>
      </c>
      <c r="Y37" s="4" t="s">
        <v>572</v>
      </c>
      <c r="Z37" s="4" t="s">
        <v>573</v>
      </c>
      <c r="AA37" s="4"/>
      <c r="AB37" s="6">
        <v>46220</v>
      </c>
      <c r="AC37" s="4" t="s">
        <v>565</v>
      </c>
      <c r="AD37" s="4" t="s">
        <v>574</v>
      </c>
    </row>
    <row r="38" spans="1:30" ht="85.5">
      <c r="A38" s="3" t="s">
        <v>589</v>
      </c>
      <c r="B38" s="4" t="s">
        <v>42</v>
      </c>
      <c r="C38" s="4" t="s">
        <v>575</v>
      </c>
      <c r="D38" s="4" t="s">
        <v>576</v>
      </c>
      <c r="E38" s="4" t="s">
        <v>80</v>
      </c>
      <c r="F38" s="4" t="s">
        <v>32</v>
      </c>
      <c r="G38" s="6">
        <v>46094</v>
      </c>
      <c r="H38" s="4" t="s">
        <v>33</v>
      </c>
      <c r="I38" s="4" t="s">
        <v>70</v>
      </c>
      <c r="J38" s="4" t="s">
        <v>50</v>
      </c>
      <c r="K38" s="4" t="str">
        <f t="shared" ca="1" si="1"/>
        <v>Cerrada</v>
      </c>
      <c r="L38" s="8"/>
      <c r="M38" s="8">
        <v>10000</v>
      </c>
      <c r="N38" s="4" t="s">
        <v>36</v>
      </c>
      <c r="O38" s="4" t="s">
        <v>137</v>
      </c>
      <c r="P38" s="4" t="s">
        <v>186</v>
      </c>
      <c r="Q38" s="4" t="s">
        <v>577</v>
      </c>
      <c r="R38" s="4" t="s">
        <v>74</v>
      </c>
      <c r="S38" s="4" t="s">
        <v>184</v>
      </c>
      <c r="T38" s="4" t="s">
        <v>40</v>
      </c>
      <c r="U38" s="4" t="s">
        <v>578</v>
      </c>
      <c r="V38" s="4" t="s">
        <v>579</v>
      </c>
      <c r="W38" s="4" t="s">
        <v>580</v>
      </c>
      <c r="X38" s="4" t="s">
        <v>581</v>
      </c>
      <c r="Y38" s="4" t="s">
        <v>582</v>
      </c>
      <c r="Z38" s="4" t="s">
        <v>583</v>
      </c>
      <c r="AA38" s="4"/>
      <c r="AB38" s="6">
        <v>46220</v>
      </c>
      <c r="AC38" s="4" t="s">
        <v>584</v>
      </c>
      <c r="AD38" s="4" t="s">
        <v>591</v>
      </c>
    </row>
    <row r="39" spans="1:30" ht="128.25" customHeight="1">
      <c r="A39" s="3" t="s">
        <v>643</v>
      </c>
      <c r="B39" s="4" t="s">
        <v>42</v>
      </c>
      <c r="C39" s="4" t="s">
        <v>592</v>
      </c>
      <c r="D39" s="4" t="s">
        <v>593</v>
      </c>
      <c r="E39" s="4" t="s">
        <v>80</v>
      </c>
      <c r="F39" s="4" t="s">
        <v>135</v>
      </c>
      <c r="G39" s="6">
        <v>46142</v>
      </c>
      <c r="H39" s="4" t="s">
        <v>33</v>
      </c>
      <c r="I39" s="4" t="s">
        <v>70</v>
      </c>
      <c r="J39" s="4" t="s">
        <v>50</v>
      </c>
      <c r="K39" s="4" t="str">
        <f t="shared" ca="1" si="1"/>
        <v>Cerrada</v>
      </c>
      <c r="L39" s="8">
        <v>15000</v>
      </c>
      <c r="M39" s="8">
        <v>15000</v>
      </c>
      <c r="N39" s="4" t="s">
        <v>51</v>
      </c>
      <c r="O39" s="4" t="s">
        <v>185</v>
      </c>
      <c r="P39" s="4" t="s">
        <v>52</v>
      </c>
      <c r="Q39" s="4" t="s">
        <v>61</v>
      </c>
      <c r="R39" s="4" t="s">
        <v>74</v>
      </c>
      <c r="S39" s="4" t="s">
        <v>594</v>
      </c>
      <c r="T39" s="4" t="s">
        <v>595</v>
      </c>
      <c r="U39" s="4" t="s">
        <v>596</v>
      </c>
      <c r="V39" s="4" t="s">
        <v>597</v>
      </c>
      <c r="W39" s="4" t="s">
        <v>598</v>
      </c>
      <c r="X39" s="4" t="s">
        <v>599</v>
      </c>
      <c r="Y39" s="4" t="s">
        <v>600</v>
      </c>
      <c r="Z39" s="4" t="s">
        <v>601</v>
      </c>
      <c r="AA39" s="4"/>
      <c r="AB39" s="6">
        <v>46223</v>
      </c>
      <c r="AC39" s="4" t="s">
        <v>593</v>
      </c>
      <c r="AD39" s="4" t="s">
        <v>602</v>
      </c>
    </row>
    <row r="40" spans="1:30" ht="128.25" customHeight="1">
      <c r="A40" s="3" t="s">
        <v>644</v>
      </c>
      <c r="B40" s="4" t="s">
        <v>42</v>
      </c>
      <c r="C40" s="4" t="s">
        <v>603</v>
      </c>
      <c r="D40" s="4" t="s">
        <v>604</v>
      </c>
      <c r="E40" s="4" t="s">
        <v>80</v>
      </c>
      <c r="F40" s="4" t="s">
        <v>32</v>
      </c>
      <c r="G40" s="6">
        <v>46204</v>
      </c>
      <c r="H40" s="4" t="s">
        <v>33</v>
      </c>
      <c r="I40" s="4" t="s">
        <v>70</v>
      </c>
      <c r="J40" s="4" t="s">
        <v>50</v>
      </c>
      <c r="K40" s="4" t="str">
        <f t="shared" ca="1" si="1"/>
        <v>Cerrada</v>
      </c>
      <c r="L40" s="8"/>
      <c r="M40" s="8">
        <v>7000</v>
      </c>
      <c r="N40" s="4" t="s">
        <v>36</v>
      </c>
      <c r="O40" s="4" t="s">
        <v>185</v>
      </c>
      <c r="P40" s="4" t="s">
        <v>186</v>
      </c>
      <c r="Q40" s="4" t="s">
        <v>53</v>
      </c>
      <c r="R40" s="4" t="s">
        <v>74</v>
      </c>
      <c r="S40" s="4" t="s">
        <v>184</v>
      </c>
      <c r="T40" s="4" t="s">
        <v>605</v>
      </c>
      <c r="U40" s="4" t="s">
        <v>606</v>
      </c>
      <c r="V40" s="4" t="s">
        <v>607</v>
      </c>
      <c r="W40" s="4" t="s">
        <v>608</v>
      </c>
      <c r="X40" s="4" t="s">
        <v>609</v>
      </c>
      <c r="Y40" s="4" t="s">
        <v>610</v>
      </c>
      <c r="Z40" s="4" t="s">
        <v>611</v>
      </c>
      <c r="AA40" s="4"/>
      <c r="AB40" s="6">
        <v>46223</v>
      </c>
      <c r="AC40" s="4" t="s">
        <v>604</v>
      </c>
      <c r="AD40" s="4" t="s">
        <v>612</v>
      </c>
    </row>
    <row r="41" spans="1:30" ht="128.25" customHeight="1">
      <c r="A41" s="3" t="s">
        <v>645</v>
      </c>
      <c r="B41" s="4" t="s">
        <v>42</v>
      </c>
      <c r="C41" s="4" t="s">
        <v>613</v>
      </c>
      <c r="D41" s="4" t="s">
        <v>604</v>
      </c>
      <c r="E41" s="4" t="s">
        <v>80</v>
      </c>
      <c r="F41" s="4" t="s">
        <v>32</v>
      </c>
      <c r="G41" s="6">
        <v>46204</v>
      </c>
      <c r="H41" s="4" t="s">
        <v>33</v>
      </c>
      <c r="I41" s="4" t="s">
        <v>70</v>
      </c>
      <c r="J41" s="4" t="s">
        <v>50</v>
      </c>
      <c r="K41" s="4" t="str">
        <f t="shared" ca="1" si="1"/>
        <v>Cerrada</v>
      </c>
      <c r="L41" s="8"/>
      <c r="M41" s="8">
        <v>32500</v>
      </c>
      <c r="N41" s="4" t="s">
        <v>36</v>
      </c>
      <c r="O41" s="4" t="s">
        <v>185</v>
      </c>
      <c r="P41" s="4" t="s">
        <v>186</v>
      </c>
      <c r="Q41" s="4" t="s">
        <v>67</v>
      </c>
      <c r="R41" s="4" t="s">
        <v>46</v>
      </c>
      <c r="S41" s="4" t="s">
        <v>614</v>
      </c>
      <c r="T41" s="4" t="s">
        <v>615</v>
      </c>
      <c r="U41" s="4" t="s">
        <v>616</v>
      </c>
      <c r="V41" s="4" t="s">
        <v>617</v>
      </c>
      <c r="W41" s="4" t="s">
        <v>618</v>
      </c>
      <c r="X41" s="4" t="s">
        <v>619</v>
      </c>
      <c r="Y41" s="4" t="s">
        <v>620</v>
      </c>
      <c r="Z41" s="4" t="s">
        <v>611</v>
      </c>
      <c r="AA41" s="4"/>
      <c r="AB41" s="6">
        <v>46223</v>
      </c>
      <c r="AC41" s="4" t="s">
        <v>604</v>
      </c>
      <c r="AD41" s="4" t="s">
        <v>621</v>
      </c>
    </row>
    <row r="42" spans="1:30" ht="128.25" customHeight="1">
      <c r="A42" s="3" t="s">
        <v>646</v>
      </c>
      <c r="B42" s="4" t="s">
        <v>42</v>
      </c>
      <c r="C42" s="4" t="s">
        <v>622</v>
      </c>
      <c r="D42" s="4" t="s">
        <v>623</v>
      </c>
      <c r="E42" s="4" t="s">
        <v>31</v>
      </c>
      <c r="F42" s="4" t="s">
        <v>184</v>
      </c>
      <c r="G42" s="6">
        <v>46341</v>
      </c>
      <c r="H42" s="4" t="s">
        <v>33</v>
      </c>
      <c r="I42" s="4" t="s">
        <v>70</v>
      </c>
      <c r="J42" s="4" t="s">
        <v>35</v>
      </c>
      <c r="K42" s="4" t="str">
        <f t="shared" ca="1" si="1"/>
        <v>Abierta</v>
      </c>
      <c r="L42" s="8">
        <v>1500</v>
      </c>
      <c r="M42" s="8">
        <v>20000</v>
      </c>
      <c r="N42" s="4" t="s">
        <v>36</v>
      </c>
      <c r="O42" s="4" t="s">
        <v>624</v>
      </c>
      <c r="P42" s="4" t="s">
        <v>52</v>
      </c>
      <c r="Q42" s="4" t="s">
        <v>61</v>
      </c>
      <c r="R42" s="4" t="s">
        <v>74</v>
      </c>
      <c r="S42" s="4" t="s">
        <v>184</v>
      </c>
      <c r="T42" s="4" t="s">
        <v>625</v>
      </c>
      <c r="U42" s="4" t="s">
        <v>626</v>
      </c>
      <c r="V42" s="4" t="s">
        <v>627</v>
      </c>
      <c r="W42" s="4" t="s">
        <v>628</v>
      </c>
      <c r="X42" s="4" t="s">
        <v>629</v>
      </c>
      <c r="Y42" s="4" t="s">
        <v>630</v>
      </c>
      <c r="Z42" s="4" t="s">
        <v>631</v>
      </c>
      <c r="AA42" s="4"/>
      <c r="AB42" s="6">
        <v>46223</v>
      </c>
      <c r="AC42" s="4" t="s">
        <v>632</v>
      </c>
      <c r="AD42" s="4" t="s">
        <v>633</v>
      </c>
    </row>
    <row r="43" spans="1:30" ht="128.25" customHeight="1">
      <c r="A43" s="3" t="s">
        <v>647</v>
      </c>
      <c r="B43" s="4" t="s">
        <v>42</v>
      </c>
      <c r="C43" s="4" t="s">
        <v>634</v>
      </c>
      <c r="D43" s="4" t="s">
        <v>623</v>
      </c>
      <c r="E43" s="4" t="s">
        <v>31</v>
      </c>
      <c r="F43" s="4" t="s">
        <v>184</v>
      </c>
      <c r="G43" s="6">
        <v>46265</v>
      </c>
      <c r="H43" s="4" t="s">
        <v>33</v>
      </c>
      <c r="I43" s="4" t="s">
        <v>34</v>
      </c>
      <c r="J43" s="4" t="s">
        <v>35</v>
      </c>
      <c r="K43" s="4" t="str">
        <f t="shared" ca="1" si="1"/>
        <v>Abierta</v>
      </c>
      <c r="L43" s="8"/>
      <c r="M43" s="8">
        <v>200000</v>
      </c>
      <c r="N43" s="4" t="s">
        <v>36</v>
      </c>
      <c r="O43" s="4" t="s">
        <v>635</v>
      </c>
      <c r="P43" s="4" t="s">
        <v>186</v>
      </c>
      <c r="Q43" s="4" t="s">
        <v>67</v>
      </c>
      <c r="R43" s="4" t="s">
        <v>46</v>
      </c>
      <c r="S43" s="4" t="s">
        <v>184</v>
      </c>
      <c r="T43" s="4" t="s">
        <v>625</v>
      </c>
      <c r="U43" s="4" t="s">
        <v>636</v>
      </c>
      <c r="V43" s="4" t="s">
        <v>637</v>
      </c>
      <c r="W43" s="4" t="s">
        <v>638</v>
      </c>
      <c r="X43" s="4" t="s">
        <v>639</v>
      </c>
      <c r="Y43" s="4" t="s">
        <v>640</v>
      </c>
      <c r="Z43" s="4" t="s">
        <v>641</v>
      </c>
      <c r="AA43" s="4"/>
      <c r="AB43" s="6">
        <v>46223</v>
      </c>
      <c r="AC43" s="4" t="s">
        <v>632</v>
      </c>
      <c r="AD43" s="4" t="s">
        <v>642</v>
      </c>
    </row>
    <row r="44" spans="1:30" ht="85.5">
      <c r="A44" s="3" t="s">
        <v>734</v>
      </c>
      <c r="B44" s="4" t="s">
        <v>42</v>
      </c>
      <c r="C44" s="4" t="s">
        <v>648</v>
      </c>
      <c r="D44" s="4" t="s">
        <v>649</v>
      </c>
      <c r="E44" s="4" t="s">
        <v>47</v>
      </c>
      <c r="F44" s="4" t="s">
        <v>32</v>
      </c>
      <c r="G44" s="6">
        <v>46237</v>
      </c>
      <c r="H44" s="4" t="s">
        <v>33</v>
      </c>
      <c r="I44" s="4" t="s">
        <v>49</v>
      </c>
      <c r="J44" s="4" t="s">
        <v>35</v>
      </c>
      <c r="K44" s="4" t="str">
        <f t="shared" ca="1" si="1"/>
        <v>Próxima a vencer</v>
      </c>
      <c r="L44" s="8"/>
      <c r="M44" s="8">
        <v>800000</v>
      </c>
      <c r="N44" s="4" t="s">
        <v>36</v>
      </c>
      <c r="O44" s="4" t="s">
        <v>650</v>
      </c>
      <c r="P44" s="4" t="s">
        <v>186</v>
      </c>
      <c r="Q44" s="4" t="s">
        <v>651</v>
      </c>
      <c r="R44" s="4" t="s">
        <v>652</v>
      </c>
      <c r="S44" s="4" t="s">
        <v>653</v>
      </c>
      <c r="T44" s="4" t="s">
        <v>654</v>
      </c>
      <c r="U44" s="4" t="s">
        <v>655</v>
      </c>
      <c r="V44" s="4" t="s">
        <v>755</v>
      </c>
      <c r="W44" s="4" t="s">
        <v>656</v>
      </c>
      <c r="X44" s="4" t="s">
        <v>657</v>
      </c>
      <c r="Y44" s="4" t="s">
        <v>658</v>
      </c>
      <c r="Z44" s="4" t="s">
        <v>659</v>
      </c>
      <c r="AA44" s="4"/>
      <c r="AB44" s="6">
        <v>46223</v>
      </c>
      <c r="AC44" s="4" t="s">
        <v>660</v>
      </c>
      <c r="AD44" s="4" t="s">
        <v>748</v>
      </c>
    </row>
    <row r="45" spans="1:30" ht="85.5">
      <c r="A45" s="3" t="s">
        <v>735</v>
      </c>
      <c r="B45" s="4" t="s">
        <v>42</v>
      </c>
      <c r="C45" s="4" t="s">
        <v>661</v>
      </c>
      <c r="D45" s="4" t="s">
        <v>662</v>
      </c>
      <c r="E45" s="4" t="s">
        <v>47</v>
      </c>
      <c r="F45" s="4" t="s">
        <v>32</v>
      </c>
      <c r="G45" s="6">
        <v>46226</v>
      </c>
      <c r="H45" s="4" t="s">
        <v>33</v>
      </c>
      <c r="I45" s="4" t="s">
        <v>49</v>
      </c>
      <c r="J45" s="4" t="s">
        <v>35</v>
      </c>
      <c r="K45" s="4" t="str">
        <f t="shared" ca="1" si="1"/>
        <v>Vencida</v>
      </c>
      <c r="L45" s="8"/>
      <c r="M45" s="8">
        <v>3600000</v>
      </c>
      <c r="N45" s="4" t="s">
        <v>36</v>
      </c>
      <c r="O45" s="4" t="s">
        <v>663</v>
      </c>
      <c r="P45" s="4" t="s">
        <v>186</v>
      </c>
      <c r="Q45" s="4" t="s">
        <v>664</v>
      </c>
      <c r="R45" s="4" t="s">
        <v>652</v>
      </c>
      <c r="S45" s="4" t="s">
        <v>653</v>
      </c>
      <c r="T45" s="4" t="s">
        <v>654</v>
      </c>
      <c r="U45" s="4" t="s">
        <v>665</v>
      </c>
      <c r="V45" s="4" t="s">
        <v>754</v>
      </c>
      <c r="W45" s="4" t="s">
        <v>666</v>
      </c>
      <c r="X45" s="4" t="s">
        <v>667</v>
      </c>
      <c r="Y45" s="4" t="s">
        <v>668</v>
      </c>
      <c r="Z45" s="4" t="s">
        <v>669</v>
      </c>
      <c r="AA45" s="4"/>
      <c r="AB45" s="6">
        <v>46223</v>
      </c>
      <c r="AC45" s="4" t="s">
        <v>670</v>
      </c>
      <c r="AD45" s="4" t="s">
        <v>747</v>
      </c>
    </row>
    <row r="46" spans="1:30" ht="71.25">
      <c r="A46" s="3" t="s">
        <v>736</v>
      </c>
      <c r="B46" s="4" t="s">
        <v>42</v>
      </c>
      <c r="C46" s="4" t="s">
        <v>671</v>
      </c>
      <c r="D46" s="4" t="s">
        <v>662</v>
      </c>
      <c r="E46" s="4" t="s">
        <v>47</v>
      </c>
      <c r="F46" s="4" t="s">
        <v>32</v>
      </c>
      <c r="G46" s="6">
        <v>46226</v>
      </c>
      <c r="H46" s="4" t="s">
        <v>33</v>
      </c>
      <c r="I46" s="4" t="s">
        <v>49</v>
      </c>
      <c r="J46" s="4" t="s">
        <v>35</v>
      </c>
      <c r="K46" s="4" t="str">
        <f t="shared" ca="1" si="1"/>
        <v>Vencida</v>
      </c>
      <c r="L46" s="8"/>
      <c r="M46" s="8">
        <v>5600000</v>
      </c>
      <c r="N46" s="4" t="s">
        <v>36</v>
      </c>
      <c r="O46" s="4" t="s">
        <v>277</v>
      </c>
      <c r="P46" s="4" t="s">
        <v>186</v>
      </c>
      <c r="Q46" s="4" t="s">
        <v>672</v>
      </c>
      <c r="R46" s="4" t="s">
        <v>673</v>
      </c>
      <c r="S46" s="4" t="s">
        <v>653</v>
      </c>
      <c r="T46" s="4" t="s">
        <v>654</v>
      </c>
      <c r="U46" s="4" t="s">
        <v>665</v>
      </c>
      <c r="V46" s="4" t="s">
        <v>753</v>
      </c>
      <c r="W46" s="4" t="s">
        <v>674</v>
      </c>
      <c r="X46" s="4" t="s">
        <v>675</v>
      </c>
      <c r="Y46" s="4" t="s">
        <v>676</v>
      </c>
      <c r="Z46" s="4" t="s">
        <v>677</v>
      </c>
      <c r="AA46" s="4"/>
      <c r="AB46" s="6">
        <v>46223</v>
      </c>
      <c r="AC46" s="4" t="s">
        <v>670</v>
      </c>
      <c r="AD46" s="4" t="s">
        <v>746</v>
      </c>
    </row>
    <row r="47" spans="1:30" ht="71.25">
      <c r="A47" s="3" t="s">
        <v>737</v>
      </c>
      <c r="B47" s="4" t="s">
        <v>42</v>
      </c>
      <c r="C47" s="4" t="s">
        <v>678</v>
      </c>
      <c r="D47" s="4" t="s">
        <v>679</v>
      </c>
      <c r="E47" s="4" t="s">
        <v>31</v>
      </c>
      <c r="F47" s="4" t="s">
        <v>32</v>
      </c>
      <c r="G47" s="6">
        <v>46296</v>
      </c>
      <c r="H47" s="4" t="s">
        <v>33</v>
      </c>
      <c r="I47" s="4" t="s">
        <v>70</v>
      </c>
      <c r="J47" s="4" t="s">
        <v>35</v>
      </c>
      <c r="K47" s="4" t="str">
        <f t="shared" ca="1" si="1"/>
        <v>Abierta</v>
      </c>
      <c r="L47" s="8">
        <v>150000</v>
      </c>
      <c r="M47" s="8">
        <v>150000</v>
      </c>
      <c r="N47" s="4" t="s">
        <v>36</v>
      </c>
      <c r="O47" s="4" t="s">
        <v>185</v>
      </c>
      <c r="P47" s="4" t="s">
        <v>66</v>
      </c>
      <c r="Q47" s="4" t="s">
        <v>1311</v>
      </c>
      <c r="R47" s="4" t="s">
        <v>680</v>
      </c>
      <c r="S47" s="4" t="s">
        <v>681</v>
      </c>
      <c r="T47" s="4" t="s">
        <v>682</v>
      </c>
      <c r="U47" s="4" t="s">
        <v>683</v>
      </c>
      <c r="V47" s="4" t="s">
        <v>752</v>
      </c>
      <c r="W47" s="4" t="s">
        <v>684</v>
      </c>
      <c r="X47" s="4" t="s">
        <v>685</v>
      </c>
      <c r="Y47" s="4" t="s">
        <v>686</v>
      </c>
      <c r="Z47" s="4" t="s">
        <v>687</v>
      </c>
      <c r="AA47" s="4"/>
      <c r="AB47" s="6">
        <v>46223</v>
      </c>
      <c r="AC47" s="4" t="s">
        <v>688</v>
      </c>
      <c r="AD47" s="4" t="s">
        <v>745</v>
      </c>
    </row>
    <row r="48" spans="1:30" ht="71.25">
      <c r="A48" s="3" t="s">
        <v>738</v>
      </c>
      <c r="B48" s="4" t="s">
        <v>42</v>
      </c>
      <c r="C48" s="4" t="s">
        <v>689</v>
      </c>
      <c r="D48" s="4" t="s">
        <v>690</v>
      </c>
      <c r="E48" s="4" t="s">
        <v>80</v>
      </c>
      <c r="F48" s="4" t="s">
        <v>691</v>
      </c>
      <c r="G48" s="6">
        <v>46295</v>
      </c>
      <c r="H48" s="4" t="s">
        <v>33</v>
      </c>
      <c r="I48" s="4" t="s">
        <v>34</v>
      </c>
      <c r="J48" s="4" t="s">
        <v>35</v>
      </c>
      <c r="K48" s="4" t="str">
        <f t="shared" ca="1" si="1"/>
        <v>Abierta</v>
      </c>
      <c r="L48" s="8">
        <v>20000</v>
      </c>
      <c r="M48" s="8">
        <v>20000</v>
      </c>
      <c r="N48" s="4" t="s">
        <v>71</v>
      </c>
      <c r="O48" s="4" t="s">
        <v>137</v>
      </c>
      <c r="P48" s="4" t="s">
        <v>186</v>
      </c>
      <c r="Q48" s="4" t="s">
        <v>1309</v>
      </c>
      <c r="R48" s="4" t="s">
        <v>692</v>
      </c>
      <c r="S48" s="4" t="s">
        <v>184</v>
      </c>
      <c r="T48" s="4" t="s">
        <v>693</v>
      </c>
      <c r="U48" s="4" t="s">
        <v>694</v>
      </c>
      <c r="V48" s="4" t="s">
        <v>695</v>
      </c>
      <c r="W48" s="4" t="s">
        <v>696</v>
      </c>
      <c r="X48" s="4" t="s">
        <v>697</v>
      </c>
      <c r="Y48" s="4" t="s">
        <v>698</v>
      </c>
      <c r="Z48" s="4" t="s">
        <v>699</v>
      </c>
      <c r="AA48" s="4"/>
      <c r="AB48" s="6">
        <v>46223</v>
      </c>
      <c r="AC48" s="4" t="s">
        <v>690</v>
      </c>
      <c r="AD48" s="4" t="s">
        <v>744</v>
      </c>
    </row>
    <row r="49" spans="1:30" ht="71.25">
      <c r="A49" s="3" t="s">
        <v>739</v>
      </c>
      <c r="B49" s="4" t="s">
        <v>42</v>
      </c>
      <c r="C49" s="4" t="s">
        <v>700</v>
      </c>
      <c r="D49" s="4" t="s">
        <v>701</v>
      </c>
      <c r="E49" s="4" t="s">
        <v>47</v>
      </c>
      <c r="F49" s="4" t="s">
        <v>32</v>
      </c>
      <c r="G49" s="6">
        <v>46311</v>
      </c>
      <c r="H49" s="4" t="s">
        <v>33</v>
      </c>
      <c r="I49" s="4" t="s">
        <v>34</v>
      </c>
      <c r="J49" s="4" t="s">
        <v>35</v>
      </c>
      <c r="K49" s="4" t="str">
        <f t="shared" ca="1" si="1"/>
        <v>Abierta</v>
      </c>
      <c r="L49" s="8"/>
      <c r="M49" s="8">
        <v>100000</v>
      </c>
      <c r="N49" s="4" t="s">
        <v>36</v>
      </c>
      <c r="O49" s="4" t="s">
        <v>185</v>
      </c>
      <c r="P49" s="4" t="s">
        <v>37</v>
      </c>
      <c r="Q49" s="4" t="s">
        <v>702</v>
      </c>
      <c r="R49" s="4" t="s">
        <v>703</v>
      </c>
      <c r="S49" s="4" t="s">
        <v>653</v>
      </c>
      <c r="T49" s="4" t="s">
        <v>704</v>
      </c>
      <c r="U49" s="4" t="s">
        <v>705</v>
      </c>
      <c r="V49" s="4" t="s">
        <v>751</v>
      </c>
      <c r="W49" s="4" t="s">
        <v>706</v>
      </c>
      <c r="X49" s="4" t="s">
        <v>707</v>
      </c>
      <c r="Y49" s="4" t="s">
        <v>708</v>
      </c>
      <c r="Z49" s="4" t="s">
        <v>709</v>
      </c>
      <c r="AA49" s="4"/>
      <c r="AB49" s="6">
        <v>46223</v>
      </c>
      <c r="AC49" s="4" t="s">
        <v>710</v>
      </c>
      <c r="AD49" s="4" t="s">
        <v>743</v>
      </c>
    </row>
    <row r="50" spans="1:30" ht="85.5">
      <c r="A50" s="3" t="s">
        <v>740</v>
      </c>
      <c r="B50" s="4" t="s">
        <v>42</v>
      </c>
      <c r="C50" s="4" t="s">
        <v>711</v>
      </c>
      <c r="D50" s="4" t="s">
        <v>712</v>
      </c>
      <c r="E50" s="4" t="s">
        <v>31</v>
      </c>
      <c r="F50" s="4" t="s">
        <v>199</v>
      </c>
      <c r="G50" s="6">
        <v>46287</v>
      </c>
      <c r="H50" s="4" t="s">
        <v>33</v>
      </c>
      <c r="I50" s="4" t="s">
        <v>34</v>
      </c>
      <c r="J50" s="4" t="s">
        <v>35</v>
      </c>
      <c r="K50" s="4" t="str">
        <f t="shared" ca="1" si="1"/>
        <v>Abierta</v>
      </c>
      <c r="L50" s="8"/>
      <c r="M50" s="8"/>
      <c r="N50" s="4" t="s">
        <v>59</v>
      </c>
      <c r="O50" s="4" t="s">
        <v>713</v>
      </c>
      <c r="P50" s="4" t="s">
        <v>37</v>
      </c>
      <c r="Q50" s="4" t="s">
        <v>714</v>
      </c>
      <c r="R50" s="4" t="s">
        <v>715</v>
      </c>
      <c r="S50" s="4" t="s">
        <v>716</v>
      </c>
      <c r="T50" s="4" t="s">
        <v>717</v>
      </c>
      <c r="U50" s="4" t="s">
        <v>718</v>
      </c>
      <c r="V50" s="4" t="s">
        <v>750</v>
      </c>
      <c r="W50" s="4" t="s">
        <v>719</v>
      </c>
      <c r="X50" s="4" t="s">
        <v>720</v>
      </c>
      <c r="Y50" s="4" t="s">
        <v>721</v>
      </c>
      <c r="Z50" s="4" t="s">
        <v>722</v>
      </c>
      <c r="AA50" s="4"/>
      <c r="AB50" s="6">
        <v>46223</v>
      </c>
      <c r="AC50" s="4" t="s">
        <v>712</v>
      </c>
      <c r="AD50" s="4"/>
    </row>
    <row r="51" spans="1:30" ht="85.5">
      <c r="A51" s="3" t="s">
        <v>741</v>
      </c>
      <c r="B51" s="4" t="s">
        <v>42</v>
      </c>
      <c r="C51" s="4" t="s">
        <v>723</v>
      </c>
      <c r="D51" s="4" t="s">
        <v>724</v>
      </c>
      <c r="E51" s="4" t="s">
        <v>31</v>
      </c>
      <c r="F51" s="4" t="s">
        <v>725</v>
      </c>
      <c r="G51" s="6">
        <v>46418</v>
      </c>
      <c r="H51" s="4" t="s">
        <v>33</v>
      </c>
      <c r="I51" s="4" t="s">
        <v>70</v>
      </c>
      <c r="J51" s="4" t="s">
        <v>35</v>
      </c>
      <c r="K51" s="4" t="str">
        <f t="shared" ca="1" si="1"/>
        <v>Abierta</v>
      </c>
      <c r="L51" s="8">
        <v>32000</v>
      </c>
      <c r="M51" s="8">
        <v>32000</v>
      </c>
      <c r="N51" s="4" t="s">
        <v>51</v>
      </c>
      <c r="O51" s="4" t="s">
        <v>137</v>
      </c>
      <c r="P51" s="4" t="s">
        <v>66</v>
      </c>
      <c r="Q51" s="4" t="s">
        <v>726</v>
      </c>
      <c r="R51" s="4" t="s">
        <v>727</v>
      </c>
      <c r="S51" s="4" t="s">
        <v>184</v>
      </c>
      <c r="T51" s="4" t="s">
        <v>728</v>
      </c>
      <c r="U51" s="4" t="s">
        <v>729</v>
      </c>
      <c r="V51" s="4" t="s">
        <v>749</v>
      </c>
      <c r="W51" s="4" t="s">
        <v>730</v>
      </c>
      <c r="X51" s="4" t="s">
        <v>1299</v>
      </c>
      <c r="Y51" s="4" t="s">
        <v>731</v>
      </c>
      <c r="Z51" s="4" t="s">
        <v>732</v>
      </c>
      <c r="AA51" s="4"/>
      <c r="AB51" s="6">
        <v>46223</v>
      </c>
      <c r="AC51" s="4" t="s">
        <v>733</v>
      </c>
      <c r="AD51" s="4" t="s">
        <v>742</v>
      </c>
    </row>
    <row r="52" spans="1:30" ht="85.5">
      <c r="A52" s="3" t="s">
        <v>804</v>
      </c>
      <c r="B52" s="4" t="s">
        <v>42</v>
      </c>
      <c r="C52" s="4" t="s">
        <v>756</v>
      </c>
      <c r="D52" s="4" t="s">
        <v>757</v>
      </c>
      <c r="E52" s="4" t="s">
        <v>47</v>
      </c>
      <c r="F52" s="4" t="s">
        <v>199</v>
      </c>
      <c r="G52" s="6">
        <v>46223</v>
      </c>
      <c r="H52" s="4" t="s">
        <v>33</v>
      </c>
      <c r="I52" s="4" t="s">
        <v>57</v>
      </c>
      <c r="J52" s="4" t="s">
        <v>35</v>
      </c>
      <c r="K52" s="4" t="str">
        <f t="shared" ca="1" si="1"/>
        <v>Vencida</v>
      </c>
      <c r="L52" s="8">
        <v>200000</v>
      </c>
      <c r="M52" s="8">
        <v>1000000</v>
      </c>
      <c r="N52" s="4" t="s">
        <v>59</v>
      </c>
      <c r="O52" s="4" t="s">
        <v>758</v>
      </c>
      <c r="P52" s="4" t="s">
        <v>37</v>
      </c>
      <c r="Q52" s="4" t="s">
        <v>759</v>
      </c>
      <c r="R52" s="4" t="s">
        <v>760</v>
      </c>
      <c r="S52" s="4" t="s">
        <v>761</v>
      </c>
      <c r="T52" s="4" t="s">
        <v>40</v>
      </c>
      <c r="U52" s="4" t="s">
        <v>762</v>
      </c>
      <c r="V52" s="4" t="s">
        <v>763</v>
      </c>
      <c r="W52" s="4" t="s">
        <v>764</v>
      </c>
      <c r="X52" s="4" t="s">
        <v>765</v>
      </c>
      <c r="Y52" s="4" t="s">
        <v>766</v>
      </c>
      <c r="Z52" s="4" t="s">
        <v>767</v>
      </c>
      <c r="AA52" s="4" t="s">
        <v>768</v>
      </c>
      <c r="AB52" s="6">
        <v>46223</v>
      </c>
      <c r="AC52" s="4" t="s">
        <v>769</v>
      </c>
      <c r="AD52" s="4" t="s">
        <v>770</v>
      </c>
    </row>
    <row r="53" spans="1:30" ht="71.25">
      <c r="A53" s="3" t="s">
        <v>805</v>
      </c>
      <c r="B53" s="4" t="s">
        <v>42</v>
      </c>
      <c r="C53" s="4" t="s">
        <v>771</v>
      </c>
      <c r="D53" s="4" t="s">
        <v>757</v>
      </c>
      <c r="E53" s="4" t="s">
        <v>47</v>
      </c>
      <c r="F53" s="4" t="s">
        <v>199</v>
      </c>
      <c r="G53" s="6">
        <v>46265</v>
      </c>
      <c r="H53" s="4" t="s">
        <v>33</v>
      </c>
      <c r="I53" s="4" t="s">
        <v>34</v>
      </c>
      <c r="J53" s="4" t="s">
        <v>35</v>
      </c>
      <c r="K53" s="4" t="str">
        <f t="shared" ca="1" si="1"/>
        <v>Abierta</v>
      </c>
      <c r="L53" s="8">
        <v>75000</v>
      </c>
      <c r="M53" s="8">
        <v>250000</v>
      </c>
      <c r="N53" s="4" t="s">
        <v>59</v>
      </c>
      <c r="O53" s="4" t="s">
        <v>524</v>
      </c>
      <c r="P53" s="4" t="s">
        <v>72</v>
      </c>
      <c r="Q53" s="4" t="s">
        <v>772</v>
      </c>
      <c r="R53" s="4" t="s">
        <v>773</v>
      </c>
      <c r="S53" s="4" t="s">
        <v>761</v>
      </c>
      <c r="T53" s="4" t="s">
        <v>40</v>
      </c>
      <c r="U53" s="4" t="s">
        <v>774</v>
      </c>
      <c r="V53" s="4" t="s">
        <v>775</v>
      </c>
      <c r="W53" s="4" t="s">
        <v>776</v>
      </c>
      <c r="X53" s="4" t="s">
        <v>777</v>
      </c>
      <c r="Y53" s="4" t="s">
        <v>778</v>
      </c>
      <c r="Z53" s="4" t="s">
        <v>779</v>
      </c>
      <c r="AA53" s="4"/>
      <c r="AB53" s="6">
        <v>46223</v>
      </c>
      <c r="AC53" s="4" t="s">
        <v>769</v>
      </c>
      <c r="AD53" s="4" t="s">
        <v>808</v>
      </c>
    </row>
    <row r="54" spans="1:30" ht="85.5">
      <c r="A54" s="3" t="s">
        <v>806</v>
      </c>
      <c r="B54" s="4" t="s">
        <v>42</v>
      </c>
      <c r="C54" s="4" t="s">
        <v>780</v>
      </c>
      <c r="D54" s="4" t="s">
        <v>781</v>
      </c>
      <c r="E54" s="4" t="s">
        <v>31</v>
      </c>
      <c r="F54" s="4" t="s">
        <v>32</v>
      </c>
      <c r="G54" s="6">
        <v>46378</v>
      </c>
      <c r="H54" s="4" t="s">
        <v>33</v>
      </c>
      <c r="I54" s="4" t="s">
        <v>49</v>
      </c>
      <c r="J54" s="4" t="s">
        <v>64</v>
      </c>
      <c r="K54" s="4" t="str">
        <f t="shared" ca="1" si="1"/>
        <v>Pendiente Apertura</v>
      </c>
      <c r="L54" s="8"/>
      <c r="M54" s="8"/>
      <c r="N54" s="4" t="s">
        <v>36</v>
      </c>
      <c r="O54" s="4" t="s">
        <v>185</v>
      </c>
      <c r="P54" s="4" t="s">
        <v>37</v>
      </c>
      <c r="Q54" s="4" t="s">
        <v>782</v>
      </c>
      <c r="R54" s="4" t="s">
        <v>783</v>
      </c>
      <c r="S54" s="4" t="s">
        <v>784</v>
      </c>
      <c r="T54" s="4" t="s">
        <v>40</v>
      </c>
      <c r="U54" s="4" t="s">
        <v>785</v>
      </c>
      <c r="V54" s="4" t="s">
        <v>786</v>
      </c>
      <c r="W54" s="4" t="s">
        <v>787</v>
      </c>
      <c r="X54" s="4" t="s">
        <v>788</v>
      </c>
      <c r="Y54" s="4" t="s">
        <v>789</v>
      </c>
      <c r="Z54" s="4" t="s">
        <v>790</v>
      </c>
      <c r="AA54" s="4"/>
      <c r="AB54" s="6">
        <v>46223</v>
      </c>
      <c r="AC54" s="4" t="s">
        <v>791</v>
      </c>
      <c r="AD54" s="4"/>
    </row>
    <row r="55" spans="1:30" ht="71.25">
      <c r="A55" s="3" t="s">
        <v>807</v>
      </c>
      <c r="B55" s="4" t="s">
        <v>42</v>
      </c>
      <c r="C55" s="4" t="s">
        <v>792</v>
      </c>
      <c r="D55" s="4" t="s">
        <v>793</v>
      </c>
      <c r="E55" s="4" t="s">
        <v>47</v>
      </c>
      <c r="F55" s="4" t="s">
        <v>32</v>
      </c>
      <c r="G55" s="6">
        <v>46295</v>
      </c>
      <c r="H55" s="4" t="s">
        <v>33</v>
      </c>
      <c r="I55" s="4" t="s">
        <v>34</v>
      </c>
      <c r="J55" s="4" t="s">
        <v>35</v>
      </c>
      <c r="K55" s="4" t="str">
        <f t="shared" ca="1" si="1"/>
        <v>Abierta</v>
      </c>
      <c r="L55" s="8"/>
      <c r="M55" s="8"/>
      <c r="N55" s="4" t="s">
        <v>36</v>
      </c>
      <c r="O55" s="4" t="s">
        <v>381</v>
      </c>
      <c r="P55" s="4" t="s">
        <v>37</v>
      </c>
      <c r="Q55" s="4" t="s">
        <v>794</v>
      </c>
      <c r="R55" s="4" t="s">
        <v>795</v>
      </c>
      <c r="S55" s="4" t="s">
        <v>653</v>
      </c>
      <c r="T55" s="4" t="s">
        <v>40</v>
      </c>
      <c r="U55" s="4" t="s">
        <v>796</v>
      </c>
      <c r="V55" s="4" t="s">
        <v>797</v>
      </c>
      <c r="W55" s="4" t="s">
        <v>798</v>
      </c>
      <c r="X55" s="4" t="s">
        <v>799</v>
      </c>
      <c r="Y55" s="4" t="s">
        <v>800</v>
      </c>
      <c r="Z55" s="4" t="s">
        <v>801</v>
      </c>
      <c r="AA55" s="4" t="s">
        <v>802</v>
      </c>
      <c r="AB55" s="6">
        <v>46223</v>
      </c>
      <c r="AC55" s="4" t="s">
        <v>803</v>
      </c>
      <c r="AD55" s="4" t="s">
        <v>809</v>
      </c>
    </row>
    <row r="56" spans="1:30" ht="114">
      <c r="A56" s="3" t="s">
        <v>874</v>
      </c>
      <c r="B56" s="4" t="s">
        <v>42</v>
      </c>
      <c r="C56" s="4" t="s">
        <v>810</v>
      </c>
      <c r="D56" s="4" t="s">
        <v>811</v>
      </c>
      <c r="E56" s="4" t="s">
        <v>31</v>
      </c>
      <c r="F56" s="4" t="s">
        <v>725</v>
      </c>
      <c r="G56" s="6"/>
      <c r="H56" s="4" t="s">
        <v>56</v>
      </c>
      <c r="I56" s="4" t="s">
        <v>49</v>
      </c>
      <c r="J56" s="4" t="s">
        <v>35</v>
      </c>
      <c r="K56" s="4" t="str">
        <f t="shared" ca="1" si="1"/>
        <v>Sin fecha</v>
      </c>
      <c r="L56" s="8"/>
      <c r="M56" s="8">
        <v>300000</v>
      </c>
      <c r="N56" s="4" t="s">
        <v>36</v>
      </c>
      <c r="O56" s="4" t="s">
        <v>524</v>
      </c>
      <c r="P56" s="4" t="s">
        <v>186</v>
      </c>
      <c r="Q56" s="4" t="s">
        <v>61</v>
      </c>
      <c r="R56" s="4" t="s">
        <v>46</v>
      </c>
      <c r="S56" s="4" t="s">
        <v>812</v>
      </c>
      <c r="T56" s="4" t="s">
        <v>40</v>
      </c>
      <c r="U56" s="4" t="s">
        <v>813</v>
      </c>
      <c r="V56" s="4" t="s">
        <v>814</v>
      </c>
      <c r="W56" s="4" t="s">
        <v>815</v>
      </c>
      <c r="X56" s="4" t="s">
        <v>816</v>
      </c>
      <c r="Y56" s="4" t="s">
        <v>817</v>
      </c>
      <c r="Z56" s="4" t="s">
        <v>818</v>
      </c>
      <c r="AA56" s="4"/>
      <c r="AB56" s="6">
        <v>46223</v>
      </c>
      <c r="AC56" s="4" t="s">
        <v>819</v>
      </c>
      <c r="AD56" s="4" t="s">
        <v>820</v>
      </c>
    </row>
    <row r="57" spans="1:30" ht="85.5">
      <c r="A57" s="3" t="s">
        <v>875</v>
      </c>
      <c r="B57" s="4" t="s">
        <v>42</v>
      </c>
      <c r="C57" s="4" t="s">
        <v>821</v>
      </c>
      <c r="D57" s="4" t="s">
        <v>822</v>
      </c>
      <c r="E57" s="4" t="s">
        <v>31</v>
      </c>
      <c r="F57" s="4" t="s">
        <v>184</v>
      </c>
      <c r="G57" s="6">
        <v>46371</v>
      </c>
      <c r="H57" s="4" t="s">
        <v>48</v>
      </c>
      <c r="I57" s="4" t="s">
        <v>70</v>
      </c>
      <c r="J57" s="4" t="s">
        <v>64</v>
      </c>
      <c r="K57" s="4" t="str">
        <f t="shared" ca="1" si="1"/>
        <v>Pendiente Apertura</v>
      </c>
      <c r="L57" s="8">
        <v>25000</v>
      </c>
      <c r="M57" s="8">
        <v>250000</v>
      </c>
      <c r="N57" s="4" t="s">
        <v>36</v>
      </c>
      <c r="O57" s="4" t="s">
        <v>823</v>
      </c>
      <c r="P57" s="4" t="s">
        <v>82</v>
      </c>
      <c r="Q57" s="4" t="s">
        <v>61</v>
      </c>
      <c r="R57" s="4" t="s">
        <v>46</v>
      </c>
      <c r="S57" s="4" t="s">
        <v>824</v>
      </c>
      <c r="T57" s="4" t="s">
        <v>40</v>
      </c>
      <c r="U57" s="4" t="s">
        <v>825</v>
      </c>
      <c r="V57" s="4" t="s">
        <v>826</v>
      </c>
      <c r="W57" s="4" t="s">
        <v>827</v>
      </c>
      <c r="X57" s="4" t="s">
        <v>828</v>
      </c>
      <c r="Y57" s="4" t="s">
        <v>829</v>
      </c>
      <c r="Z57" s="4" t="s">
        <v>830</v>
      </c>
      <c r="AA57" s="4"/>
      <c r="AB57" s="6">
        <v>46223</v>
      </c>
      <c r="AC57" s="4" t="s">
        <v>831</v>
      </c>
      <c r="AD57" s="4" t="s">
        <v>832</v>
      </c>
    </row>
    <row r="58" spans="1:30" ht="99.75">
      <c r="A58" s="3" t="s">
        <v>876</v>
      </c>
      <c r="B58" s="4" t="s">
        <v>42</v>
      </c>
      <c r="C58" s="4" t="s">
        <v>833</v>
      </c>
      <c r="D58" s="4" t="s">
        <v>834</v>
      </c>
      <c r="E58" s="4" t="s">
        <v>80</v>
      </c>
      <c r="F58" s="4" t="s">
        <v>32</v>
      </c>
      <c r="G58" s="6">
        <v>46307</v>
      </c>
      <c r="H58" s="4" t="s">
        <v>33</v>
      </c>
      <c r="I58" s="4" t="s">
        <v>70</v>
      </c>
      <c r="J58" s="4" t="s">
        <v>35</v>
      </c>
      <c r="K58" s="4" t="str">
        <f t="shared" ca="1" si="1"/>
        <v>Abierta</v>
      </c>
      <c r="L58" s="8"/>
      <c r="M58" s="8">
        <v>2500</v>
      </c>
      <c r="N58" s="4" t="s">
        <v>36</v>
      </c>
      <c r="O58" s="4" t="s">
        <v>835</v>
      </c>
      <c r="P58" s="4" t="s">
        <v>52</v>
      </c>
      <c r="Q58" s="4" t="s">
        <v>61</v>
      </c>
      <c r="R58" s="4" t="s">
        <v>74</v>
      </c>
      <c r="S58" s="4" t="s">
        <v>184</v>
      </c>
      <c r="T58" s="4" t="s">
        <v>836</v>
      </c>
      <c r="U58" s="4" t="s">
        <v>837</v>
      </c>
      <c r="V58" s="4" t="s">
        <v>838</v>
      </c>
      <c r="W58" s="4" t="s">
        <v>839</v>
      </c>
      <c r="X58" s="4" t="s">
        <v>840</v>
      </c>
      <c r="Y58" s="4" t="s">
        <v>841</v>
      </c>
      <c r="Z58" s="4" t="s">
        <v>842</v>
      </c>
      <c r="AA58" s="4" t="s">
        <v>843</v>
      </c>
      <c r="AB58" s="6">
        <v>46223</v>
      </c>
      <c r="AC58" s="4" t="s">
        <v>844</v>
      </c>
      <c r="AD58" s="4" t="s">
        <v>845</v>
      </c>
    </row>
    <row r="59" spans="1:30" ht="99.75">
      <c r="A59" s="3" t="s">
        <v>877</v>
      </c>
      <c r="B59" s="4" t="s">
        <v>42</v>
      </c>
      <c r="C59" s="4" t="s">
        <v>846</v>
      </c>
      <c r="D59" s="4" t="s">
        <v>834</v>
      </c>
      <c r="E59" s="4" t="s">
        <v>80</v>
      </c>
      <c r="F59" s="4" t="s">
        <v>32</v>
      </c>
      <c r="G59" s="6">
        <v>46307</v>
      </c>
      <c r="H59" s="4" t="s">
        <v>33</v>
      </c>
      <c r="I59" s="4" t="s">
        <v>70</v>
      </c>
      <c r="J59" s="4" t="s">
        <v>35</v>
      </c>
      <c r="K59" s="4" t="str">
        <f t="shared" ca="1" si="1"/>
        <v>Abierta</v>
      </c>
      <c r="L59" s="8"/>
      <c r="M59" s="8">
        <v>2000</v>
      </c>
      <c r="N59" s="4" t="s">
        <v>36</v>
      </c>
      <c r="O59" s="4" t="s">
        <v>381</v>
      </c>
      <c r="P59" s="4" t="s">
        <v>52</v>
      </c>
      <c r="Q59" s="4" t="s">
        <v>53</v>
      </c>
      <c r="R59" s="4" t="s">
        <v>74</v>
      </c>
      <c r="S59" s="4" t="s">
        <v>184</v>
      </c>
      <c r="T59" s="4" t="s">
        <v>836</v>
      </c>
      <c r="U59" s="4" t="s">
        <v>847</v>
      </c>
      <c r="V59" s="4" t="s">
        <v>848</v>
      </c>
      <c r="W59" s="4" t="s">
        <v>849</v>
      </c>
      <c r="X59" s="4" t="s">
        <v>850</v>
      </c>
      <c r="Y59" s="4" t="s">
        <v>851</v>
      </c>
      <c r="Z59" s="4" t="s">
        <v>852</v>
      </c>
      <c r="AA59" s="4"/>
      <c r="AB59" s="6">
        <v>46223</v>
      </c>
      <c r="AC59" s="4" t="s">
        <v>844</v>
      </c>
      <c r="AD59" s="4" t="s">
        <v>853</v>
      </c>
    </row>
    <row r="60" spans="1:30" ht="85.5">
      <c r="A60" s="3" t="s">
        <v>878</v>
      </c>
      <c r="B60" s="4" t="s">
        <v>42</v>
      </c>
      <c r="C60" s="4" t="s">
        <v>854</v>
      </c>
      <c r="D60" s="4" t="s">
        <v>855</v>
      </c>
      <c r="E60" s="4" t="s">
        <v>31</v>
      </c>
      <c r="F60" s="4" t="s">
        <v>856</v>
      </c>
      <c r="G60" s="6"/>
      <c r="H60" s="4" t="s">
        <v>56</v>
      </c>
      <c r="I60" s="4" t="s">
        <v>75</v>
      </c>
      <c r="J60" s="4" t="s">
        <v>35</v>
      </c>
      <c r="K60" s="4" t="str">
        <f t="shared" ca="1" si="1"/>
        <v>Sin fecha</v>
      </c>
      <c r="L60" s="8">
        <v>150000</v>
      </c>
      <c r="M60" s="8">
        <v>1500000</v>
      </c>
      <c r="N60" s="4" t="s">
        <v>36</v>
      </c>
      <c r="O60" s="4" t="s">
        <v>83</v>
      </c>
      <c r="P60" s="4" t="s">
        <v>60</v>
      </c>
      <c r="Q60" s="4" t="s">
        <v>83</v>
      </c>
      <c r="R60" s="4" t="s">
        <v>46</v>
      </c>
      <c r="S60" s="4" t="s">
        <v>184</v>
      </c>
      <c r="T60" s="4" t="s">
        <v>40</v>
      </c>
      <c r="U60" s="4" t="s">
        <v>857</v>
      </c>
      <c r="V60" s="4" t="s">
        <v>858</v>
      </c>
      <c r="W60" s="4" t="s">
        <v>859</v>
      </c>
      <c r="X60" s="4" t="s">
        <v>860</v>
      </c>
      <c r="Y60" s="4" t="s">
        <v>861</v>
      </c>
      <c r="Z60" s="4" t="s">
        <v>862</v>
      </c>
      <c r="AA60" s="4"/>
      <c r="AB60" s="6">
        <v>46223</v>
      </c>
      <c r="AC60" s="4" t="s">
        <v>855</v>
      </c>
      <c r="AD60" s="4" t="s">
        <v>863</v>
      </c>
    </row>
    <row r="61" spans="1:30" ht="85.5">
      <c r="A61" s="3" t="s">
        <v>879</v>
      </c>
      <c r="B61" s="4" t="s">
        <v>42</v>
      </c>
      <c r="C61" s="4" t="s">
        <v>864</v>
      </c>
      <c r="D61" s="4" t="s">
        <v>865</v>
      </c>
      <c r="E61" s="4" t="s">
        <v>80</v>
      </c>
      <c r="F61" s="4" t="s">
        <v>32</v>
      </c>
      <c r="G61" s="6">
        <v>46063</v>
      </c>
      <c r="H61" s="4" t="s">
        <v>33</v>
      </c>
      <c r="I61" s="4" t="s">
        <v>75</v>
      </c>
      <c r="J61" s="4" t="s">
        <v>50</v>
      </c>
      <c r="K61" s="4" t="str">
        <f t="shared" ca="1" si="1"/>
        <v>Cerrada</v>
      </c>
      <c r="L61" s="8"/>
      <c r="M61" s="8"/>
      <c r="N61" s="4" t="s">
        <v>36</v>
      </c>
      <c r="O61" s="4" t="s">
        <v>83</v>
      </c>
      <c r="P61" s="4" t="s">
        <v>60</v>
      </c>
      <c r="Q61" s="4" t="s">
        <v>83</v>
      </c>
      <c r="R61" s="4" t="s">
        <v>74</v>
      </c>
      <c r="S61" s="4" t="s">
        <v>184</v>
      </c>
      <c r="T61" s="4" t="s">
        <v>866</v>
      </c>
      <c r="U61" s="4" t="s">
        <v>867</v>
      </c>
      <c r="V61" s="4" t="s">
        <v>868</v>
      </c>
      <c r="W61" s="4" t="s">
        <v>869</v>
      </c>
      <c r="X61" s="4" t="s">
        <v>870</v>
      </c>
      <c r="Y61" s="4"/>
      <c r="Z61" s="4" t="s">
        <v>871</v>
      </c>
      <c r="AA61" s="4" t="s">
        <v>872</v>
      </c>
      <c r="AB61" s="6">
        <v>46223</v>
      </c>
      <c r="AC61" s="4" t="s">
        <v>865</v>
      </c>
      <c r="AD61" s="4" t="s">
        <v>873</v>
      </c>
    </row>
    <row r="62" spans="1:30" ht="71.25">
      <c r="A62" s="3" t="s">
        <v>924</v>
      </c>
      <c r="B62" s="4" t="s">
        <v>42</v>
      </c>
      <c r="C62" s="4" t="s">
        <v>880</v>
      </c>
      <c r="D62" s="4" t="s">
        <v>881</v>
      </c>
      <c r="E62" s="4" t="s">
        <v>31</v>
      </c>
      <c r="F62" s="4" t="s">
        <v>32</v>
      </c>
      <c r="G62" s="6">
        <v>46351</v>
      </c>
      <c r="H62" s="4" t="s">
        <v>33</v>
      </c>
      <c r="I62" s="4" t="s">
        <v>70</v>
      </c>
      <c r="J62" s="4" t="s">
        <v>64</v>
      </c>
      <c r="K62" s="4" t="str">
        <f t="shared" ca="1" si="1"/>
        <v>Pendiente Apertura</v>
      </c>
      <c r="L62" s="8"/>
      <c r="M62" s="8">
        <v>5500</v>
      </c>
      <c r="N62" s="4" t="s">
        <v>36</v>
      </c>
      <c r="O62" s="4" t="s">
        <v>882</v>
      </c>
      <c r="P62" s="4" t="s">
        <v>52</v>
      </c>
      <c r="Q62" s="4" t="s">
        <v>883</v>
      </c>
      <c r="R62" s="4" t="s">
        <v>884</v>
      </c>
      <c r="S62" s="4" t="s">
        <v>885</v>
      </c>
      <c r="T62" s="4" t="s">
        <v>363</v>
      </c>
      <c r="U62" s="4" t="s">
        <v>886</v>
      </c>
      <c r="V62" s="4" t="s">
        <v>887</v>
      </c>
      <c r="W62" s="4" t="s">
        <v>888</v>
      </c>
      <c r="X62" s="4" t="s">
        <v>889</v>
      </c>
      <c r="Y62" s="4" t="s">
        <v>890</v>
      </c>
      <c r="Z62" s="4" t="s">
        <v>891</v>
      </c>
      <c r="AA62" s="4"/>
      <c r="AB62" s="6">
        <v>46223</v>
      </c>
      <c r="AC62" s="4" t="s">
        <v>892</v>
      </c>
      <c r="AD62" s="4" t="s">
        <v>931</v>
      </c>
    </row>
    <row r="63" spans="1:30" ht="71.25">
      <c r="A63" s="3" t="s">
        <v>925</v>
      </c>
      <c r="B63" s="4" t="s">
        <v>42</v>
      </c>
      <c r="C63" s="4" t="s">
        <v>893</v>
      </c>
      <c r="D63" s="4" t="s">
        <v>881</v>
      </c>
      <c r="E63" s="4" t="s">
        <v>31</v>
      </c>
      <c r="F63" s="4" t="s">
        <v>32</v>
      </c>
      <c r="G63" s="6">
        <v>46295</v>
      </c>
      <c r="H63" s="4" t="s">
        <v>33</v>
      </c>
      <c r="I63" s="4" t="s">
        <v>57</v>
      </c>
      <c r="J63" s="4" t="s">
        <v>64</v>
      </c>
      <c r="K63" s="4" t="str">
        <f t="shared" ca="1" si="1"/>
        <v>Pendiente Apertura</v>
      </c>
      <c r="L63" s="8"/>
      <c r="M63" s="8"/>
      <c r="N63" s="4" t="s">
        <v>36</v>
      </c>
      <c r="O63" s="4"/>
      <c r="P63" s="4" t="s">
        <v>186</v>
      </c>
      <c r="Q63" s="4" t="s">
        <v>894</v>
      </c>
      <c r="R63" s="4" t="s">
        <v>895</v>
      </c>
      <c r="S63" s="4" t="s">
        <v>184</v>
      </c>
      <c r="T63" s="4" t="s">
        <v>896</v>
      </c>
      <c r="U63" s="4" t="s">
        <v>897</v>
      </c>
      <c r="V63" s="4" t="s">
        <v>898</v>
      </c>
      <c r="W63" s="4" t="s">
        <v>899</v>
      </c>
      <c r="X63" s="4" t="s">
        <v>900</v>
      </c>
      <c r="Y63" s="4" t="s">
        <v>901</v>
      </c>
      <c r="Z63" s="4" t="s">
        <v>902</v>
      </c>
      <c r="AA63" s="4"/>
      <c r="AB63" s="6">
        <v>46223</v>
      </c>
      <c r="AC63" s="4" t="s">
        <v>903</v>
      </c>
      <c r="AD63" s="4" t="s">
        <v>930</v>
      </c>
    </row>
    <row r="64" spans="1:30" ht="71.25">
      <c r="A64" s="3" t="s">
        <v>926</v>
      </c>
      <c r="B64" s="4" t="s">
        <v>42</v>
      </c>
      <c r="C64" s="4" t="s">
        <v>904</v>
      </c>
      <c r="D64" s="4" t="s">
        <v>905</v>
      </c>
      <c r="E64" s="4" t="s">
        <v>31</v>
      </c>
      <c r="F64" s="4" t="s">
        <v>199</v>
      </c>
      <c r="G64" s="6">
        <v>46295</v>
      </c>
      <c r="H64" s="4" t="s">
        <v>33</v>
      </c>
      <c r="I64" s="4" t="s">
        <v>70</v>
      </c>
      <c r="J64" s="4" t="s">
        <v>35</v>
      </c>
      <c r="K64" s="4" t="str">
        <f t="shared" ca="1" si="1"/>
        <v>Abierta</v>
      </c>
      <c r="L64" s="8">
        <v>100</v>
      </c>
      <c r="M64" s="8">
        <v>1000</v>
      </c>
      <c r="N64" s="4" t="s">
        <v>59</v>
      </c>
      <c r="O64" s="4" t="s">
        <v>381</v>
      </c>
      <c r="P64" s="4" t="s">
        <v>186</v>
      </c>
      <c r="Q64" s="4" t="s">
        <v>906</v>
      </c>
      <c r="R64" s="4" t="s">
        <v>74</v>
      </c>
      <c r="S64" s="4" t="s">
        <v>184</v>
      </c>
      <c r="T64" s="4" t="s">
        <v>363</v>
      </c>
      <c r="U64" s="4" t="s">
        <v>907</v>
      </c>
      <c r="V64" s="4" t="s">
        <v>908</v>
      </c>
      <c r="W64" s="4" t="s">
        <v>909</v>
      </c>
      <c r="X64" s="4" t="s">
        <v>910</v>
      </c>
      <c r="Y64" s="4" t="s">
        <v>911</v>
      </c>
      <c r="Z64" s="4" t="s">
        <v>912</v>
      </c>
      <c r="AA64" s="4"/>
      <c r="AB64" s="6">
        <v>46223</v>
      </c>
      <c r="AC64" s="4" t="s">
        <v>913</v>
      </c>
      <c r="AD64" s="4" t="s">
        <v>929</v>
      </c>
    </row>
    <row r="65" spans="1:30" ht="71.25">
      <c r="A65" s="3" t="s">
        <v>927</v>
      </c>
      <c r="B65" s="4" t="s">
        <v>42</v>
      </c>
      <c r="C65" s="4" t="s">
        <v>914</v>
      </c>
      <c r="D65" s="4" t="s">
        <v>915</v>
      </c>
      <c r="E65" s="4" t="s">
        <v>31</v>
      </c>
      <c r="F65" s="4" t="s">
        <v>32</v>
      </c>
      <c r="G65" s="6">
        <v>46255</v>
      </c>
      <c r="H65" s="4" t="s">
        <v>33</v>
      </c>
      <c r="I65" s="4" t="s">
        <v>34</v>
      </c>
      <c r="J65" s="4" t="s">
        <v>35</v>
      </c>
      <c r="K65" s="4" t="str">
        <f t="shared" ca="1" si="1"/>
        <v>Próxima a vencer</v>
      </c>
      <c r="L65" s="8"/>
      <c r="M65" s="8">
        <v>50000</v>
      </c>
      <c r="N65" s="4" t="s">
        <v>36</v>
      </c>
      <c r="O65" s="4"/>
      <c r="P65" s="4" t="s">
        <v>186</v>
      </c>
      <c r="Q65" s="4" t="s">
        <v>916</v>
      </c>
      <c r="R65" s="4" t="s">
        <v>895</v>
      </c>
      <c r="S65" s="4" t="s">
        <v>184</v>
      </c>
      <c r="T65" s="4" t="s">
        <v>363</v>
      </c>
      <c r="U65" s="4" t="s">
        <v>917</v>
      </c>
      <c r="V65" s="4" t="s">
        <v>918</v>
      </c>
      <c r="W65" s="4" t="s">
        <v>919</v>
      </c>
      <c r="X65" s="4" t="s">
        <v>920</v>
      </c>
      <c r="Y65" s="4" t="s">
        <v>921</v>
      </c>
      <c r="Z65" s="4" t="s">
        <v>922</v>
      </c>
      <c r="AA65" s="4"/>
      <c r="AB65" s="6">
        <v>46223</v>
      </c>
      <c r="AC65" s="4" t="s">
        <v>923</v>
      </c>
      <c r="AD65" s="4" t="s">
        <v>928</v>
      </c>
    </row>
    <row r="66" spans="1:30" ht="85.5" customHeight="1">
      <c r="A66" s="3" t="s">
        <v>1001</v>
      </c>
      <c r="B66" s="4" t="s">
        <v>42</v>
      </c>
      <c r="C66" s="4" t="s">
        <v>932</v>
      </c>
      <c r="D66" s="4" t="s">
        <v>933</v>
      </c>
      <c r="E66" s="4" t="s">
        <v>31</v>
      </c>
      <c r="F66" s="4" t="s">
        <v>32</v>
      </c>
      <c r="G66" s="6">
        <v>46234</v>
      </c>
      <c r="H66" s="4" t="s">
        <v>33</v>
      </c>
      <c r="I66" s="4" t="s">
        <v>49</v>
      </c>
      <c r="J66" s="4" t="s">
        <v>35</v>
      </c>
      <c r="K66" s="4" t="str">
        <f t="shared" ca="1" si="1"/>
        <v>Próxima a vencer</v>
      </c>
      <c r="L66" s="8">
        <v>15000</v>
      </c>
      <c r="M66" s="8">
        <v>75000</v>
      </c>
      <c r="N66" s="4" t="s">
        <v>36</v>
      </c>
      <c r="O66" s="4" t="s">
        <v>185</v>
      </c>
      <c r="P66" s="4" t="s">
        <v>186</v>
      </c>
      <c r="Q66" s="4" t="s">
        <v>67</v>
      </c>
      <c r="R66" s="4" t="s">
        <v>934</v>
      </c>
      <c r="S66" s="4" t="s">
        <v>184</v>
      </c>
      <c r="T66" s="4" t="s">
        <v>40</v>
      </c>
      <c r="U66" s="4" t="s">
        <v>935</v>
      </c>
      <c r="V66" s="4" t="s">
        <v>936</v>
      </c>
      <c r="W66" s="4" t="s">
        <v>937</v>
      </c>
      <c r="X66" s="4" t="s">
        <v>938</v>
      </c>
      <c r="Y66" s="4" t="s">
        <v>939</v>
      </c>
      <c r="Z66" s="4" t="s">
        <v>940</v>
      </c>
      <c r="AA66" s="4"/>
      <c r="AB66" s="6">
        <v>46224</v>
      </c>
      <c r="AC66" s="4" t="s">
        <v>933</v>
      </c>
      <c r="AD66" s="4" t="s">
        <v>941</v>
      </c>
    </row>
    <row r="67" spans="1:30" ht="85.5" customHeight="1">
      <c r="A67" s="3" t="s">
        <v>1002</v>
      </c>
      <c r="B67" s="4" t="s">
        <v>42</v>
      </c>
      <c r="C67" s="4" t="s">
        <v>942</v>
      </c>
      <c r="D67" s="4" t="s">
        <v>943</v>
      </c>
      <c r="E67" s="4" t="s">
        <v>31</v>
      </c>
      <c r="F67" s="4" t="s">
        <v>944</v>
      </c>
      <c r="G67" s="6">
        <v>46346</v>
      </c>
      <c r="H67" s="4" t="s">
        <v>33</v>
      </c>
      <c r="I67" s="4" t="s">
        <v>34</v>
      </c>
      <c r="J67" s="4" t="s">
        <v>35</v>
      </c>
      <c r="K67" s="4" t="str">
        <f t="shared" ca="1" si="1"/>
        <v>Abierta</v>
      </c>
      <c r="L67" s="8"/>
      <c r="M67" s="8">
        <v>30000</v>
      </c>
      <c r="N67" s="4" t="s">
        <v>51</v>
      </c>
      <c r="O67" s="4"/>
      <c r="P67" s="4" t="s">
        <v>37</v>
      </c>
      <c r="Q67" s="4" t="s">
        <v>945</v>
      </c>
      <c r="R67" s="4" t="s">
        <v>946</v>
      </c>
      <c r="S67" s="4" t="s">
        <v>184</v>
      </c>
      <c r="T67" s="4" t="s">
        <v>40</v>
      </c>
      <c r="U67" s="4" t="s">
        <v>947</v>
      </c>
      <c r="V67" s="4" t="s">
        <v>948</v>
      </c>
      <c r="W67" s="4" t="s">
        <v>949</v>
      </c>
      <c r="X67" s="4" t="s">
        <v>950</v>
      </c>
      <c r="Y67" s="4" t="s">
        <v>951</v>
      </c>
      <c r="Z67" s="4" t="s">
        <v>952</v>
      </c>
      <c r="AA67" s="4" t="s">
        <v>953</v>
      </c>
      <c r="AB67" s="6">
        <v>46224</v>
      </c>
      <c r="AC67" s="4" t="s">
        <v>943</v>
      </c>
      <c r="AD67" s="4" t="s">
        <v>954</v>
      </c>
    </row>
    <row r="68" spans="1:30" ht="85.5" customHeight="1">
      <c r="A68" s="3" t="s">
        <v>1003</v>
      </c>
      <c r="B68" s="4" t="s">
        <v>42</v>
      </c>
      <c r="C68" s="4" t="s">
        <v>955</v>
      </c>
      <c r="D68" s="4" t="s">
        <v>956</v>
      </c>
      <c r="E68" s="4" t="s">
        <v>43</v>
      </c>
      <c r="F68" s="4" t="s">
        <v>134</v>
      </c>
      <c r="G68" s="6">
        <v>46233</v>
      </c>
      <c r="H68" s="4" t="s">
        <v>33</v>
      </c>
      <c r="I68" s="4" t="s">
        <v>84</v>
      </c>
      <c r="J68" s="4" t="s">
        <v>35</v>
      </c>
      <c r="K68" s="4" t="str">
        <f t="shared" ca="1" si="1"/>
        <v>Próxima a vencer</v>
      </c>
      <c r="L68" s="8">
        <v>75000</v>
      </c>
      <c r="M68" s="8">
        <v>200000</v>
      </c>
      <c r="N68" s="4" t="s">
        <v>65</v>
      </c>
      <c r="O68" s="4" t="s">
        <v>83</v>
      </c>
      <c r="P68" s="4" t="s">
        <v>60</v>
      </c>
      <c r="Q68" s="4" t="s">
        <v>957</v>
      </c>
      <c r="R68" s="4" t="s">
        <v>958</v>
      </c>
      <c r="S68" s="4" t="s">
        <v>134</v>
      </c>
      <c r="T68" s="4" t="s">
        <v>959</v>
      </c>
      <c r="U68" s="4" t="s">
        <v>960</v>
      </c>
      <c r="V68" s="4" t="s">
        <v>961</v>
      </c>
      <c r="W68" s="4" t="s">
        <v>962</v>
      </c>
      <c r="X68" s="4" t="s">
        <v>963</v>
      </c>
      <c r="Y68" s="4" t="s">
        <v>964</v>
      </c>
      <c r="Z68" s="4" t="s">
        <v>965</v>
      </c>
      <c r="AA68" s="4"/>
      <c r="AB68" s="6">
        <v>46224</v>
      </c>
      <c r="AC68" s="4" t="s">
        <v>956</v>
      </c>
      <c r="AD68" s="4" t="s">
        <v>1009</v>
      </c>
    </row>
    <row r="69" spans="1:30" ht="85.5" customHeight="1">
      <c r="A69" s="3" t="s">
        <v>1004</v>
      </c>
      <c r="B69" s="4" t="s">
        <v>42</v>
      </c>
      <c r="C69" s="4" t="s">
        <v>966</v>
      </c>
      <c r="D69" s="4" t="s">
        <v>967</v>
      </c>
      <c r="E69" s="4" t="s">
        <v>80</v>
      </c>
      <c r="F69" s="4" t="s">
        <v>32</v>
      </c>
      <c r="G69" s="6">
        <v>46113</v>
      </c>
      <c r="H69" s="4" t="s">
        <v>33</v>
      </c>
      <c r="I69" s="4" t="s">
        <v>34</v>
      </c>
      <c r="J69" s="4" t="s">
        <v>50</v>
      </c>
      <c r="K69" s="4" t="str">
        <f t="shared" ca="1" si="1"/>
        <v>Cerrada</v>
      </c>
      <c r="L69" s="8"/>
      <c r="M69" s="8">
        <v>10000</v>
      </c>
      <c r="N69" s="4" t="s">
        <v>36</v>
      </c>
      <c r="O69" s="4" t="s">
        <v>137</v>
      </c>
      <c r="P69" s="4" t="s">
        <v>186</v>
      </c>
      <c r="Q69" s="4" t="s">
        <v>38</v>
      </c>
      <c r="R69" s="4" t="s">
        <v>968</v>
      </c>
      <c r="S69" s="4" t="s">
        <v>184</v>
      </c>
      <c r="T69" s="4" t="s">
        <v>969</v>
      </c>
      <c r="U69" s="4" t="s">
        <v>970</v>
      </c>
      <c r="V69" s="4" t="s">
        <v>971</v>
      </c>
      <c r="W69" s="4" t="s">
        <v>972</v>
      </c>
      <c r="X69" s="4" t="s">
        <v>973</v>
      </c>
      <c r="Y69" s="4" t="s">
        <v>974</v>
      </c>
      <c r="Z69" s="4" t="s">
        <v>975</v>
      </c>
      <c r="AA69" s="4" t="s">
        <v>976</v>
      </c>
      <c r="AB69" s="6">
        <v>46224</v>
      </c>
      <c r="AC69" s="4" t="s">
        <v>977</v>
      </c>
      <c r="AD69" s="4" t="s">
        <v>978</v>
      </c>
    </row>
    <row r="70" spans="1:30" ht="85.5" customHeight="1">
      <c r="A70" s="3" t="s">
        <v>1005</v>
      </c>
      <c r="B70" s="4" t="s">
        <v>42</v>
      </c>
      <c r="C70" s="4" t="s">
        <v>979</v>
      </c>
      <c r="D70" s="4" t="s">
        <v>980</v>
      </c>
      <c r="E70" s="4" t="s">
        <v>46</v>
      </c>
      <c r="F70" s="4" t="s">
        <v>1007</v>
      </c>
      <c r="G70" s="6">
        <v>46082</v>
      </c>
      <c r="H70" s="4" t="s">
        <v>33</v>
      </c>
      <c r="I70" s="4" t="s">
        <v>70</v>
      </c>
      <c r="J70" s="4" t="s">
        <v>50</v>
      </c>
      <c r="K70" s="4" t="str">
        <f t="shared" ca="1" si="1"/>
        <v>Cerrada</v>
      </c>
      <c r="L70" s="8"/>
      <c r="M70" s="8">
        <v>7500</v>
      </c>
      <c r="N70" s="4" t="s">
        <v>71</v>
      </c>
      <c r="O70" s="4">
        <v>7</v>
      </c>
      <c r="P70" s="4" t="s">
        <v>186</v>
      </c>
      <c r="Q70" s="4" t="s">
        <v>38</v>
      </c>
      <c r="R70" s="4" t="s">
        <v>981</v>
      </c>
      <c r="S70" s="4" t="s">
        <v>982</v>
      </c>
      <c r="T70" s="4" t="s">
        <v>983</v>
      </c>
      <c r="U70" s="4" t="s">
        <v>984</v>
      </c>
      <c r="V70" s="4" t="s">
        <v>985</v>
      </c>
      <c r="W70" s="4" t="s">
        <v>986</v>
      </c>
      <c r="X70" s="4" t="s">
        <v>987</v>
      </c>
      <c r="Y70" s="4" t="s">
        <v>988</v>
      </c>
      <c r="Z70" s="4" t="s">
        <v>989</v>
      </c>
      <c r="AA70" s="4" t="s">
        <v>990</v>
      </c>
      <c r="AB70" s="6">
        <v>46224</v>
      </c>
      <c r="AC70" s="4" t="s">
        <v>980</v>
      </c>
      <c r="AD70" s="4" t="s">
        <v>991</v>
      </c>
    </row>
    <row r="71" spans="1:30" ht="85.5" customHeight="1">
      <c r="A71" s="3" t="s">
        <v>1006</v>
      </c>
      <c r="B71" s="4" t="s">
        <v>42</v>
      </c>
      <c r="C71" s="4" t="s">
        <v>992</v>
      </c>
      <c r="D71" s="4" t="s">
        <v>993</v>
      </c>
      <c r="E71" s="4" t="s">
        <v>80</v>
      </c>
      <c r="F71" s="4" t="s">
        <v>32</v>
      </c>
      <c r="G71" s="6">
        <v>46174</v>
      </c>
      <c r="H71" s="4" t="s">
        <v>33</v>
      </c>
      <c r="I71" s="4" t="s">
        <v>34</v>
      </c>
      <c r="J71" s="4" t="s">
        <v>50</v>
      </c>
      <c r="K71" s="4" t="str">
        <f t="shared" ca="1" si="1"/>
        <v>Cerrada</v>
      </c>
      <c r="L71" s="8">
        <v>2000</v>
      </c>
      <c r="M71" s="8">
        <v>2000</v>
      </c>
      <c r="N71" s="4" t="s">
        <v>36</v>
      </c>
      <c r="O71" s="4"/>
      <c r="P71" s="4" t="s">
        <v>52</v>
      </c>
      <c r="Q71" s="4" t="s">
        <v>994</v>
      </c>
      <c r="R71" s="4" t="s">
        <v>74</v>
      </c>
      <c r="S71" s="4" t="s">
        <v>184</v>
      </c>
      <c r="T71" s="4" t="s">
        <v>625</v>
      </c>
      <c r="U71" s="4" t="s">
        <v>995</v>
      </c>
      <c r="V71" s="4" t="s">
        <v>996</v>
      </c>
      <c r="W71" s="4" t="s">
        <v>997</v>
      </c>
      <c r="X71" s="4" t="s">
        <v>998</v>
      </c>
      <c r="Y71" s="4" t="s">
        <v>999</v>
      </c>
      <c r="Z71" s="4" t="s">
        <v>1000</v>
      </c>
      <c r="AA71" s="4"/>
      <c r="AB71" s="6">
        <v>46224</v>
      </c>
      <c r="AC71" s="4" t="s">
        <v>993</v>
      </c>
      <c r="AD71" s="4" t="s">
        <v>1008</v>
      </c>
    </row>
    <row r="72" spans="1:30" ht="71.25">
      <c r="A72" s="3" t="s">
        <v>1097</v>
      </c>
      <c r="B72" s="4" t="s">
        <v>42</v>
      </c>
      <c r="C72" s="4" t="s">
        <v>1010</v>
      </c>
      <c r="D72" s="4" t="s">
        <v>1011</v>
      </c>
      <c r="E72" s="4" t="s">
        <v>31</v>
      </c>
      <c r="F72" s="4" t="s">
        <v>32</v>
      </c>
      <c r="G72" s="6">
        <v>46295</v>
      </c>
      <c r="H72" s="4" t="s">
        <v>33</v>
      </c>
      <c r="I72" s="4" t="s">
        <v>34</v>
      </c>
      <c r="J72" s="4" t="s">
        <v>35</v>
      </c>
      <c r="K72" s="4" t="str">
        <f t="shared" ca="1" si="1"/>
        <v>Abierta</v>
      </c>
      <c r="L72" s="8"/>
      <c r="M72" s="8">
        <v>750000</v>
      </c>
      <c r="N72" s="4" t="s">
        <v>36</v>
      </c>
      <c r="O72" s="4" t="s">
        <v>524</v>
      </c>
      <c r="P72" s="4" t="s">
        <v>186</v>
      </c>
      <c r="Q72" s="4" t="s">
        <v>1012</v>
      </c>
      <c r="R72" s="4" t="s">
        <v>46</v>
      </c>
      <c r="S72" s="4" t="s">
        <v>184</v>
      </c>
      <c r="T72" s="4" t="s">
        <v>625</v>
      </c>
      <c r="U72" s="4" t="s">
        <v>1013</v>
      </c>
      <c r="V72" s="4" t="s">
        <v>1014</v>
      </c>
      <c r="W72" s="4" t="s">
        <v>1015</v>
      </c>
      <c r="X72" s="4" t="s">
        <v>1016</v>
      </c>
      <c r="Y72" s="4" t="s">
        <v>1300</v>
      </c>
      <c r="Z72" s="4" t="s">
        <v>1017</v>
      </c>
      <c r="AA72" s="4"/>
      <c r="AB72" s="6">
        <v>46224</v>
      </c>
      <c r="AC72" s="4" t="s">
        <v>1018</v>
      </c>
      <c r="AD72" s="4" t="s">
        <v>1112</v>
      </c>
    </row>
    <row r="73" spans="1:30" ht="57">
      <c r="A73" s="3" t="s">
        <v>1098</v>
      </c>
      <c r="B73" s="4" t="s">
        <v>42</v>
      </c>
      <c r="C73" s="4" t="s">
        <v>1019</v>
      </c>
      <c r="D73" s="4" t="s">
        <v>1020</v>
      </c>
      <c r="E73" s="4" t="s">
        <v>47</v>
      </c>
      <c r="F73" s="4" t="s">
        <v>32</v>
      </c>
      <c r="G73" s="6">
        <v>46295</v>
      </c>
      <c r="H73" s="4" t="s">
        <v>33</v>
      </c>
      <c r="I73" s="4" t="s">
        <v>34</v>
      </c>
      <c r="J73" s="4" t="s">
        <v>35</v>
      </c>
      <c r="K73" s="4" t="str">
        <f t="shared" ca="1" si="1"/>
        <v>Abierta</v>
      </c>
      <c r="L73" s="8"/>
      <c r="M73" s="8"/>
      <c r="N73" s="4" t="s">
        <v>36</v>
      </c>
      <c r="O73" s="4"/>
      <c r="P73" s="4" t="s">
        <v>186</v>
      </c>
      <c r="Q73" s="4" t="s">
        <v>1021</v>
      </c>
      <c r="R73" s="4" t="s">
        <v>46</v>
      </c>
      <c r="S73" s="4" t="s">
        <v>184</v>
      </c>
      <c r="T73" s="4" t="s">
        <v>1022</v>
      </c>
      <c r="U73" s="4" t="s">
        <v>1023</v>
      </c>
      <c r="V73" s="4" t="s">
        <v>1024</v>
      </c>
      <c r="W73" s="4" t="s">
        <v>1025</v>
      </c>
      <c r="X73" s="4" t="s">
        <v>1026</v>
      </c>
      <c r="Y73" s="4" t="s">
        <v>1027</v>
      </c>
      <c r="Z73" s="4" t="s">
        <v>1028</v>
      </c>
      <c r="AA73" s="4"/>
      <c r="AB73" s="6">
        <v>46224</v>
      </c>
      <c r="AC73" s="4" t="s">
        <v>1029</v>
      </c>
      <c r="AD73" s="4" t="s">
        <v>1111</v>
      </c>
    </row>
    <row r="74" spans="1:30" ht="71.25">
      <c r="A74" s="3" t="s">
        <v>1099</v>
      </c>
      <c r="B74" s="4" t="s">
        <v>42</v>
      </c>
      <c r="C74" s="4" t="s">
        <v>1030</v>
      </c>
      <c r="D74" s="4" t="s">
        <v>1031</v>
      </c>
      <c r="E74" s="4" t="s">
        <v>55</v>
      </c>
      <c r="F74" s="4" t="s">
        <v>184</v>
      </c>
      <c r="G74" s="6">
        <v>46295</v>
      </c>
      <c r="H74" s="4" t="s">
        <v>33</v>
      </c>
      <c r="I74" s="4" t="s">
        <v>70</v>
      </c>
      <c r="J74" s="4" t="s">
        <v>35</v>
      </c>
      <c r="K74" s="4" t="str">
        <f t="shared" ca="1" si="1"/>
        <v>Abierta</v>
      </c>
      <c r="L74" s="8"/>
      <c r="M74" s="8">
        <v>5000</v>
      </c>
      <c r="N74" s="4" t="s">
        <v>51</v>
      </c>
      <c r="O74" s="4"/>
      <c r="P74" s="4" t="s">
        <v>72</v>
      </c>
      <c r="Q74" s="4" t="s">
        <v>1032</v>
      </c>
      <c r="R74" s="4" t="s">
        <v>46</v>
      </c>
      <c r="S74" s="4" t="s">
        <v>184</v>
      </c>
      <c r="T74" s="4" t="s">
        <v>1033</v>
      </c>
      <c r="U74" s="4" t="s">
        <v>1034</v>
      </c>
      <c r="V74" s="4" t="s">
        <v>1035</v>
      </c>
      <c r="W74" s="4" t="s">
        <v>1036</v>
      </c>
      <c r="X74" s="4" t="s">
        <v>1037</v>
      </c>
      <c r="Y74" s="4" t="s">
        <v>1038</v>
      </c>
      <c r="Z74" s="4" t="s">
        <v>1039</v>
      </c>
      <c r="AA74" s="4"/>
      <c r="AB74" s="6">
        <v>46224</v>
      </c>
      <c r="AC74" s="4" t="s">
        <v>1040</v>
      </c>
      <c r="AD74" s="4" t="s">
        <v>1110</v>
      </c>
    </row>
    <row r="75" spans="1:30" ht="71.25">
      <c r="A75" s="3" t="s">
        <v>1100</v>
      </c>
      <c r="B75" s="4" t="s">
        <v>42</v>
      </c>
      <c r="C75" s="4" t="s">
        <v>1041</v>
      </c>
      <c r="D75" s="4" t="s">
        <v>1031</v>
      </c>
      <c r="E75" s="4" t="s">
        <v>55</v>
      </c>
      <c r="F75" s="4" t="s">
        <v>184</v>
      </c>
      <c r="G75" s="6">
        <v>46249</v>
      </c>
      <c r="H75" s="4" t="s">
        <v>33</v>
      </c>
      <c r="I75" s="4" t="s">
        <v>70</v>
      </c>
      <c r="J75" s="4" t="s">
        <v>35</v>
      </c>
      <c r="K75" s="4" t="str">
        <f t="shared" ca="1" si="1"/>
        <v>Próxima a vencer</v>
      </c>
      <c r="L75" s="8"/>
      <c r="M75" s="8"/>
      <c r="N75" s="4"/>
      <c r="O75" s="4" t="s">
        <v>319</v>
      </c>
      <c r="P75" s="4" t="s">
        <v>52</v>
      </c>
      <c r="Q75" s="4" t="s">
        <v>1042</v>
      </c>
      <c r="R75" s="4" t="s">
        <v>74</v>
      </c>
      <c r="S75" s="4" t="s">
        <v>1043</v>
      </c>
      <c r="T75" s="4" t="s">
        <v>1044</v>
      </c>
      <c r="U75" s="4" t="s">
        <v>1045</v>
      </c>
      <c r="V75" s="4" t="s">
        <v>1046</v>
      </c>
      <c r="W75" s="4" t="s">
        <v>1047</v>
      </c>
      <c r="X75" s="4" t="s">
        <v>1048</v>
      </c>
      <c r="Y75" s="4" t="s">
        <v>1049</v>
      </c>
      <c r="Z75" s="4" t="s">
        <v>1050</v>
      </c>
      <c r="AA75" s="4"/>
      <c r="AB75" s="6">
        <v>46224</v>
      </c>
      <c r="AC75" s="4" t="s">
        <v>1051</v>
      </c>
      <c r="AD75" s="4" t="s">
        <v>1109</v>
      </c>
    </row>
    <row r="76" spans="1:30" ht="71.25">
      <c r="A76" s="3" t="s">
        <v>1101</v>
      </c>
      <c r="B76" s="4" t="s">
        <v>42</v>
      </c>
      <c r="C76" s="4" t="s">
        <v>1052</v>
      </c>
      <c r="D76" s="4" t="s">
        <v>1053</v>
      </c>
      <c r="E76" s="4" t="s">
        <v>80</v>
      </c>
      <c r="F76" s="4" t="s">
        <v>32</v>
      </c>
      <c r="G76" s="6"/>
      <c r="H76" s="4" t="s">
        <v>63</v>
      </c>
      <c r="I76" s="4" t="s">
        <v>70</v>
      </c>
      <c r="J76" s="4" t="s">
        <v>35</v>
      </c>
      <c r="K76" s="4" t="str">
        <f t="shared" ca="1" si="1"/>
        <v>Sin fecha</v>
      </c>
      <c r="L76" s="8">
        <v>200</v>
      </c>
      <c r="M76" s="8">
        <v>2000</v>
      </c>
      <c r="N76" s="4" t="s">
        <v>36</v>
      </c>
      <c r="O76" s="4"/>
      <c r="P76" s="4" t="s">
        <v>52</v>
      </c>
      <c r="Q76" s="4" t="s">
        <v>1054</v>
      </c>
      <c r="R76" s="4" t="s">
        <v>74</v>
      </c>
      <c r="S76" s="4" t="s">
        <v>1055</v>
      </c>
      <c r="T76" s="4" t="s">
        <v>1056</v>
      </c>
      <c r="U76" s="4" t="s">
        <v>1057</v>
      </c>
      <c r="V76" s="4" t="s">
        <v>1058</v>
      </c>
      <c r="W76" s="4" t="s">
        <v>1059</v>
      </c>
      <c r="X76" s="4" t="s">
        <v>1060</v>
      </c>
      <c r="Y76" s="4" t="s">
        <v>1061</v>
      </c>
      <c r="Z76" s="4" t="s">
        <v>1062</v>
      </c>
      <c r="AA76" s="4" t="s">
        <v>1063</v>
      </c>
      <c r="AB76" s="6">
        <v>46224</v>
      </c>
      <c r="AC76" s="4" t="s">
        <v>1064</v>
      </c>
      <c r="AD76" s="4" t="s">
        <v>1108</v>
      </c>
    </row>
    <row r="77" spans="1:30" ht="57">
      <c r="A77" s="3" t="s">
        <v>1102</v>
      </c>
      <c r="B77" s="4" t="s">
        <v>42</v>
      </c>
      <c r="C77" s="4" t="s">
        <v>1065</v>
      </c>
      <c r="D77" s="4" t="s">
        <v>1066</v>
      </c>
      <c r="E77" s="4" t="s">
        <v>80</v>
      </c>
      <c r="F77" s="4" t="s">
        <v>32</v>
      </c>
      <c r="G77" s="6">
        <v>46266</v>
      </c>
      <c r="H77" s="4" t="s">
        <v>33</v>
      </c>
      <c r="I77" s="4" t="s">
        <v>75</v>
      </c>
      <c r="J77" s="4" t="s">
        <v>35</v>
      </c>
      <c r="K77" s="4" t="str">
        <f t="shared" ca="1" si="1"/>
        <v>Abierta</v>
      </c>
      <c r="L77" s="8">
        <v>2500</v>
      </c>
      <c r="M77" s="8">
        <v>3000</v>
      </c>
      <c r="N77" s="4" t="s">
        <v>36</v>
      </c>
      <c r="O77" s="4"/>
      <c r="P77" s="4" t="s">
        <v>60</v>
      </c>
      <c r="Q77" s="4" t="s">
        <v>1067</v>
      </c>
      <c r="R77" s="4" t="s">
        <v>74</v>
      </c>
      <c r="S77" s="4" t="s">
        <v>184</v>
      </c>
      <c r="T77" s="4" t="s">
        <v>625</v>
      </c>
      <c r="U77" s="4" t="s">
        <v>1068</v>
      </c>
      <c r="V77" s="4" t="s">
        <v>1069</v>
      </c>
      <c r="W77" s="4" t="s">
        <v>1070</v>
      </c>
      <c r="X77" s="4" t="s">
        <v>1071</v>
      </c>
      <c r="Y77" s="4" t="s">
        <v>1072</v>
      </c>
      <c r="Z77" s="4" t="s">
        <v>1073</v>
      </c>
      <c r="AA77" s="4" t="s">
        <v>1074</v>
      </c>
      <c r="AB77" s="6">
        <v>46224</v>
      </c>
      <c r="AC77" s="4" t="s">
        <v>1066</v>
      </c>
      <c r="AD77" s="4" t="s">
        <v>1107</v>
      </c>
    </row>
    <row r="78" spans="1:30" ht="57">
      <c r="A78" s="3" t="s">
        <v>1103</v>
      </c>
      <c r="B78" s="4" t="s">
        <v>42</v>
      </c>
      <c r="C78" s="4" t="s">
        <v>1075</v>
      </c>
      <c r="D78" s="4" t="s">
        <v>1076</v>
      </c>
      <c r="E78" s="4" t="s">
        <v>80</v>
      </c>
      <c r="F78" s="4" t="s">
        <v>32</v>
      </c>
      <c r="G78" s="6">
        <v>46300</v>
      </c>
      <c r="H78" s="4" t="s">
        <v>33</v>
      </c>
      <c r="I78" s="4" t="s">
        <v>75</v>
      </c>
      <c r="J78" s="4" t="s">
        <v>35</v>
      </c>
      <c r="K78" s="4" t="str">
        <f t="shared" ca="1" si="1"/>
        <v>Abierta</v>
      </c>
      <c r="L78" s="8">
        <v>200000</v>
      </c>
      <c r="M78" s="8">
        <v>200000</v>
      </c>
      <c r="N78" s="4" t="s">
        <v>36</v>
      </c>
      <c r="O78" s="4"/>
      <c r="P78" s="4" t="s">
        <v>60</v>
      </c>
      <c r="Q78" s="4" t="s">
        <v>1077</v>
      </c>
      <c r="R78" s="4" t="s">
        <v>74</v>
      </c>
      <c r="S78" s="4" t="s">
        <v>184</v>
      </c>
      <c r="T78" s="4" t="s">
        <v>1078</v>
      </c>
      <c r="U78" s="4" t="s">
        <v>1079</v>
      </c>
      <c r="V78" s="4" t="s">
        <v>1080</v>
      </c>
      <c r="W78" s="4" t="s">
        <v>1081</v>
      </c>
      <c r="X78" s="4" t="s">
        <v>1082</v>
      </c>
      <c r="Y78" s="4" t="s">
        <v>1083</v>
      </c>
      <c r="Z78" s="4" t="s">
        <v>1084</v>
      </c>
      <c r="AA78" s="4" t="s">
        <v>1085</v>
      </c>
      <c r="AB78" s="6">
        <v>46224</v>
      </c>
      <c r="AC78" s="4" t="s">
        <v>1086</v>
      </c>
      <c r="AD78" s="4" t="s">
        <v>1106</v>
      </c>
    </row>
    <row r="79" spans="1:30" ht="57">
      <c r="A79" s="3" t="s">
        <v>1104</v>
      </c>
      <c r="B79" s="4" t="s">
        <v>42</v>
      </c>
      <c r="C79" s="4" t="s">
        <v>1087</v>
      </c>
      <c r="D79" s="4" t="s">
        <v>1066</v>
      </c>
      <c r="E79" s="4" t="s">
        <v>80</v>
      </c>
      <c r="F79" s="4" t="s">
        <v>32</v>
      </c>
      <c r="G79" s="6">
        <v>46266</v>
      </c>
      <c r="H79" s="4" t="s">
        <v>33</v>
      </c>
      <c r="I79" s="4" t="s">
        <v>75</v>
      </c>
      <c r="J79" s="4" t="s">
        <v>35</v>
      </c>
      <c r="K79" s="4" t="str">
        <f t="shared" ca="1" si="1"/>
        <v>Abierta</v>
      </c>
      <c r="L79" s="8">
        <v>2500</v>
      </c>
      <c r="M79" s="8">
        <v>4000</v>
      </c>
      <c r="N79" s="4" t="s">
        <v>36</v>
      </c>
      <c r="O79" s="4"/>
      <c r="P79" s="4" t="s">
        <v>60</v>
      </c>
      <c r="Q79" s="4" t="s">
        <v>1088</v>
      </c>
      <c r="R79" s="4" t="s">
        <v>74</v>
      </c>
      <c r="S79" s="4" t="s">
        <v>184</v>
      </c>
      <c r="T79" s="4" t="s">
        <v>1089</v>
      </c>
      <c r="U79" s="4" t="s">
        <v>1090</v>
      </c>
      <c r="V79" s="4" t="s">
        <v>1091</v>
      </c>
      <c r="W79" s="4" t="s">
        <v>1092</v>
      </c>
      <c r="X79" s="4" t="s">
        <v>1093</v>
      </c>
      <c r="Y79" s="4" t="s">
        <v>1094</v>
      </c>
      <c r="Z79" s="4" t="s">
        <v>1095</v>
      </c>
      <c r="AA79" s="4" t="s">
        <v>1096</v>
      </c>
      <c r="AB79" s="6">
        <v>46224</v>
      </c>
      <c r="AC79" s="4" t="s">
        <v>1066</v>
      </c>
      <c r="AD79" s="4" t="s">
        <v>1105</v>
      </c>
    </row>
    <row r="80" spans="1:30" ht="142.5">
      <c r="A80" s="3" t="s">
        <v>1153</v>
      </c>
      <c r="B80" s="4" t="s">
        <v>42</v>
      </c>
      <c r="C80" s="4" t="s">
        <v>1113</v>
      </c>
      <c r="D80" s="4" t="s">
        <v>1114</v>
      </c>
      <c r="E80" s="4" t="s">
        <v>69</v>
      </c>
      <c r="F80" s="4" t="s">
        <v>32</v>
      </c>
      <c r="G80" s="6"/>
      <c r="H80" s="4" t="s">
        <v>56</v>
      </c>
      <c r="I80" s="4" t="s">
        <v>70</v>
      </c>
      <c r="J80" s="4" t="s">
        <v>35</v>
      </c>
      <c r="K80" s="4" t="str">
        <f t="shared" ca="1" si="1"/>
        <v>Sin fecha</v>
      </c>
      <c r="L80" s="8"/>
      <c r="M80" s="8"/>
      <c r="N80" s="4"/>
      <c r="O80" s="4" t="s">
        <v>1115</v>
      </c>
      <c r="P80" s="4" t="s">
        <v>84</v>
      </c>
      <c r="Q80" s="4" t="s">
        <v>1301</v>
      </c>
      <c r="R80" s="4" t="s">
        <v>46</v>
      </c>
      <c r="S80" s="4" t="s">
        <v>1116</v>
      </c>
      <c r="T80" s="4" t="s">
        <v>1117</v>
      </c>
      <c r="U80" s="4" t="s">
        <v>1118</v>
      </c>
      <c r="V80" s="4" t="s">
        <v>1119</v>
      </c>
      <c r="W80" s="4" t="s">
        <v>1120</v>
      </c>
      <c r="X80" s="4" t="s">
        <v>1121</v>
      </c>
      <c r="Y80" s="4" t="s">
        <v>1122</v>
      </c>
      <c r="Z80" s="4" t="s">
        <v>1123</v>
      </c>
      <c r="AA80" s="4"/>
      <c r="AB80" s="6">
        <v>46224</v>
      </c>
      <c r="AC80" s="4" t="s">
        <v>1124</v>
      </c>
      <c r="AD80" s="4" t="s">
        <v>1125</v>
      </c>
    </row>
    <row r="81" spans="1:30" ht="128.25">
      <c r="A81" s="3" t="s">
        <v>1154</v>
      </c>
      <c r="B81" s="4" t="s">
        <v>42</v>
      </c>
      <c r="C81" s="4" t="s">
        <v>1126</v>
      </c>
      <c r="D81" s="4" t="s">
        <v>1127</v>
      </c>
      <c r="E81" s="4" t="s">
        <v>31</v>
      </c>
      <c r="F81" s="4" t="s">
        <v>32</v>
      </c>
      <c r="G81" s="6">
        <v>46357</v>
      </c>
      <c r="H81" s="4" t="s">
        <v>33</v>
      </c>
      <c r="I81" s="4" t="s">
        <v>57</v>
      </c>
      <c r="J81" s="4" t="s">
        <v>64</v>
      </c>
      <c r="K81" s="4" t="str">
        <f t="shared" ref="K81:K118" ca="1" si="2">IF(J81="En revisión","Pendiente Apertura",IF(J81="Cerrada","Cerrada",IF(J81="Suspendida","Suspendida",IF(G81="","Sin fecha",IF(G81&lt;TODAY(),"Vencida",IF(G81-TODAY()&lt;=30,"Próxima a vencer","Abierta"))))))</f>
        <v>Pendiente Apertura</v>
      </c>
      <c r="L81" s="8"/>
      <c r="M81" s="8"/>
      <c r="N81" s="4" t="s">
        <v>36</v>
      </c>
      <c r="O81" s="4" t="s">
        <v>1128</v>
      </c>
      <c r="P81" s="4" t="s">
        <v>186</v>
      </c>
      <c r="Q81" s="4" t="s">
        <v>1129</v>
      </c>
      <c r="R81" s="4" t="s">
        <v>46</v>
      </c>
      <c r="S81" s="4" t="s">
        <v>1130</v>
      </c>
      <c r="T81" s="4" t="s">
        <v>625</v>
      </c>
      <c r="U81" s="4" t="s">
        <v>1131</v>
      </c>
      <c r="V81" s="4" t="s">
        <v>1132</v>
      </c>
      <c r="W81" s="4" t="s">
        <v>1133</v>
      </c>
      <c r="X81" s="4" t="s">
        <v>1134</v>
      </c>
      <c r="Y81" s="4" t="s">
        <v>1135</v>
      </c>
      <c r="Z81" s="4" t="s">
        <v>428</v>
      </c>
      <c r="AA81" s="4"/>
      <c r="AB81" s="6">
        <v>46224</v>
      </c>
      <c r="AC81" s="4" t="s">
        <v>1136</v>
      </c>
      <c r="AD81" s="4" t="s">
        <v>1137</v>
      </c>
    </row>
    <row r="82" spans="1:30" ht="99.75">
      <c r="A82" s="3" t="s">
        <v>1155</v>
      </c>
      <c r="B82" s="4" t="s">
        <v>42</v>
      </c>
      <c r="C82" s="4" t="s">
        <v>1138</v>
      </c>
      <c r="D82" s="4" t="s">
        <v>1139</v>
      </c>
      <c r="E82" s="4" t="s">
        <v>55</v>
      </c>
      <c r="F82" s="4" t="s">
        <v>1140</v>
      </c>
      <c r="G82" s="6">
        <v>46310</v>
      </c>
      <c r="H82" s="4" t="s">
        <v>33</v>
      </c>
      <c r="I82" s="4" t="s">
        <v>70</v>
      </c>
      <c r="J82" s="4" t="s">
        <v>64</v>
      </c>
      <c r="K82" s="4" t="str">
        <f t="shared" ca="1" si="2"/>
        <v>Pendiente Apertura</v>
      </c>
      <c r="L82" s="8"/>
      <c r="M82" s="8">
        <v>1250</v>
      </c>
      <c r="N82" s="4" t="s">
        <v>36</v>
      </c>
      <c r="O82" s="4" t="s">
        <v>1141</v>
      </c>
      <c r="P82" s="4" t="s">
        <v>77</v>
      </c>
      <c r="Q82" s="4" t="s">
        <v>1302</v>
      </c>
      <c r="R82" s="4" t="s">
        <v>74</v>
      </c>
      <c r="S82" s="4" t="s">
        <v>1142</v>
      </c>
      <c r="T82" s="4" t="s">
        <v>1143</v>
      </c>
      <c r="U82" s="4" t="s">
        <v>1144</v>
      </c>
      <c r="V82" s="4" t="s">
        <v>1145</v>
      </c>
      <c r="W82" s="4" t="s">
        <v>1146</v>
      </c>
      <c r="X82" s="4" t="s">
        <v>1147</v>
      </c>
      <c r="Y82" s="4" t="s">
        <v>1148</v>
      </c>
      <c r="Z82" s="4" t="s">
        <v>1149</v>
      </c>
      <c r="AA82" s="4"/>
      <c r="AB82" s="6">
        <v>46224</v>
      </c>
      <c r="AC82" s="4" t="s">
        <v>1150</v>
      </c>
      <c r="AD82" s="4" t="s">
        <v>1151</v>
      </c>
    </row>
    <row r="83" spans="1:30" ht="213.75">
      <c r="A83" s="3" t="s">
        <v>1156</v>
      </c>
      <c r="B83" s="4" t="s">
        <v>42</v>
      </c>
      <c r="C83" s="4" t="s">
        <v>1152</v>
      </c>
      <c r="D83" s="4" t="s">
        <v>1157</v>
      </c>
      <c r="E83" s="4" t="s">
        <v>47</v>
      </c>
      <c r="F83" s="4" t="s">
        <v>199</v>
      </c>
      <c r="G83" s="6">
        <v>46275</v>
      </c>
      <c r="H83" s="4" t="s">
        <v>56</v>
      </c>
      <c r="I83" s="4" t="s">
        <v>70</v>
      </c>
      <c r="J83" s="4" t="s">
        <v>35</v>
      </c>
      <c r="K83" s="4" t="str">
        <f t="shared" ca="1" si="2"/>
        <v>Abierta</v>
      </c>
      <c r="L83" s="8"/>
      <c r="M83" s="8">
        <v>300000</v>
      </c>
      <c r="N83" s="4" t="s">
        <v>59</v>
      </c>
      <c r="O83" s="4">
        <v>36</v>
      </c>
      <c r="P83" s="4" t="s">
        <v>84</v>
      </c>
      <c r="Q83" s="4" t="s">
        <v>1158</v>
      </c>
      <c r="R83" s="4" t="s">
        <v>1159</v>
      </c>
      <c r="S83" s="14" t="s">
        <v>1160</v>
      </c>
      <c r="T83" s="4" t="s">
        <v>625</v>
      </c>
      <c r="U83" s="4" t="s">
        <v>1161</v>
      </c>
      <c r="V83" s="4" t="s">
        <v>1162</v>
      </c>
      <c r="W83" s="4" t="s">
        <v>1163</v>
      </c>
      <c r="X83" s="4" t="s">
        <v>1164</v>
      </c>
      <c r="Y83" s="4" t="s">
        <v>1165</v>
      </c>
      <c r="Z83" s="13" t="s">
        <v>1166</v>
      </c>
      <c r="AA83" s="4"/>
      <c r="AB83" s="6">
        <v>46226</v>
      </c>
      <c r="AC83" s="4" t="s">
        <v>1167</v>
      </c>
      <c r="AD83" s="4" t="s">
        <v>1168</v>
      </c>
    </row>
    <row r="84" spans="1:30" ht="99.75">
      <c r="A84" s="3" t="s">
        <v>1212</v>
      </c>
      <c r="B84" s="4" t="s">
        <v>42</v>
      </c>
      <c r="C84" s="4" t="s">
        <v>1169</v>
      </c>
      <c r="D84" s="4" t="s">
        <v>1170</v>
      </c>
      <c r="E84" s="4" t="s">
        <v>47</v>
      </c>
      <c r="F84" s="4" t="s">
        <v>1171</v>
      </c>
      <c r="G84" s="6">
        <v>46266</v>
      </c>
      <c r="H84" s="4" t="s">
        <v>56</v>
      </c>
      <c r="I84" s="4" t="s">
        <v>70</v>
      </c>
      <c r="J84" s="4" t="s">
        <v>64</v>
      </c>
      <c r="K84" s="4" t="str">
        <f t="shared" ca="1" si="2"/>
        <v>Pendiente Apertura</v>
      </c>
      <c r="L84" s="8"/>
      <c r="M84" s="8">
        <v>4000000</v>
      </c>
      <c r="N84" s="4" t="s">
        <v>51</v>
      </c>
      <c r="O84" s="4" t="s">
        <v>1172</v>
      </c>
      <c r="P84" s="4" t="s">
        <v>1173</v>
      </c>
      <c r="Q84" s="4" t="s">
        <v>1310</v>
      </c>
      <c r="R84" s="4" t="s">
        <v>1174</v>
      </c>
      <c r="S84" s="12" t="s">
        <v>1175</v>
      </c>
      <c r="T84" s="4" t="s">
        <v>1176</v>
      </c>
      <c r="U84" s="4" t="s">
        <v>1177</v>
      </c>
      <c r="V84" s="4" t="s">
        <v>1178</v>
      </c>
      <c r="W84" s="4" t="s">
        <v>1179</v>
      </c>
      <c r="X84" s="4" t="s">
        <v>1180</v>
      </c>
      <c r="Y84" s="4" t="s">
        <v>1181</v>
      </c>
      <c r="Z84" s="4" t="s">
        <v>1182</v>
      </c>
      <c r="AA84" s="4"/>
      <c r="AB84" s="6">
        <v>46226</v>
      </c>
      <c r="AC84" s="4" t="s">
        <v>1170</v>
      </c>
      <c r="AD84" s="4" t="s">
        <v>1183</v>
      </c>
    </row>
    <row r="85" spans="1:30" ht="99.75">
      <c r="A85" s="3" t="s">
        <v>1213</v>
      </c>
      <c r="B85" s="4" t="s">
        <v>42</v>
      </c>
      <c r="C85" s="4" t="s">
        <v>1184</v>
      </c>
      <c r="D85" s="4" t="s">
        <v>1185</v>
      </c>
      <c r="E85" s="4" t="s">
        <v>43</v>
      </c>
      <c r="F85" s="4" t="s">
        <v>134</v>
      </c>
      <c r="G85" s="6">
        <v>46171</v>
      </c>
      <c r="H85" s="4" t="s">
        <v>33</v>
      </c>
      <c r="I85" s="4" t="s">
        <v>34</v>
      </c>
      <c r="J85" s="4" t="s">
        <v>50</v>
      </c>
      <c r="K85" s="4" t="str">
        <f t="shared" ca="1" si="2"/>
        <v>Cerrada</v>
      </c>
      <c r="L85" s="8"/>
      <c r="M85" s="8">
        <v>2500000</v>
      </c>
      <c r="N85" s="4" t="s">
        <v>65</v>
      </c>
      <c r="O85" s="4" t="s">
        <v>1186</v>
      </c>
      <c r="P85" s="4" t="s">
        <v>1187</v>
      </c>
      <c r="Q85" s="4" t="s">
        <v>1188</v>
      </c>
      <c r="R85" s="4" t="s">
        <v>1189</v>
      </c>
      <c r="S85" s="4" t="s">
        <v>134</v>
      </c>
      <c r="T85" s="4" t="s">
        <v>1190</v>
      </c>
      <c r="U85" s="4" t="s">
        <v>1191</v>
      </c>
      <c r="V85" s="4" t="s">
        <v>1192</v>
      </c>
      <c r="W85" s="4" t="s">
        <v>1193</v>
      </c>
      <c r="X85" s="4" t="s">
        <v>1194</v>
      </c>
      <c r="Y85" s="4" t="s">
        <v>1195</v>
      </c>
      <c r="Z85" s="4" t="s">
        <v>1196</v>
      </c>
      <c r="AA85" s="4"/>
      <c r="AB85" s="6">
        <v>46226</v>
      </c>
      <c r="AC85" s="4" t="s">
        <v>1197</v>
      </c>
      <c r="AD85" s="4" t="s">
        <v>1198</v>
      </c>
    </row>
    <row r="86" spans="1:30" ht="99.75">
      <c r="A86" s="3" t="s">
        <v>1214</v>
      </c>
      <c r="B86" s="4" t="s">
        <v>42</v>
      </c>
      <c r="C86" s="4" t="s">
        <v>1199</v>
      </c>
      <c r="D86" s="4" t="s">
        <v>123</v>
      </c>
      <c r="E86" s="4" t="s">
        <v>31</v>
      </c>
      <c r="F86" s="4" t="s">
        <v>32</v>
      </c>
      <c r="G86" s="6">
        <v>46213</v>
      </c>
      <c r="H86" s="4" t="s">
        <v>33</v>
      </c>
      <c r="I86" s="4" t="s">
        <v>57</v>
      </c>
      <c r="J86" s="4" t="s">
        <v>50</v>
      </c>
      <c r="K86" s="4" t="str">
        <f t="shared" ca="1" si="2"/>
        <v>Cerrada</v>
      </c>
      <c r="L86" s="8"/>
      <c r="M86" s="8">
        <v>400000</v>
      </c>
      <c r="N86" s="4" t="s">
        <v>36</v>
      </c>
      <c r="O86" s="4" t="s">
        <v>1200</v>
      </c>
      <c r="P86" s="4" t="s">
        <v>1201</v>
      </c>
      <c r="Q86" s="4" t="s">
        <v>1303</v>
      </c>
      <c r="R86" s="4" t="s">
        <v>1202</v>
      </c>
      <c r="S86" s="4" t="s">
        <v>184</v>
      </c>
      <c r="T86" s="4" t="s">
        <v>1203</v>
      </c>
      <c r="U86" s="4" t="s">
        <v>1204</v>
      </c>
      <c r="V86" s="4" t="s">
        <v>1205</v>
      </c>
      <c r="W86" s="4" t="s">
        <v>1206</v>
      </c>
      <c r="X86" s="4" t="s">
        <v>1207</v>
      </c>
      <c r="Y86" s="4" t="s">
        <v>1208</v>
      </c>
      <c r="Z86" s="4" t="s">
        <v>1209</v>
      </c>
      <c r="AA86" s="4"/>
      <c r="AB86" s="6">
        <v>46226</v>
      </c>
      <c r="AC86" s="4" t="s">
        <v>1210</v>
      </c>
      <c r="AD86" s="4" t="s">
        <v>1211</v>
      </c>
    </row>
    <row r="87" spans="1:30" ht="114">
      <c r="A87" s="3" t="s">
        <v>1287</v>
      </c>
      <c r="B87" s="4" t="s">
        <v>42</v>
      </c>
      <c r="C87" s="4" t="s">
        <v>1215</v>
      </c>
      <c r="D87" s="4" t="s">
        <v>1216</v>
      </c>
      <c r="E87" s="4" t="s">
        <v>31</v>
      </c>
      <c r="F87" s="4" t="s">
        <v>32</v>
      </c>
      <c r="G87" s="6">
        <v>46253</v>
      </c>
      <c r="H87" s="4" t="s">
        <v>33</v>
      </c>
      <c r="I87" s="4" t="s">
        <v>57</v>
      </c>
      <c r="J87" s="4" t="s">
        <v>35</v>
      </c>
      <c r="K87" s="4" t="str">
        <f t="shared" ca="1" si="2"/>
        <v>Próxima a vencer</v>
      </c>
      <c r="L87" s="8">
        <v>50000</v>
      </c>
      <c r="M87" s="8">
        <v>400000</v>
      </c>
      <c r="N87" s="4" t="s">
        <v>36</v>
      </c>
      <c r="O87" s="4" t="s">
        <v>1217</v>
      </c>
      <c r="P87" s="4" t="s">
        <v>186</v>
      </c>
      <c r="Q87" s="4" t="s">
        <v>1218</v>
      </c>
      <c r="R87" s="4" t="s">
        <v>1219</v>
      </c>
      <c r="S87" s="4" t="s">
        <v>1220</v>
      </c>
      <c r="T87" s="4" t="s">
        <v>40</v>
      </c>
      <c r="U87" s="4" t="s">
        <v>1221</v>
      </c>
      <c r="V87" s="4" t="s">
        <v>1222</v>
      </c>
      <c r="W87" s="4" t="s">
        <v>1223</v>
      </c>
      <c r="X87" s="4" t="s">
        <v>1224</v>
      </c>
      <c r="Y87" s="4" t="s">
        <v>1225</v>
      </c>
      <c r="Z87" s="4" t="s">
        <v>1226</v>
      </c>
      <c r="AA87" s="4"/>
      <c r="AB87" s="6">
        <v>46227</v>
      </c>
      <c r="AC87" s="4" t="s">
        <v>1227</v>
      </c>
      <c r="AD87" s="4" t="s">
        <v>1293</v>
      </c>
    </row>
    <row r="88" spans="1:30" ht="85.5">
      <c r="A88" s="3" t="s">
        <v>1288</v>
      </c>
      <c r="B88" s="4" t="s">
        <v>42</v>
      </c>
      <c r="C88" s="4" t="s">
        <v>1228</v>
      </c>
      <c r="D88" s="4" t="s">
        <v>1229</v>
      </c>
      <c r="E88" s="4" t="s">
        <v>43</v>
      </c>
      <c r="F88" s="4" t="s">
        <v>134</v>
      </c>
      <c r="G88" s="6">
        <v>46265</v>
      </c>
      <c r="H88" s="4" t="s">
        <v>33</v>
      </c>
      <c r="I88" s="4" t="s">
        <v>75</v>
      </c>
      <c r="J88" s="4" t="s">
        <v>35</v>
      </c>
      <c r="K88" s="4" t="str">
        <f t="shared" ca="1" si="2"/>
        <v>Abierta</v>
      </c>
      <c r="L88" s="8" t="s">
        <v>1230</v>
      </c>
      <c r="M88" s="8" t="s">
        <v>1230</v>
      </c>
      <c r="N88" s="4" t="s">
        <v>76</v>
      </c>
      <c r="O88" s="4" t="s">
        <v>83</v>
      </c>
      <c r="P88" s="4" t="s">
        <v>60</v>
      </c>
      <c r="Q88" s="4" t="s">
        <v>1231</v>
      </c>
      <c r="R88" s="4" t="s">
        <v>1232</v>
      </c>
      <c r="S88" s="4" t="s">
        <v>134</v>
      </c>
      <c r="T88" s="4" t="s">
        <v>1233</v>
      </c>
      <c r="U88" s="4" t="s">
        <v>1221</v>
      </c>
      <c r="V88" s="4" t="s">
        <v>1234</v>
      </c>
      <c r="W88" s="4" t="s">
        <v>1235</v>
      </c>
      <c r="X88" s="4" t="s">
        <v>1236</v>
      </c>
      <c r="Y88" s="4" t="s">
        <v>1237</v>
      </c>
      <c r="Z88" s="4" t="s">
        <v>1238</v>
      </c>
      <c r="AA88" s="4"/>
      <c r="AB88" s="6">
        <v>46227</v>
      </c>
      <c r="AC88" s="4" t="s">
        <v>1239</v>
      </c>
      <c r="AD88" s="4" t="s">
        <v>1240</v>
      </c>
    </row>
    <row r="89" spans="1:30" ht="128.25">
      <c r="A89" s="3" t="s">
        <v>1289</v>
      </c>
      <c r="B89" s="4" t="s">
        <v>42</v>
      </c>
      <c r="C89" s="4" t="s">
        <v>1241</v>
      </c>
      <c r="D89" s="4" t="s">
        <v>1242</v>
      </c>
      <c r="E89" s="4" t="s">
        <v>47</v>
      </c>
      <c r="F89" s="4" t="s">
        <v>944</v>
      </c>
      <c r="G89" s="6">
        <v>46070</v>
      </c>
      <c r="H89" s="4" t="s">
        <v>33</v>
      </c>
      <c r="I89" s="4" t="s">
        <v>57</v>
      </c>
      <c r="J89" s="4" t="s">
        <v>50</v>
      </c>
      <c r="K89" s="4" t="str">
        <f t="shared" ca="1" si="2"/>
        <v>Cerrada</v>
      </c>
      <c r="L89" s="8">
        <v>5000000</v>
      </c>
      <c r="M89" s="8">
        <v>20000000</v>
      </c>
      <c r="N89" s="4" t="s">
        <v>51</v>
      </c>
      <c r="O89" s="4" t="s">
        <v>1243</v>
      </c>
      <c r="P89" s="4" t="s">
        <v>37</v>
      </c>
      <c r="Q89" s="4" t="s">
        <v>67</v>
      </c>
      <c r="R89" s="4" t="s">
        <v>1244</v>
      </c>
      <c r="S89" s="4" t="s">
        <v>1245</v>
      </c>
      <c r="T89" s="4" t="s">
        <v>40</v>
      </c>
      <c r="U89" s="4" t="s">
        <v>1246</v>
      </c>
      <c r="V89" s="4" t="s">
        <v>1247</v>
      </c>
      <c r="W89" s="4" t="s">
        <v>1248</v>
      </c>
      <c r="X89" s="4" t="s">
        <v>1249</v>
      </c>
      <c r="Y89" s="4" t="s">
        <v>1250</v>
      </c>
      <c r="Z89" s="4" t="s">
        <v>1251</v>
      </c>
      <c r="AA89" s="4"/>
      <c r="AB89" s="6">
        <v>46227</v>
      </c>
      <c r="AC89" s="4" t="s">
        <v>1252</v>
      </c>
      <c r="AD89" s="4" t="s">
        <v>1253</v>
      </c>
    </row>
    <row r="90" spans="1:30" ht="114">
      <c r="A90" s="3" t="s">
        <v>1290</v>
      </c>
      <c r="B90" s="4" t="s">
        <v>42</v>
      </c>
      <c r="C90" s="4" t="s">
        <v>1254</v>
      </c>
      <c r="D90" s="4" t="s">
        <v>1242</v>
      </c>
      <c r="E90" s="4" t="s">
        <v>47</v>
      </c>
      <c r="F90" s="4" t="s">
        <v>944</v>
      </c>
      <c r="G90" s="6">
        <v>46042</v>
      </c>
      <c r="H90" s="4" t="s">
        <v>33</v>
      </c>
      <c r="I90" s="4" t="s">
        <v>57</v>
      </c>
      <c r="J90" s="4" t="s">
        <v>50</v>
      </c>
      <c r="K90" s="4" t="str">
        <f t="shared" ca="1" si="2"/>
        <v>Cerrada</v>
      </c>
      <c r="L90" s="8">
        <v>300000</v>
      </c>
      <c r="M90" s="8">
        <v>800000</v>
      </c>
      <c r="N90" s="4" t="s">
        <v>51</v>
      </c>
      <c r="O90" s="4" t="s">
        <v>1255</v>
      </c>
      <c r="P90" s="4" t="s">
        <v>37</v>
      </c>
      <c r="Q90" s="4" t="s">
        <v>67</v>
      </c>
      <c r="R90" s="4" t="s">
        <v>1256</v>
      </c>
      <c r="S90" s="4" t="s">
        <v>1257</v>
      </c>
      <c r="T90" s="4" t="s">
        <v>40</v>
      </c>
      <c r="U90" s="4" t="s">
        <v>1246</v>
      </c>
      <c r="V90" s="4" t="s">
        <v>1258</v>
      </c>
      <c r="W90" s="4" t="s">
        <v>1259</v>
      </c>
      <c r="X90" s="4" t="s">
        <v>1260</v>
      </c>
      <c r="Y90" s="4" t="s">
        <v>1261</v>
      </c>
      <c r="Z90" s="4" t="s">
        <v>1262</v>
      </c>
      <c r="AA90" s="4"/>
      <c r="AB90" s="6">
        <v>46227</v>
      </c>
      <c r="AC90" s="4" t="s">
        <v>1252</v>
      </c>
      <c r="AD90" s="4" t="s">
        <v>1263</v>
      </c>
    </row>
    <row r="91" spans="1:30" ht="128.25">
      <c r="A91" s="3" t="s">
        <v>1291</v>
      </c>
      <c r="B91" s="4" t="s">
        <v>42</v>
      </c>
      <c r="C91" s="4" t="s">
        <v>1264</v>
      </c>
      <c r="D91" s="4" t="s">
        <v>1265</v>
      </c>
      <c r="E91" s="4" t="s">
        <v>55</v>
      </c>
      <c r="F91" s="4" t="s">
        <v>184</v>
      </c>
      <c r="G91" s="6"/>
      <c r="H91" s="4" t="s">
        <v>63</v>
      </c>
      <c r="I91" s="4" t="s">
        <v>34</v>
      </c>
      <c r="J91" s="4" t="s">
        <v>35</v>
      </c>
      <c r="K91" s="4" t="str">
        <f t="shared" ca="1" si="2"/>
        <v>Sin fecha</v>
      </c>
      <c r="L91" s="8" t="s">
        <v>1230</v>
      </c>
      <c r="M91" s="8" t="s">
        <v>1230</v>
      </c>
      <c r="N91" s="4" t="s">
        <v>36</v>
      </c>
      <c r="O91" s="4" t="s">
        <v>1217</v>
      </c>
      <c r="P91" s="4" t="s">
        <v>84</v>
      </c>
      <c r="Q91" s="4" t="s">
        <v>67</v>
      </c>
      <c r="R91" s="4" t="s">
        <v>1266</v>
      </c>
      <c r="S91" s="4" t="s">
        <v>1267</v>
      </c>
      <c r="T91" s="4" t="s">
        <v>40</v>
      </c>
      <c r="U91" s="4" t="s">
        <v>1246</v>
      </c>
      <c r="V91" s="4" t="s">
        <v>1268</v>
      </c>
      <c r="W91" s="4" t="s">
        <v>1269</v>
      </c>
      <c r="X91" s="4" t="s">
        <v>1270</v>
      </c>
      <c r="Y91" s="4" t="s">
        <v>1271</v>
      </c>
      <c r="Z91" s="4" t="s">
        <v>1272</v>
      </c>
      <c r="AA91" s="4"/>
      <c r="AB91" s="6">
        <v>46227</v>
      </c>
      <c r="AC91" s="4" t="s">
        <v>1273</v>
      </c>
      <c r="AD91" s="4" t="s">
        <v>1274</v>
      </c>
    </row>
    <row r="92" spans="1:30" ht="142.5">
      <c r="A92" s="3" t="s">
        <v>1292</v>
      </c>
      <c r="B92" s="4" t="s">
        <v>42</v>
      </c>
      <c r="C92" s="4" t="s">
        <v>1275</v>
      </c>
      <c r="D92" s="4" t="s">
        <v>1276</v>
      </c>
      <c r="E92" s="4" t="s">
        <v>55</v>
      </c>
      <c r="F92" s="4" t="s">
        <v>184</v>
      </c>
      <c r="G92" s="6">
        <v>46188</v>
      </c>
      <c r="H92" s="4" t="s">
        <v>33</v>
      </c>
      <c r="I92" s="4" t="s">
        <v>70</v>
      </c>
      <c r="J92" s="4" t="s">
        <v>50</v>
      </c>
      <c r="K92" s="4" t="str">
        <f t="shared" ca="1" si="2"/>
        <v>Cerrada</v>
      </c>
      <c r="L92" s="8">
        <v>5000000</v>
      </c>
      <c r="M92" s="8">
        <v>20000000</v>
      </c>
      <c r="N92" s="4" t="s">
        <v>36</v>
      </c>
      <c r="O92" s="4" t="s">
        <v>1277</v>
      </c>
      <c r="P92" s="4" t="s">
        <v>84</v>
      </c>
      <c r="Q92" s="4" t="s">
        <v>67</v>
      </c>
      <c r="R92" s="4" t="s">
        <v>1278</v>
      </c>
      <c r="S92" s="4" t="s">
        <v>1279</v>
      </c>
      <c r="T92" s="4" t="s">
        <v>40</v>
      </c>
      <c r="U92" s="4" t="s">
        <v>1246</v>
      </c>
      <c r="V92" s="4" t="s">
        <v>1280</v>
      </c>
      <c r="W92" s="4" t="s">
        <v>1281</v>
      </c>
      <c r="X92" s="4" t="s">
        <v>1282</v>
      </c>
      <c r="Y92" s="4" t="s">
        <v>1283</v>
      </c>
      <c r="Z92" s="4" t="s">
        <v>1284</v>
      </c>
      <c r="AA92" s="4"/>
      <c r="AB92" s="6">
        <v>46227</v>
      </c>
      <c r="AC92" s="4" t="s">
        <v>1285</v>
      </c>
      <c r="AD92" s="4" t="s">
        <v>1286</v>
      </c>
    </row>
    <row r="93" spans="1:30">
      <c r="A93" s="4" t="str">
        <f t="shared" ref="A93:A128" si="3">IF(C93="","","OP-"&amp;TEXT(ROW()-1,"0000"))</f>
        <v/>
      </c>
      <c r="B93" s="4"/>
      <c r="C93" s="4"/>
      <c r="D93" s="4"/>
      <c r="E93" s="4"/>
      <c r="F93" s="4"/>
      <c r="G93" s="6"/>
      <c r="H93" s="4"/>
      <c r="I93" s="4"/>
      <c r="J93" s="4"/>
      <c r="K93" s="4" t="str">
        <f t="shared" ca="1" si="2"/>
        <v>Sin fecha</v>
      </c>
      <c r="L93" s="8"/>
      <c r="M93" s="8"/>
      <c r="N93" s="4"/>
      <c r="O93" s="4"/>
      <c r="P93" s="4"/>
      <c r="Q93" s="4"/>
      <c r="R93" s="4"/>
      <c r="S93" s="4"/>
      <c r="T93" s="4"/>
      <c r="U93" s="4"/>
      <c r="V93" s="4"/>
      <c r="W93" s="4"/>
      <c r="X93" s="4"/>
      <c r="Y93" s="4"/>
      <c r="Z93" s="4"/>
      <c r="AA93" s="4"/>
      <c r="AB93" s="6"/>
      <c r="AC93" s="4"/>
      <c r="AD93" s="4"/>
    </row>
    <row r="94" spans="1:30">
      <c r="A94" s="4" t="str">
        <f t="shared" si="3"/>
        <v/>
      </c>
      <c r="B94" s="4"/>
      <c r="C94" s="4"/>
      <c r="D94" s="4"/>
      <c r="E94" s="4"/>
      <c r="F94" s="4"/>
      <c r="G94" s="6"/>
      <c r="H94" s="4"/>
      <c r="I94" s="4"/>
      <c r="J94" s="4"/>
      <c r="K94" s="4" t="str">
        <f t="shared" ca="1" si="2"/>
        <v>Sin fecha</v>
      </c>
      <c r="L94" s="8"/>
      <c r="M94" s="8"/>
      <c r="N94" s="4"/>
      <c r="O94" s="4"/>
      <c r="P94" s="4"/>
      <c r="Q94" s="4"/>
      <c r="R94" s="4"/>
      <c r="S94" s="4"/>
      <c r="T94" s="4"/>
      <c r="U94" s="4"/>
      <c r="V94" s="4"/>
      <c r="W94" s="4"/>
      <c r="X94" s="4"/>
      <c r="Y94" s="4"/>
      <c r="Z94" s="4"/>
      <c r="AA94" s="4"/>
      <c r="AB94" s="6"/>
      <c r="AC94" s="4"/>
      <c r="AD94" s="4"/>
    </row>
    <row r="95" spans="1:30">
      <c r="A95" s="4" t="str">
        <f t="shared" si="3"/>
        <v/>
      </c>
      <c r="B95" s="4"/>
      <c r="C95" s="4"/>
      <c r="D95" s="4"/>
      <c r="E95" s="4"/>
      <c r="F95" s="4"/>
      <c r="G95" s="6"/>
      <c r="H95" s="4"/>
      <c r="I95" s="4"/>
      <c r="J95" s="4"/>
      <c r="K95" s="4" t="str">
        <f t="shared" ca="1" si="2"/>
        <v>Sin fecha</v>
      </c>
      <c r="L95" s="8"/>
      <c r="M95" s="8"/>
      <c r="N95" s="4"/>
      <c r="O95" s="4"/>
      <c r="P95" s="4"/>
      <c r="Q95" s="4"/>
      <c r="R95" s="4"/>
      <c r="S95" s="4"/>
      <c r="T95" s="4"/>
      <c r="U95" s="4"/>
      <c r="V95" s="4"/>
      <c r="W95" s="4"/>
      <c r="X95" s="4"/>
      <c r="Y95" s="4"/>
      <c r="Z95" s="4"/>
      <c r="AA95" s="4"/>
      <c r="AB95" s="6"/>
      <c r="AC95" s="4"/>
      <c r="AD95" s="4"/>
    </row>
    <row r="96" spans="1:30">
      <c r="A96" s="4" t="str">
        <f t="shared" si="3"/>
        <v/>
      </c>
      <c r="B96" s="4"/>
      <c r="C96" s="4"/>
      <c r="D96" s="4"/>
      <c r="E96" s="4"/>
      <c r="F96" s="4"/>
      <c r="G96" s="6"/>
      <c r="H96" s="4"/>
      <c r="I96" s="4"/>
      <c r="J96" s="4"/>
      <c r="K96" s="4" t="str">
        <f t="shared" ca="1" si="2"/>
        <v>Sin fecha</v>
      </c>
      <c r="L96" s="8"/>
      <c r="M96" s="8"/>
      <c r="N96" s="4"/>
      <c r="O96" s="4"/>
      <c r="P96" s="4"/>
      <c r="Q96" s="4"/>
      <c r="R96" s="4"/>
      <c r="S96" s="4"/>
      <c r="T96" s="4"/>
      <c r="U96" s="4"/>
      <c r="V96" s="4"/>
      <c r="W96" s="4"/>
      <c r="X96" s="4"/>
      <c r="Y96" s="4"/>
      <c r="Z96" s="4"/>
      <c r="AA96" s="4"/>
      <c r="AB96" s="6"/>
      <c r="AC96" s="4"/>
      <c r="AD96" s="4"/>
    </row>
    <row r="97" spans="1:30">
      <c r="A97" s="4" t="str">
        <f t="shared" si="3"/>
        <v/>
      </c>
      <c r="B97" s="4"/>
      <c r="C97" s="4"/>
      <c r="D97" s="4"/>
      <c r="E97" s="4"/>
      <c r="F97" s="4"/>
      <c r="G97" s="6"/>
      <c r="H97" s="4"/>
      <c r="I97" s="4"/>
      <c r="J97" s="4"/>
      <c r="K97" s="4" t="str">
        <f t="shared" ca="1" si="2"/>
        <v>Sin fecha</v>
      </c>
      <c r="L97" s="8"/>
      <c r="M97" s="8"/>
      <c r="N97" s="4"/>
      <c r="O97" s="4"/>
      <c r="P97" s="4"/>
      <c r="Q97" s="4"/>
      <c r="R97" s="4"/>
      <c r="S97" s="4"/>
      <c r="T97" s="4"/>
      <c r="U97" s="4"/>
      <c r="V97" s="4"/>
      <c r="W97" s="4"/>
      <c r="X97" s="4"/>
      <c r="Y97" s="4"/>
      <c r="Z97" s="4"/>
      <c r="AA97" s="4"/>
      <c r="AB97" s="6"/>
      <c r="AC97" s="4"/>
      <c r="AD97" s="4"/>
    </row>
    <row r="98" spans="1:30">
      <c r="A98" s="4" t="str">
        <f t="shared" si="3"/>
        <v/>
      </c>
      <c r="B98" s="4"/>
      <c r="C98" s="4"/>
      <c r="D98" s="4"/>
      <c r="E98" s="4"/>
      <c r="F98" s="4"/>
      <c r="G98" s="6"/>
      <c r="H98" s="4"/>
      <c r="I98" s="4"/>
      <c r="J98" s="4"/>
      <c r="K98" s="4" t="str">
        <f t="shared" ca="1" si="2"/>
        <v>Sin fecha</v>
      </c>
      <c r="L98" s="8"/>
      <c r="M98" s="8"/>
      <c r="N98" s="4"/>
      <c r="O98" s="4"/>
      <c r="P98" s="4"/>
      <c r="Q98" s="4"/>
      <c r="R98" s="4"/>
      <c r="S98" s="4"/>
      <c r="T98" s="4"/>
      <c r="U98" s="4"/>
      <c r="V98" s="4"/>
      <c r="W98" s="4"/>
      <c r="X98" s="4"/>
      <c r="Y98" s="4"/>
      <c r="Z98" s="4"/>
      <c r="AA98" s="4"/>
      <c r="AB98" s="6"/>
      <c r="AC98" s="4"/>
      <c r="AD98" s="4"/>
    </row>
    <row r="99" spans="1:30">
      <c r="A99" s="4" t="str">
        <f t="shared" si="3"/>
        <v/>
      </c>
      <c r="B99" s="4"/>
      <c r="C99" s="4"/>
      <c r="D99" s="4"/>
      <c r="E99" s="4"/>
      <c r="F99" s="4"/>
      <c r="G99" s="6"/>
      <c r="H99" s="4"/>
      <c r="I99" s="4"/>
      <c r="J99" s="4"/>
      <c r="K99" s="4" t="str">
        <f t="shared" ca="1" si="2"/>
        <v>Sin fecha</v>
      </c>
      <c r="L99" s="8"/>
      <c r="M99" s="8"/>
      <c r="N99" s="4"/>
      <c r="O99" s="4"/>
      <c r="P99" s="4"/>
      <c r="Q99" s="4"/>
      <c r="R99" s="4"/>
      <c r="S99" s="4"/>
      <c r="T99" s="4"/>
      <c r="U99" s="4"/>
      <c r="V99" s="4"/>
      <c r="W99" s="4"/>
      <c r="X99" s="4"/>
      <c r="Y99" s="4"/>
      <c r="Z99" s="4"/>
      <c r="AA99" s="4"/>
      <c r="AB99" s="6"/>
      <c r="AC99" s="4"/>
      <c r="AD99" s="4"/>
    </row>
    <row r="100" spans="1:30">
      <c r="A100" s="4" t="str">
        <f t="shared" si="3"/>
        <v/>
      </c>
      <c r="B100" s="4"/>
      <c r="C100" s="4"/>
      <c r="D100" s="4"/>
      <c r="E100" s="4"/>
      <c r="F100" s="4"/>
      <c r="G100" s="6"/>
      <c r="H100" s="4"/>
      <c r="I100" s="4"/>
      <c r="J100" s="4"/>
      <c r="K100" s="4" t="str">
        <f t="shared" ca="1" si="2"/>
        <v>Sin fecha</v>
      </c>
      <c r="L100" s="8"/>
      <c r="M100" s="8"/>
      <c r="N100" s="4"/>
      <c r="O100" s="4"/>
      <c r="P100" s="4"/>
      <c r="Q100" s="4"/>
      <c r="R100" s="4"/>
      <c r="S100" s="4"/>
      <c r="T100" s="4"/>
      <c r="U100" s="4"/>
      <c r="V100" s="4"/>
      <c r="W100" s="4"/>
      <c r="X100" s="4"/>
      <c r="Y100" s="4"/>
      <c r="Z100" s="4"/>
      <c r="AA100" s="4"/>
      <c r="AB100" s="6"/>
      <c r="AC100" s="4"/>
      <c r="AD100" s="4"/>
    </row>
    <row r="101" spans="1:30">
      <c r="A101" s="4" t="str">
        <f t="shared" si="3"/>
        <v/>
      </c>
      <c r="B101" s="4"/>
      <c r="C101" s="4"/>
      <c r="D101" s="4"/>
      <c r="E101" s="4"/>
      <c r="F101" s="4"/>
      <c r="G101" s="6"/>
      <c r="H101" s="4"/>
      <c r="I101" s="4"/>
      <c r="J101" s="4"/>
      <c r="K101" s="4" t="str">
        <f t="shared" ca="1" si="2"/>
        <v>Sin fecha</v>
      </c>
      <c r="L101" s="8"/>
      <c r="M101" s="8"/>
      <c r="N101" s="4"/>
      <c r="O101" s="4"/>
      <c r="P101" s="4"/>
      <c r="Q101" s="4"/>
      <c r="R101" s="4"/>
      <c r="S101" s="4"/>
      <c r="T101" s="4"/>
      <c r="U101" s="4"/>
      <c r="V101" s="4"/>
      <c r="W101" s="4"/>
      <c r="X101" s="4"/>
      <c r="Y101" s="4"/>
      <c r="Z101" s="4"/>
      <c r="AA101" s="4"/>
      <c r="AB101" s="6"/>
      <c r="AC101" s="4"/>
      <c r="AD101" s="4"/>
    </row>
    <row r="102" spans="1:30">
      <c r="A102" s="4" t="str">
        <f t="shared" si="3"/>
        <v/>
      </c>
      <c r="B102" s="4"/>
      <c r="C102" s="4"/>
      <c r="D102" s="4"/>
      <c r="E102" s="4"/>
      <c r="F102" s="4"/>
      <c r="G102" s="6"/>
      <c r="H102" s="4"/>
      <c r="I102" s="4"/>
      <c r="J102" s="4"/>
      <c r="K102" s="4" t="str">
        <f t="shared" ca="1" si="2"/>
        <v>Sin fecha</v>
      </c>
      <c r="L102" s="8"/>
      <c r="M102" s="8"/>
      <c r="N102" s="4"/>
      <c r="O102" s="4"/>
      <c r="P102" s="4"/>
      <c r="Q102" s="4"/>
      <c r="R102" s="4"/>
      <c r="S102" s="4"/>
      <c r="T102" s="4"/>
      <c r="U102" s="4"/>
      <c r="V102" s="4"/>
      <c r="W102" s="4"/>
      <c r="X102" s="4"/>
      <c r="Y102" s="4"/>
      <c r="Z102" s="4"/>
      <c r="AA102" s="4"/>
      <c r="AB102" s="6"/>
      <c r="AC102" s="4"/>
      <c r="AD102" s="4"/>
    </row>
    <row r="103" spans="1:30">
      <c r="A103" s="4" t="str">
        <f t="shared" si="3"/>
        <v/>
      </c>
      <c r="B103" s="4"/>
      <c r="C103" s="4"/>
      <c r="D103" s="4"/>
      <c r="E103" s="4"/>
      <c r="F103" s="4"/>
      <c r="G103" s="6"/>
      <c r="H103" s="4"/>
      <c r="I103" s="4"/>
      <c r="J103" s="4"/>
      <c r="K103" s="4" t="str">
        <f t="shared" ca="1" si="2"/>
        <v>Sin fecha</v>
      </c>
      <c r="L103" s="8"/>
      <c r="M103" s="8"/>
      <c r="N103" s="4"/>
      <c r="O103" s="4"/>
      <c r="P103" s="4"/>
      <c r="Q103" s="4"/>
      <c r="R103" s="4"/>
      <c r="S103" s="4"/>
      <c r="T103" s="4"/>
      <c r="U103" s="4"/>
      <c r="V103" s="4"/>
      <c r="W103" s="4"/>
      <c r="X103" s="4"/>
      <c r="Y103" s="4"/>
      <c r="Z103" s="4"/>
      <c r="AA103" s="4"/>
      <c r="AB103" s="6"/>
      <c r="AC103" s="4"/>
      <c r="AD103" s="4"/>
    </row>
    <row r="104" spans="1:30">
      <c r="A104" s="4" t="str">
        <f t="shared" si="3"/>
        <v/>
      </c>
      <c r="B104" s="4"/>
      <c r="C104" s="4"/>
      <c r="D104" s="4"/>
      <c r="E104" s="4"/>
      <c r="F104" s="4"/>
      <c r="G104" s="6"/>
      <c r="H104" s="4"/>
      <c r="I104" s="4"/>
      <c r="J104" s="4"/>
      <c r="K104" s="4" t="str">
        <f t="shared" ca="1" si="2"/>
        <v>Sin fecha</v>
      </c>
      <c r="L104" s="8"/>
      <c r="M104" s="8"/>
      <c r="N104" s="4"/>
      <c r="O104" s="4"/>
      <c r="P104" s="4"/>
      <c r="Q104" s="4"/>
      <c r="R104" s="4"/>
      <c r="S104" s="4"/>
      <c r="T104" s="4"/>
      <c r="U104" s="4"/>
      <c r="V104" s="4"/>
      <c r="W104" s="4"/>
      <c r="X104" s="4"/>
      <c r="Y104" s="4"/>
      <c r="Z104" s="4"/>
      <c r="AA104" s="4"/>
      <c r="AB104" s="6"/>
      <c r="AC104" s="4"/>
      <c r="AD104" s="4"/>
    </row>
    <row r="105" spans="1:30">
      <c r="A105" s="4" t="str">
        <f t="shared" si="3"/>
        <v/>
      </c>
      <c r="B105" s="4"/>
      <c r="C105" s="4"/>
      <c r="D105" s="4"/>
      <c r="E105" s="4"/>
      <c r="F105" s="4"/>
      <c r="G105" s="6"/>
      <c r="H105" s="4"/>
      <c r="I105" s="4"/>
      <c r="J105" s="4"/>
      <c r="K105" s="4" t="str">
        <f t="shared" ca="1" si="2"/>
        <v>Sin fecha</v>
      </c>
      <c r="L105" s="8"/>
      <c r="M105" s="8"/>
      <c r="N105" s="4"/>
      <c r="O105" s="4"/>
      <c r="P105" s="4"/>
      <c r="Q105" s="4"/>
      <c r="R105" s="4"/>
      <c r="S105" s="4"/>
      <c r="T105" s="4"/>
      <c r="U105" s="4"/>
      <c r="V105" s="4"/>
      <c r="W105" s="4"/>
      <c r="X105" s="4"/>
      <c r="Y105" s="4"/>
      <c r="Z105" s="4"/>
      <c r="AA105" s="4"/>
      <c r="AB105" s="6"/>
      <c r="AC105" s="4"/>
      <c r="AD105" s="4"/>
    </row>
    <row r="106" spans="1:30">
      <c r="A106" s="4" t="str">
        <f t="shared" si="3"/>
        <v/>
      </c>
      <c r="B106" s="4"/>
      <c r="C106" s="4"/>
      <c r="D106" s="4"/>
      <c r="E106" s="4"/>
      <c r="F106" s="4"/>
      <c r="G106" s="6"/>
      <c r="H106" s="4"/>
      <c r="I106" s="4"/>
      <c r="J106" s="4"/>
      <c r="K106" s="4" t="str">
        <f t="shared" ca="1" si="2"/>
        <v>Sin fecha</v>
      </c>
      <c r="L106" s="8"/>
      <c r="M106" s="8"/>
      <c r="N106" s="4"/>
      <c r="O106" s="4"/>
      <c r="P106" s="4"/>
      <c r="Q106" s="4"/>
      <c r="R106" s="4"/>
      <c r="S106" s="4"/>
      <c r="T106" s="4"/>
      <c r="U106" s="4"/>
      <c r="V106" s="4"/>
      <c r="W106" s="4"/>
      <c r="X106" s="4"/>
      <c r="Y106" s="4"/>
      <c r="Z106" s="4"/>
      <c r="AA106" s="4"/>
      <c r="AB106" s="6"/>
      <c r="AC106" s="4"/>
      <c r="AD106" s="4"/>
    </row>
    <row r="107" spans="1:30">
      <c r="A107" s="4" t="str">
        <f t="shared" si="3"/>
        <v/>
      </c>
      <c r="B107" s="4"/>
      <c r="C107" s="4"/>
      <c r="D107" s="4"/>
      <c r="E107" s="4"/>
      <c r="F107" s="4"/>
      <c r="G107" s="6"/>
      <c r="H107" s="4"/>
      <c r="I107" s="4"/>
      <c r="J107" s="4"/>
      <c r="K107" s="4" t="str">
        <f t="shared" ca="1" si="2"/>
        <v>Sin fecha</v>
      </c>
      <c r="L107" s="8"/>
      <c r="M107" s="8"/>
      <c r="N107" s="4"/>
      <c r="O107" s="4"/>
      <c r="P107" s="4"/>
      <c r="Q107" s="4"/>
      <c r="R107" s="4"/>
      <c r="S107" s="4"/>
      <c r="T107" s="4"/>
      <c r="U107" s="4"/>
      <c r="V107" s="4"/>
      <c r="W107" s="4"/>
      <c r="X107" s="4"/>
      <c r="Y107" s="4"/>
      <c r="Z107" s="4"/>
      <c r="AA107" s="4"/>
      <c r="AB107" s="6"/>
      <c r="AC107" s="4"/>
      <c r="AD107" s="4"/>
    </row>
    <row r="108" spans="1:30">
      <c r="A108" s="4" t="str">
        <f t="shared" si="3"/>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D276CFF5-768A-468D-9AF4-70BEFC205A95}">
      <formula1>ListaPaises</formula1>
    </dataValidation>
    <dataValidation type="date" allowBlank="1" showInputMessage="1" showErrorMessage="1" sqref="G2:G499" xr:uid="{158AF163-2C09-4CF8-8007-D423D0B61CD9}">
      <formula1>46023</formula1>
      <formula2>73050</formula2>
    </dataValidation>
  </dataValidations>
  <hyperlinks>
    <hyperlink ref="Z2" r:id="rId1" xr:uid="{C78E0FCC-4188-4C4C-A1DF-827BFA36AB30}"/>
    <hyperlink ref="Z4" r:id="rId2" xr:uid="{6FD6CFBB-8AC7-447A-A390-86187CC17FA2}"/>
    <hyperlink ref="Z5" r:id="rId3" xr:uid="{CCED399D-0458-4F2B-9991-E34FC4315EA8}"/>
    <hyperlink ref="Z6" r:id="rId4" xr:uid="{66BCF7E3-7DDA-4E14-A4E7-C94F51B98C39}"/>
    <hyperlink ref="AA6" r:id="rId5" xr:uid="{302256B1-F484-4C36-AB85-363645B5A0E2}"/>
    <hyperlink ref="Z7" r:id="rId6" xr:uid="{551CCCCA-EE15-403B-BEEB-BDC8118C57A6}"/>
    <hyperlink ref="AA7" r:id="rId7" xr:uid="{283F7616-924B-434E-8320-B5763E77C5FB}"/>
    <hyperlink ref="Z8" r:id="rId8" xr:uid="{1DE7F1CD-C482-4BB4-B774-573F94DD51B0}"/>
    <hyperlink ref="Z9" r:id="rId9" xr:uid="{B9952CED-6A32-4513-937E-8F1630DC67A4}"/>
    <hyperlink ref="Z10" r:id="rId10" xr:uid="{ABC772D5-C73C-4AD1-A3A3-837DA04A1B9D}"/>
    <hyperlink ref="AA10" r:id="rId11" xr:uid="{82BD6AD1-94ED-4390-8B28-ABBAC4EB827A}"/>
    <hyperlink ref="Z11" r:id="rId12" xr:uid="{F07E4B3D-4F96-4348-A2BA-D4AC28F4BAE0}"/>
    <hyperlink ref="AA11" r:id="rId13" xr:uid="{3F3C0E3C-DF9B-4072-9DAC-DD1C967D7B28}"/>
    <hyperlink ref="Z12" r:id="rId14" xr:uid="{F872502C-FE0A-420C-B938-DBB0CD6B238C}"/>
    <hyperlink ref="Z13" r:id="rId15" xr:uid="{01F0AA5B-D78A-4F19-A009-CF0523CCB418}"/>
    <hyperlink ref="Z14" r:id="rId16" xr:uid="{D05FF4DF-1116-45D3-9B6F-8D7B84418772}"/>
    <hyperlink ref="Z15" r:id="rId17" xr:uid="{6ACE1176-275C-4722-B826-470447F186B4}"/>
    <hyperlink ref="AA15" r:id="rId18" xr:uid="{7F7B90AF-833E-443A-A46D-DBC340742EF5}"/>
    <hyperlink ref="Z16" r:id="rId19" xr:uid="{389666AF-4919-4E77-BA8F-31DD485B4348}"/>
    <hyperlink ref="Z83" r:id="rId20" xr:uid="{F7DA2652-5FEF-4A07-809E-8831DFC33492}"/>
  </hyperlinks>
  <pageMargins left="0.7" right="0.7" top="0.75" bottom="0.75" header="0.3" footer="0.3"/>
  <pageSetup orientation="portrait" verticalDpi="0" r:id="rId21"/>
  <tableParts count="1">
    <tablePart r:id="rId22"/>
  </tableParts>
  <extLst>
    <ext xmlns:x14="http://schemas.microsoft.com/office/spreadsheetml/2009/9/main" uri="{CCE6A557-97BC-4b89-ADB6-D9C93CAAB3DF}">
      <x14:dataValidations xmlns:xm="http://schemas.microsoft.com/office/excel/2006/main" count="9">
        <x14:dataValidation type="list" xr:uid="{00000000-0002-0000-0000-000006000000}">
          <x14:formula1>
            <xm:f>Catálogos!$G$2:$G$9</xm:f>
          </x14:formula1>
          <xm:sqref>P11 P13 P22:P499</xm:sqref>
        </x14:dataValidation>
        <x14:dataValidation type="list" showInputMessage="1" showErrorMessage="1" xr:uid="{AC736489-29FB-4747-821A-CFB72E448B5B}">
          <x14:formula1>
            <xm:f>Catálogos!$G$2:$G$11</xm:f>
          </x14:formula1>
          <xm:sqref>P2:P10</xm:sqref>
        </x14:dataValidation>
        <x14:dataValidation type="list" xr:uid="{A35CBE74-7E2E-474C-A170-1B3127731756}">
          <x14:formula1>
            <xm:f>Catálogos!$G$2:$G$11</xm:f>
          </x14:formula1>
          <xm:sqref>P12 P14:P21</xm:sqref>
        </x14:dataValidation>
        <x14:dataValidation type="list" xr:uid="{00000000-0002-0000-0000-000000000000}">
          <x14:formula1>
            <xm:f>Catálogos!$A$2:$A$3</xm:f>
          </x14:formula1>
          <xm:sqref>B2:B499</xm:sqref>
        </x14:dataValidation>
        <x14:dataValidation type="list" xr:uid="{00000000-0002-0000-0000-000001000000}">
          <x14:formula1>
            <xm:f>Catálogos!$B$2:$B$10</xm:f>
          </x14:formula1>
          <xm:sqref>E2:E499</xm:sqref>
        </x14:dataValidation>
        <x14:dataValidation type="list" xr:uid="{00000000-0002-0000-0000-000002000000}">
          <x14:formula1>
            <xm:f>Catálogos!$C$2:$C$5</xm:f>
          </x14:formula1>
          <xm:sqref>H2:H499</xm:sqref>
        </x14:dataValidation>
        <x14:dataValidation type="list" xr:uid="{00000000-0002-0000-0000-000003000000}">
          <x14:formula1>
            <xm:f>Catálogos!$D$2:$D$10</xm:f>
          </x14:formula1>
          <xm:sqref>I2:I499</xm:sqref>
        </x14:dataValidation>
        <x14:dataValidation type="list" xr:uid="{00000000-0002-0000-0000-000004000000}">
          <x14:formula1>
            <xm:f>Catálogos!$E$2:$E$5</xm:f>
          </x14:formula1>
          <xm:sqref>J2:J499</xm:sqref>
        </x14:dataValidation>
        <x14:dataValidation type="list" xr:uid="{00000000-0002-0000-0000-000005000000}">
          <x14:formula1>
            <xm:f>Catálogos!$F$2:$F$7</xm:f>
          </x14:formula1>
          <xm:sqref>N2:N499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election activeCell="J11" sqref="J11"/>
    </sheetView>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bestFit="1" customWidth="1"/>
    <col min="8" max="8" width="18.625" customWidth="1"/>
    <col min="9" max="9" width="18.625" bestFit="1" customWidth="1"/>
    <col min="10" max="10" width="25" customWidth="1"/>
  </cols>
  <sheetData>
    <row r="1" spans="1:10" ht="30">
      <c r="A1" s="1" t="s">
        <v>1</v>
      </c>
      <c r="B1" s="1" t="s">
        <v>4</v>
      </c>
      <c r="C1" s="1" t="s">
        <v>7</v>
      </c>
      <c r="D1" s="1" t="s">
        <v>8</v>
      </c>
      <c r="E1" s="1" t="s">
        <v>9</v>
      </c>
      <c r="F1" s="1" t="s">
        <v>13</v>
      </c>
      <c r="G1" s="1" t="s">
        <v>15</v>
      </c>
      <c r="H1" s="1" t="s">
        <v>16</v>
      </c>
      <c r="I1" s="1" t="s">
        <v>17</v>
      </c>
      <c r="J1" s="1" t="s">
        <v>133</v>
      </c>
    </row>
    <row r="2" spans="1:10">
      <c r="A2" t="s">
        <v>42</v>
      </c>
      <c r="B2" t="s">
        <v>43</v>
      </c>
      <c r="C2" t="s">
        <v>33</v>
      </c>
      <c r="D2" t="s">
        <v>44</v>
      </c>
      <c r="E2" t="s">
        <v>35</v>
      </c>
      <c r="F2" t="s">
        <v>36</v>
      </c>
      <c r="G2" t="s">
        <v>37</v>
      </c>
      <c r="H2" t="s">
        <v>45</v>
      </c>
      <c r="I2" t="s">
        <v>46</v>
      </c>
      <c r="J2" t="s">
        <v>32</v>
      </c>
    </row>
    <row r="3" spans="1:10">
      <c r="A3" t="s">
        <v>30</v>
      </c>
      <c r="B3" t="s">
        <v>47</v>
      </c>
      <c r="C3" t="s">
        <v>48</v>
      </c>
      <c r="D3" t="s">
        <v>49</v>
      </c>
      <c r="E3" t="s">
        <v>50</v>
      </c>
      <c r="F3" t="s">
        <v>51</v>
      </c>
      <c r="G3" t="s">
        <v>52</v>
      </c>
      <c r="H3" t="s">
        <v>53</v>
      </c>
      <c r="I3" t="s">
        <v>54</v>
      </c>
      <c r="J3" t="s">
        <v>134</v>
      </c>
    </row>
    <row r="4" spans="1:10">
      <c r="B4" t="s">
        <v>55</v>
      </c>
      <c r="C4" t="s">
        <v>56</v>
      </c>
      <c r="D4" t="s">
        <v>57</v>
      </c>
      <c r="E4" t="s">
        <v>58</v>
      </c>
      <c r="F4" t="s">
        <v>59</v>
      </c>
      <c r="G4" t="s">
        <v>60</v>
      </c>
      <c r="H4" t="s">
        <v>61</v>
      </c>
      <c r="I4" t="s">
        <v>62</v>
      </c>
      <c r="J4" t="s">
        <v>135</v>
      </c>
    </row>
    <row r="5" spans="1:10">
      <c r="B5" t="s">
        <v>31</v>
      </c>
      <c r="C5" t="s">
        <v>63</v>
      </c>
      <c r="D5" t="s">
        <v>34</v>
      </c>
      <c r="E5" t="s">
        <v>64</v>
      </c>
      <c r="F5" t="s">
        <v>65</v>
      </c>
      <c r="G5" t="s">
        <v>66</v>
      </c>
      <c r="H5" t="s">
        <v>67</v>
      </c>
      <c r="I5" t="s">
        <v>68</v>
      </c>
      <c r="J5" t="s">
        <v>184</v>
      </c>
    </row>
    <row r="6" spans="1:10">
      <c r="B6" t="s">
        <v>69</v>
      </c>
      <c r="D6" t="s">
        <v>70</v>
      </c>
      <c r="F6" t="s">
        <v>71</v>
      </c>
      <c r="G6" t="s">
        <v>72</v>
      </c>
      <c r="H6" t="s">
        <v>73</v>
      </c>
      <c r="I6" t="s">
        <v>74</v>
      </c>
      <c r="J6" t="s">
        <v>199</v>
      </c>
    </row>
    <row r="7" spans="1:10">
      <c r="B7" t="s">
        <v>46</v>
      </c>
      <c r="D7" t="s">
        <v>75</v>
      </c>
      <c r="F7" t="s">
        <v>76</v>
      </c>
      <c r="G7" t="s">
        <v>77</v>
      </c>
      <c r="H7" t="s">
        <v>78</v>
      </c>
      <c r="I7" t="s">
        <v>79</v>
      </c>
      <c r="J7" t="s">
        <v>254</v>
      </c>
    </row>
    <row r="8" spans="1:10">
      <c r="B8" t="s">
        <v>80</v>
      </c>
      <c r="D8" t="s">
        <v>81</v>
      </c>
      <c r="G8" t="s">
        <v>82</v>
      </c>
      <c r="H8" t="s">
        <v>83</v>
      </c>
      <c r="I8" t="s">
        <v>84</v>
      </c>
      <c r="J8" t="s">
        <v>725</v>
      </c>
    </row>
    <row r="9" spans="1:10">
      <c r="B9" t="s">
        <v>62</v>
      </c>
      <c r="D9" t="s">
        <v>22</v>
      </c>
      <c r="G9" t="s">
        <v>84</v>
      </c>
      <c r="J9" t="s">
        <v>944</v>
      </c>
    </row>
    <row r="10" spans="1:10" ht="28.5">
      <c r="B10" t="s">
        <v>84</v>
      </c>
      <c r="D10" t="s">
        <v>84</v>
      </c>
      <c r="G10" s="10" t="s">
        <v>126</v>
      </c>
      <c r="J10" t="s">
        <v>1007</v>
      </c>
    </row>
    <row r="11" spans="1:10">
      <c r="G11" t="s">
        <v>186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sqref="A1:F1"/>
    </sheetView>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85</v>
      </c>
      <c r="B1" s="15"/>
      <c r="C1" s="15"/>
      <c r="D1" s="15"/>
      <c r="E1" s="15"/>
      <c r="F1" s="15"/>
    </row>
    <row r="3" spans="1:6" ht="15">
      <c r="A3" s="9" t="s">
        <v>86</v>
      </c>
      <c r="B3" s="9" t="s">
        <v>87</v>
      </c>
      <c r="C3" s="9" t="s">
        <v>88</v>
      </c>
      <c r="D3" s="9" t="s">
        <v>89</v>
      </c>
      <c r="E3" s="9" t="s">
        <v>90</v>
      </c>
      <c r="F3" s="9" t="s">
        <v>91</v>
      </c>
    </row>
    <row r="4" spans="1:6" ht="28.5">
      <c r="A4" s="4">
        <v>1</v>
      </c>
      <c r="B4" s="4" t="s">
        <v>92</v>
      </c>
      <c r="C4" s="4" t="s">
        <v>93</v>
      </c>
      <c r="D4" s="4" t="s">
        <v>94</v>
      </c>
      <c r="E4" s="4" t="s">
        <v>95</v>
      </c>
      <c r="F4" s="4" t="s">
        <v>42</v>
      </c>
    </row>
    <row r="5" spans="1:6" ht="28.5">
      <c r="A5" s="4">
        <v>2</v>
      </c>
      <c r="B5" s="4" t="s">
        <v>96</v>
      </c>
      <c r="C5" s="4" t="s">
        <v>97</v>
      </c>
      <c r="D5" s="4" t="s">
        <v>6</v>
      </c>
      <c r="E5" s="4" t="s">
        <v>98</v>
      </c>
      <c r="F5" s="4" t="s">
        <v>99</v>
      </c>
    </row>
    <row r="6" spans="1:6">
      <c r="A6" s="4">
        <v>3</v>
      </c>
      <c r="B6" s="4" t="s">
        <v>100</v>
      </c>
      <c r="C6" s="4" t="s">
        <v>101</v>
      </c>
      <c r="D6" s="4" t="s">
        <v>102</v>
      </c>
      <c r="E6" s="4" t="s">
        <v>103</v>
      </c>
      <c r="F6" s="4" t="s">
        <v>104</v>
      </c>
    </row>
    <row r="7" spans="1:6" ht="28.5">
      <c r="A7" s="4">
        <v>4</v>
      </c>
      <c r="B7" s="4" t="s">
        <v>105</v>
      </c>
      <c r="C7" s="4" t="s">
        <v>106</v>
      </c>
      <c r="D7" s="4" t="s">
        <v>107</v>
      </c>
      <c r="E7" s="4" t="s">
        <v>37</v>
      </c>
      <c r="F7" s="4" t="s">
        <v>42</v>
      </c>
    </row>
    <row r="8" spans="1:6">
      <c r="A8" s="4">
        <v>5</v>
      </c>
      <c r="B8" s="4" t="s">
        <v>108</v>
      </c>
      <c r="C8" s="4" t="s">
        <v>109</v>
      </c>
      <c r="D8" s="4" t="s">
        <v>25</v>
      </c>
      <c r="E8" s="4" t="s">
        <v>110</v>
      </c>
      <c r="F8" s="4" t="s">
        <v>42</v>
      </c>
    </row>
    <row r="9" spans="1:6" ht="28.5">
      <c r="A9" s="4">
        <v>6</v>
      </c>
      <c r="B9" s="4" t="s">
        <v>111</v>
      </c>
      <c r="C9" s="4" t="s">
        <v>112</v>
      </c>
      <c r="D9" s="4" t="s">
        <v>27</v>
      </c>
      <c r="E9" s="4" t="s">
        <v>113</v>
      </c>
      <c r="F9" s="4" t="s">
        <v>42</v>
      </c>
    </row>
    <row r="10" spans="1:6">
      <c r="A10" s="4">
        <v>7</v>
      </c>
      <c r="B10" s="4" t="s">
        <v>114</v>
      </c>
      <c r="C10" s="4" t="s">
        <v>115</v>
      </c>
      <c r="D10" s="4" t="s">
        <v>1</v>
      </c>
      <c r="E10" s="4" t="s">
        <v>116</v>
      </c>
      <c r="F10" s="4" t="s">
        <v>42</v>
      </c>
    </row>
    <row r="11" spans="1:6" ht="28.5">
      <c r="A11" s="4">
        <v>8</v>
      </c>
      <c r="B11" s="4" t="s">
        <v>117</v>
      </c>
      <c r="C11" s="4" t="s">
        <v>118</v>
      </c>
      <c r="D11" s="4" t="s">
        <v>10</v>
      </c>
      <c r="E11" s="4" t="s">
        <v>119</v>
      </c>
      <c r="F11" s="4" t="s">
        <v>120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WILSON RAMIREZ ALMONTE</dc:creator>
  <cp:lastModifiedBy>WILSON RAMIREZ ALMONTE</cp:lastModifiedBy>
  <dcterms:created xsi:type="dcterms:W3CDTF">2026-07-15T13:38:12Z</dcterms:created>
  <dcterms:modified xsi:type="dcterms:W3CDTF">2026-07-24T17:22:18Z</dcterms:modified>
</cp:coreProperties>
</file>