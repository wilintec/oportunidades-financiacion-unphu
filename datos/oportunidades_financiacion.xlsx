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0417"/>
  <workbookPr/>
  <mc:AlternateContent xmlns:mc="http://schemas.openxmlformats.org/markup-compatibility/2006">
    <mc:Choice Requires="x15">
      <x15ac:absPath xmlns:x15ac="http://schemas.microsoft.com/office/spreadsheetml/2010/11/ac" url="C:\Users\wramirez\OneDrive\UNPHU\Fuentes Financiacion Externas 2026\"/>
    </mc:Choice>
  </mc:AlternateContent>
  <xr:revisionPtr revIDLastSave="15" documentId="13_ncr:1_{E27D3A06-FCD8-43D9-8829-1AF8D3BEB877}" xr6:coauthVersionLast="36" xr6:coauthVersionMax="36" xr10:uidLastSave="{6B1163BF-8A75-41DE-BD5B-4A5FCDCAE9AD}"/>
  <bookViews>
    <workbookView xWindow="0" yWindow="0" windowWidth="28800" windowHeight="12105" xr2:uid="{00000000-000D-0000-FFFF-FFFF00000000}"/>
  </bookViews>
  <sheets>
    <sheet name="Oportunidades" sheetId="1" r:id="rId1"/>
    <sheet name="Catálogos" sheetId="2" r:id="rId2"/>
    <sheet name="Guía de uso" sheetId="3" r:id="rId3"/>
  </sheets>
  <definedNames>
    <definedName name="ListaPaises">Catálogos!$J$2:INDEX(Catálogos!$J:$J,COUNTA(Catálogos!$J:$J))</definedName>
  </definedNames>
  <calcPr calcId="191029"/>
</workbook>
</file>

<file path=xl/calcChain.xml><?xml version="1.0" encoding="utf-8"?>
<calcChain xmlns="http://schemas.openxmlformats.org/spreadsheetml/2006/main">
  <c r="K19" i="1" l="1"/>
  <c r="K20" i="1"/>
  <c r="K21" i="1"/>
  <c r="K22" i="1"/>
  <c r="K23" i="1"/>
  <c r="K24" i="1"/>
  <c r="K25" i="1"/>
  <c r="K26" i="1"/>
  <c r="K27" i="1"/>
  <c r="K28" i="1"/>
  <c r="K29" i="1"/>
  <c r="K30" i="1"/>
  <c r="K31" i="1"/>
  <c r="K32" i="1"/>
  <c r="K33" i="1"/>
  <c r="K34" i="1"/>
  <c r="K35" i="1"/>
  <c r="K36" i="1"/>
  <c r="K37" i="1"/>
  <c r="K38" i="1"/>
  <c r="K39" i="1"/>
  <c r="K40" i="1"/>
  <c r="K41" i="1"/>
  <c r="K42" i="1"/>
  <c r="K43" i="1"/>
  <c r="K44" i="1"/>
  <c r="K45" i="1"/>
  <c r="K46" i="1"/>
  <c r="K47" i="1"/>
  <c r="K48" i="1"/>
  <c r="K49" i="1"/>
  <c r="K50" i="1"/>
  <c r="K51" i="1"/>
  <c r="K52" i="1"/>
  <c r="K53" i="1"/>
  <c r="K54" i="1"/>
  <c r="K55" i="1"/>
  <c r="K56" i="1"/>
  <c r="K57" i="1"/>
  <c r="K58" i="1"/>
  <c r="K59" i="1"/>
  <c r="K60" i="1"/>
  <c r="K61" i="1"/>
  <c r="K62" i="1"/>
  <c r="K63" i="1"/>
  <c r="K64" i="1"/>
  <c r="K65" i="1"/>
  <c r="K66" i="1"/>
  <c r="K67" i="1"/>
  <c r="K68" i="1"/>
  <c r="K69" i="1"/>
  <c r="K70" i="1"/>
  <c r="K71" i="1"/>
  <c r="K72" i="1"/>
  <c r="K73" i="1"/>
  <c r="K74" i="1"/>
  <c r="K75" i="1"/>
  <c r="K76" i="1"/>
  <c r="K77" i="1"/>
  <c r="K78" i="1"/>
  <c r="K79" i="1"/>
  <c r="K80" i="1"/>
  <c r="K81" i="1"/>
  <c r="K82" i="1"/>
  <c r="K83" i="1"/>
  <c r="K84" i="1"/>
  <c r="K85" i="1"/>
  <c r="K86" i="1"/>
  <c r="K87" i="1"/>
  <c r="K88" i="1"/>
  <c r="K89" i="1"/>
  <c r="K90" i="1"/>
  <c r="K91" i="1"/>
  <c r="K92" i="1"/>
  <c r="K93" i="1"/>
  <c r="K94" i="1"/>
  <c r="K95" i="1"/>
  <c r="K96" i="1"/>
  <c r="K97" i="1"/>
  <c r="K98" i="1"/>
  <c r="K99" i="1"/>
  <c r="K100" i="1"/>
  <c r="K101" i="1"/>
  <c r="K102" i="1"/>
  <c r="K103" i="1"/>
  <c r="K104" i="1"/>
  <c r="K105" i="1"/>
  <c r="K106" i="1"/>
  <c r="K107" i="1"/>
  <c r="K108" i="1"/>
  <c r="K109" i="1"/>
  <c r="K110" i="1"/>
  <c r="K111" i="1"/>
  <c r="K112" i="1"/>
  <c r="K113" i="1"/>
  <c r="K114" i="1"/>
  <c r="K115" i="1"/>
  <c r="K116" i="1"/>
  <c r="K117" i="1"/>
  <c r="K118" i="1"/>
  <c r="K18" i="1"/>
  <c r="K499" i="1" l="1"/>
  <c r="A499" i="1"/>
  <c r="K498" i="1"/>
  <c r="A498" i="1"/>
  <c r="K497" i="1"/>
  <c r="A497" i="1"/>
  <c r="K496" i="1"/>
  <c r="A496" i="1"/>
  <c r="K495" i="1"/>
  <c r="A495" i="1"/>
  <c r="K494" i="1"/>
  <c r="A494" i="1"/>
  <c r="K493" i="1"/>
  <c r="A493" i="1"/>
  <c r="K492" i="1"/>
  <c r="A492" i="1"/>
  <c r="K491" i="1"/>
  <c r="A491" i="1"/>
  <c r="K490" i="1"/>
  <c r="A490" i="1"/>
  <c r="K489" i="1"/>
  <c r="A489" i="1"/>
  <c r="K488" i="1"/>
  <c r="A488" i="1"/>
  <c r="K487" i="1"/>
  <c r="A487" i="1"/>
  <c r="K486" i="1"/>
  <c r="A486" i="1"/>
  <c r="K485" i="1"/>
  <c r="A485" i="1"/>
  <c r="K484" i="1"/>
  <c r="A484" i="1"/>
  <c r="K483" i="1"/>
  <c r="A483" i="1"/>
  <c r="K482" i="1"/>
  <c r="A482" i="1"/>
  <c r="K481" i="1"/>
  <c r="A481" i="1"/>
  <c r="K480" i="1"/>
  <c r="A480" i="1"/>
  <c r="K479" i="1"/>
  <c r="A479" i="1"/>
  <c r="K478" i="1"/>
  <c r="A478" i="1"/>
  <c r="K477" i="1"/>
  <c r="A477" i="1"/>
  <c r="K476" i="1"/>
  <c r="A476" i="1"/>
  <c r="K475" i="1"/>
  <c r="A475" i="1"/>
  <c r="K474" i="1"/>
  <c r="A474" i="1"/>
  <c r="K473" i="1"/>
  <c r="A473" i="1"/>
  <c r="K472" i="1"/>
  <c r="A472" i="1"/>
  <c r="K471" i="1"/>
  <c r="A471" i="1"/>
  <c r="K470" i="1"/>
  <c r="A470" i="1"/>
  <c r="K469" i="1"/>
  <c r="A469" i="1"/>
  <c r="K468" i="1"/>
  <c r="A468" i="1"/>
  <c r="K467" i="1"/>
  <c r="A467" i="1"/>
  <c r="K466" i="1"/>
  <c r="A466" i="1"/>
  <c r="K465" i="1"/>
  <c r="A465" i="1"/>
  <c r="K464" i="1"/>
  <c r="A464" i="1"/>
  <c r="K463" i="1"/>
  <c r="A463" i="1"/>
  <c r="K462" i="1"/>
  <c r="A462" i="1"/>
  <c r="K461" i="1"/>
  <c r="A461" i="1"/>
  <c r="K460" i="1"/>
  <c r="A460" i="1"/>
  <c r="K459" i="1"/>
  <c r="A459" i="1"/>
  <c r="K458" i="1"/>
  <c r="A458" i="1"/>
  <c r="K457" i="1"/>
  <c r="A457" i="1"/>
  <c r="K456" i="1"/>
  <c r="A456" i="1"/>
  <c r="K455" i="1"/>
  <c r="A455" i="1"/>
  <c r="K454" i="1"/>
  <c r="A454" i="1"/>
  <c r="K453" i="1"/>
  <c r="A453" i="1"/>
  <c r="K452" i="1"/>
  <c r="A452" i="1"/>
  <c r="K451" i="1"/>
  <c r="A451" i="1"/>
  <c r="K450" i="1"/>
  <c r="A450" i="1"/>
  <c r="K449" i="1"/>
  <c r="A449" i="1"/>
  <c r="K448" i="1"/>
  <c r="A448" i="1"/>
  <c r="K447" i="1"/>
  <c r="A447" i="1"/>
  <c r="K446" i="1"/>
  <c r="A446" i="1"/>
  <c r="K445" i="1"/>
  <c r="A445" i="1"/>
  <c r="K444" i="1"/>
  <c r="A444" i="1"/>
  <c r="K443" i="1"/>
  <c r="A443" i="1"/>
  <c r="K442" i="1"/>
  <c r="A442" i="1"/>
  <c r="K441" i="1"/>
  <c r="A441" i="1"/>
  <c r="K440" i="1"/>
  <c r="A440" i="1"/>
  <c r="K439" i="1"/>
  <c r="A439" i="1"/>
  <c r="K438" i="1"/>
  <c r="A438" i="1"/>
  <c r="K437" i="1"/>
  <c r="A437" i="1"/>
  <c r="K436" i="1"/>
  <c r="A436" i="1"/>
  <c r="K435" i="1"/>
  <c r="A435" i="1"/>
  <c r="K434" i="1"/>
  <c r="A434" i="1"/>
  <c r="K433" i="1"/>
  <c r="A433" i="1"/>
  <c r="K432" i="1"/>
  <c r="A432" i="1"/>
  <c r="K431" i="1"/>
  <c r="A431" i="1"/>
  <c r="K430" i="1"/>
  <c r="A430" i="1"/>
  <c r="K429" i="1"/>
  <c r="A429" i="1"/>
  <c r="K428" i="1"/>
  <c r="A428" i="1"/>
  <c r="K427" i="1"/>
  <c r="A427" i="1"/>
  <c r="K426" i="1"/>
  <c r="A426" i="1"/>
  <c r="K425" i="1"/>
  <c r="A425" i="1"/>
  <c r="K424" i="1"/>
  <c r="A424" i="1"/>
  <c r="K423" i="1"/>
  <c r="A423" i="1"/>
  <c r="K422" i="1"/>
  <c r="A422" i="1"/>
  <c r="K421" i="1"/>
  <c r="A421" i="1"/>
  <c r="K420" i="1"/>
  <c r="A420" i="1"/>
  <c r="K419" i="1"/>
  <c r="A419" i="1"/>
  <c r="K418" i="1"/>
  <c r="A418" i="1"/>
  <c r="K417" i="1"/>
  <c r="A417" i="1"/>
  <c r="K416" i="1"/>
  <c r="A416" i="1"/>
  <c r="K415" i="1"/>
  <c r="A415" i="1"/>
  <c r="K414" i="1"/>
  <c r="A414" i="1"/>
  <c r="K413" i="1"/>
  <c r="A413" i="1"/>
  <c r="K412" i="1"/>
  <c r="A412" i="1"/>
  <c r="K411" i="1"/>
  <c r="A411" i="1"/>
  <c r="K410" i="1"/>
  <c r="A410" i="1"/>
  <c r="K409" i="1"/>
  <c r="A409" i="1"/>
  <c r="K408" i="1"/>
  <c r="A408" i="1"/>
  <c r="K407" i="1"/>
  <c r="A407" i="1"/>
  <c r="K406" i="1"/>
  <c r="A406" i="1"/>
  <c r="K405" i="1"/>
  <c r="A405" i="1"/>
  <c r="K404" i="1"/>
  <c r="A404" i="1"/>
  <c r="K403" i="1"/>
  <c r="A403" i="1"/>
  <c r="K402" i="1"/>
  <c r="A402" i="1"/>
  <c r="K401" i="1"/>
  <c r="A401" i="1"/>
  <c r="K400" i="1"/>
  <c r="A400" i="1"/>
  <c r="K399" i="1"/>
  <c r="A399" i="1"/>
  <c r="K398" i="1"/>
  <c r="A398" i="1"/>
  <c r="K397" i="1"/>
  <c r="A397" i="1"/>
  <c r="K396" i="1"/>
  <c r="A396" i="1"/>
  <c r="K395" i="1"/>
  <c r="A395" i="1"/>
  <c r="K394" i="1"/>
  <c r="A394" i="1"/>
  <c r="K393" i="1"/>
  <c r="A393" i="1"/>
  <c r="K392" i="1"/>
  <c r="A392" i="1"/>
  <c r="K391" i="1"/>
  <c r="A391" i="1"/>
  <c r="K390" i="1"/>
  <c r="A390" i="1"/>
  <c r="K389" i="1"/>
  <c r="A389" i="1"/>
  <c r="K388" i="1"/>
  <c r="A388" i="1"/>
  <c r="K387" i="1"/>
  <c r="A387" i="1"/>
  <c r="K386" i="1"/>
  <c r="A386" i="1"/>
  <c r="K385" i="1"/>
  <c r="A385" i="1"/>
  <c r="K384" i="1"/>
  <c r="A384" i="1"/>
  <c r="K383" i="1"/>
  <c r="A383" i="1"/>
  <c r="K382" i="1"/>
  <c r="A382" i="1"/>
  <c r="K381" i="1"/>
  <c r="A381" i="1"/>
  <c r="K380" i="1"/>
  <c r="A380" i="1"/>
  <c r="K379" i="1"/>
  <c r="A379" i="1"/>
  <c r="K378" i="1"/>
  <c r="A378" i="1"/>
  <c r="K377" i="1"/>
  <c r="A377" i="1"/>
  <c r="K376" i="1"/>
  <c r="A376" i="1"/>
  <c r="K375" i="1"/>
  <c r="A375" i="1"/>
  <c r="K374" i="1"/>
  <c r="A374" i="1"/>
  <c r="K373" i="1"/>
  <c r="A373" i="1"/>
  <c r="K372" i="1"/>
  <c r="A372" i="1"/>
  <c r="K371" i="1"/>
  <c r="A371" i="1"/>
  <c r="K370" i="1"/>
  <c r="A370" i="1"/>
  <c r="K369" i="1"/>
  <c r="A369" i="1"/>
  <c r="K368" i="1"/>
  <c r="A368" i="1"/>
  <c r="K367" i="1"/>
  <c r="A367" i="1"/>
  <c r="K366" i="1"/>
  <c r="A366" i="1"/>
  <c r="K365" i="1"/>
  <c r="A365" i="1"/>
  <c r="K364" i="1"/>
  <c r="A364" i="1"/>
  <c r="K363" i="1"/>
  <c r="A363" i="1"/>
  <c r="K362" i="1"/>
  <c r="A362" i="1"/>
  <c r="K361" i="1"/>
  <c r="A361" i="1"/>
  <c r="K360" i="1"/>
  <c r="A360" i="1"/>
  <c r="K359" i="1"/>
  <c r="A359" i="1"/>
  <c r="K358" i="1"/>
  <c r="A358" i="1"/>
  <c r="K357" i="1"/>
  <c r="A357" i="1"/>
  <c r="K356" i="1"/>
  <c r="A356" i="1"/>
  <c r="K355" i="1"/>
  <c r="A355" i="1"/>
  <c r="K354" i="1"/>
  <c r="A354" i="1"/>
  <c r="K353" i="1"/>
  <c r="A353" i="1"/>
  <c r="K352" i="1"/>
  <c r="A352" i="1"/>
  <c r="K351" i="1"/>
  <c r="A351" i="1"/>
  <c r="K350" i="1"/>
  <c r="A350" i="1"/>
  <c r="K349" i="1"/>
  <c r="A349" i="1"/>
  <c r="K348" i="1"/>
  <c r="A348" i="1"/>
  <c r="K347" i="1"/>
  <c r="A347" i="1"/>
  <c r="K346" i="1"/>
  <c r="A346" i="1"/>
  <c r="K345" i="1"/>
  <c r="A345" i="1"/>
  <c r="K344" i="1"/>
  <c r="A344" i="1"/>
  <c r="K343" i="1"/>
  <c r="A343" i="1"/>
  <c r="K342" i="1"/>
  <c r="A342" i="1"/>
  <c r="K341" i="1"/>
  <c r="A341" i="1"/>
  <c r="K340" i="1"/>
  <c r="A340" i="1"/>
  <c r="K339" i="1"/>
  <c r="A339" i="1"/>
  <c r="K338" i="1"/>
  <c r="A338" i="1"/>
  <c r="K337" i="1"/>
  <c r="A337" i="1"/>
  <c r="K336" i="1"/>
  <c r="A336" i="1"/>
  <c r="K335" i="1"/>
  <c r="A335" i="1"/>
  <c r="K334" i="1"/>
  <c r="A334" i="1"/>
  <c r="K333" i="1"/>
  <c r="A333" i="1"/>
  <c r="K332" i="1"/>
  <c r="A332" i="1"/>
  <c r="K331" i="1"/>
  <c r="A331" i="1"/>
  <c r="K330" i="1"/>
  <c r="A330" i="1"/>
  <c r="K329" i="1"/>
  <c r="A329" i="1"/>
  <c r="K328" i="1"/>
  <c r="A328" i="1"/>
  <c r="K327" i="1"/>
  <c r="A327" i="1"/>
  <c r="K326" i="1"/>
  <c r="A326" i="1"/>
  <c r="K325" i="1"/>
  <c r="A325" i="1"/>
  <c r="K324" i="1"/>
  <c r="A324" i="1"/>
  <c r="K323" i="1"/>
  <c r="A323" i="1"/>
  <c r="K322" i="1"/>
  <c r="A322" i="1"/>
  <c r="K321" i="1"/>
  <c r="A321" i="1"/>
  <c r="K320" i="1"/>
  <c r="A320" i="1"/>
  <c r="K319" i="1"/>
  <c r="A319" i="1"/>
  <c r="K318" i="1"/>
  <c r="A318" i="1"/>
  <c r="K317" i="1"/>
  <c r="A317" i="1"/>
  <c r="K316" i="1"/>
  <c r="A316" i="1"/>
  <c r="K315" i="1"/>
  <c r="A315" i="1"/>
  <c r="K314" i="1"/>
  <c r="A314" i="1"/>
  <c r="K313" i="1"/>
  <c r="A313" i="1"/>
  <c r="K312" i="1"/>
  <c r="A312" i="1"/>
  <c r="K311" i="1"/>
  <c r="A311" i="1"/>
  <c r="K310" i="1"/>
  <c r="A310" i="1"/>
  <c r="K309" i="1"/>
  <c r="A309" i="1"/>
  <c r="K308" i="1"/>
  <c r="A308" i="1"/>
  <c r="K307" i="1"/>
  <c r="A307" i="1"/>
  <c r="K306" i="1"/>
  <c r="A306" i="1"/>
  <c r="K305" i="1"/>
  <c r="A305" i="1"/>
  <c r="K304" i="1"/>
  <c r="A304" i="1"/>
  <c r="K303" i="1"/>
  <c r="A303" i="1"/>
  <c r="K302" i="1"/>
  <c r="A302" i="1"/>
  <c r="K301" i="1"/>
  <c r="A301" i="1"/>
  <c r="K300" i="1"/>
  <c r="A300" i="1"/>
  <c r="K299" i="1"/>
  <c r="A299" i="1"/>
  <c r="K298" i="1"/>
  <c r="A298" i="1"/>
  <c r="K297" i="1"/>
  <c r="A297" i="1"/>
  <c r="K296" i="1"/>
  <c r="A296" i="1"/>
  <c r="K295" i="1"/>
  <c r="A295" i="1"/>
  <c r="K294" i="1"/>
  <c r="A294" i="1"/>
  <c r="K293" i="1"/>
  <c r="A293" i="1"/>
  <c r="K292" i="1"/>
  <c r="A292" i="1"/>
  <c r="K291" i="1"/>
  <c r="A291" i="1"/>
  <c r="K290" i="1"/>
  <c r="A290" i="1"/>
  <c r="K289" i="1"/>
  <c r="A289" i="1"/>
  <c r="K288" i="1"/>
  <c r="A288" i="1"/>
  <c r="K287" i="1"/>
  <c r="A287" i="1"/>
  <c r="K286" i="1"/>
  <c r="A286" i="1"/>
  <c r="K285" i="1"/>
  <c r="A285" i="1"/>
  <c r="K284" i="1"/>
  <c r="A284" i="1"/>
  <c r="K283" i="1"/>
  <c r="A283" i="1"/>
  <c r="K282" i="1"/>
  <c r="A282" i="1"/>
  <c r="K281" i="1"/>
  <c r="A281" i="1"/>
  <c r="K280" i="1"/>
  <c r="A280" i="1"/>
  <c r="K279" i="1"/>
  <c r="A279" i="1"/>
  <c r="K278" i="1"/>
  <c r="A278" i="1"/>
  <c r="K277" i="1"/>
  <c r="A277" i="1"/>
  <c r="K276" i="1"/>
  <c r="A276" i="1"/>
  <c r="K275" i="1"/>
  <c r="A275" i="1"/>
  <c r="K274" i="1"/>
  <c r="A274" i="1"/>
  <c r="K273" i="1"/>
  <c r="A273" i="1"/>
  <c r="K272" i="1"/>
  <c r="A272" i="1"/>
  <c r="K271" i="1"/>
  <c r="A271" i="1"/>
  <c r="K270" i="1"/>
  <c r="A270" i="1"/>
  <c r="K269" i="1"/>
  <c r="A269" i="1"/>
  <c r="K268" i="1"/>
  <c r="A268" i="1"/>
  <c r="K267" i="1"/>
  <c r="A267" i="1"/>
  <c r="K266" i="1"/>
  <c r="A266" i="1"/>
  <c r="K265" i="1"/>
  <c r="A265" i="1"/>
  <c r="K264" i="1"/>
  <c r="A264" i="1"/>
  <c r="K263" i="1"/>
  <c r="A263" i="1"/>
  <c r="K262" i="1"/>
  <c r="A262" i="1"/>
  <c r="K261" i="1"/>
  <c r="A261" i="1"/>
  <c r="K260" i="1"/>
  <c r="A260" i="1"/>
  <c r="K259" i="1"/>
  <c r="A259" i="1"/>
  <c r="K258" i="1"/>
  <c r="A258" i="1"/>
  <c r="K257" i="1"/>
  <c r="A257" i="1"/>
  <c r="K256" i="1"/>
  <c r="A256" i="1"/>
  <c r="K255" i="1"/>
  <c r="A255" i="1"/>
  <c r="K254" i="1"/>
  <c r="A254" i="1"/>
  <c r="K253" i="1"/>
  <c r="A253" i="1"/>
  <c r="K252" i="1"/>
  <c r="A252" i="1"/>
  <c r="K251" i="1"/>
  <c r="A251" i="1"/>
  <c r="K250" i="1"/>
  <c r="A250" i="1"/>
  <c r="K249" i="1"/>
  <c r="A249" i="1"/>
  <c r="K248" i="1"/>
  <c r="A248" i="1"/>
  <c r="K247" i="1"/>
  <c r="A247" i="1"/>
  <c r="K246" i="1"/>
  <c r="A246" i="1"/>
  <c r="K245" i="1"/>
  <c r="A245" i="1"/>
  <c r="K244" i="1"/>
  <c r="A244" i="1"/>
  <c r="K243" i="1"/>
  <c r="A243" i="1"/>
  <c r="K242" i="1"/>
  <c r="A242" i="1"/>
  <c r="K241" i="1"/>
  <c r="A241" i="1"/>
  <c r="K240" i="1"/>
  <c r="A240" i="1"/>
  <c r="K239" i="1"/>
  <c r="A239" i="1"/>
  <c r="K238" i="1"/>
  <c r="A238" i="1"/>
  <c r="K237" i="1"/>
  <c r="A237" i="1"/>
  <c r="K236" i="1"/>
  <c r="A236" i="1"/>
  <c r="K235" i="1"/>
  <c r="A235" i="1"/>
  <c r="K234" i="1"/>
  <c r="A234" i="1"/>
  <c r="K233" i="1"/>
  <c r="A233" i="1"/>
  <c r="K232" i="1"/>
  <c r="A232" i="1"/>
  <c r="K231" i="1"/>
  <c r="A231" i="1"/>
  <c r="K230" i="1"/>
  <c r="A230" i="1"/>
  <c r="K229" i="1"/>
  <c r="A229" i="1"/>
  <c r="K228" i="1"/>
  <c r="A228" i="1"/>
  <c r="K227" i="1"/>
  <c r="A227" i="1"/>
  <c r="K226" i="1"/>
  <c r="A226" i="1"/>
  <c r="K225" i="1"/>
  <c r="A225" i="1"/>
  <c r="K224" i="1"/>
  <c r="A224" i="1"/>
  <c r="K223" i="1"/>
  <c r="A223" i="1"/>
  <c r="K222" i="1"/>
  <c r="A222" i="1"/>
  <c r="K221" i="1"/>
  <c r="A221" i="1"/>
  <c r="K220" i="1"/>
  <c r="A220" i="1"/>
  <c r="K219" i="1"/>
  <c r="A219" i="1"/>
  <c r="K218" i="1"/>
  <c r="A218" i="1"/>
  <c r="K217" i="1"/>
  <c r="A217" i="1"/>
  <c r="K216" i="1"/>
  <c r="A216" i="1"/>
  <c r="K215" i="1"/>
  <c r="A215" i="1"/>
  <c r="K214" i="1"/>
  <c r="A214" i="1"/>
  <c r="K213" i="1"/>
  <c r="A213" i="1"/>
  <c r="K212" i="1"/>
  <c r="A212" i="1"/>
  <c r="K211" i="1"/>
  <c r="A211" i="1"/>
  <c r="K210" i="1"/>
  <c r="A210" i="1"/>
  <c r="K209" i="1"/>
  <c r="A209" i="1"/>
  <c r="K208" i="1"/>
  <c r="A208" i="1"/>
  <c r="K207" i="1"/>
  <c r="A207" i="1"/>
  <c r="K206" i="1"/>
  <c r="A206" i="1"/>
  <c r="K205" i="1"/>
  <c r="A205" i="1"/>
  <c r="K204" i="1"/>
  <c r="A204" i="1"/>
  <c r="K203" i="1"/>
  <c r="A203" i="1"/>
  <c r="K202" i="1"/>
  <c r="A202" i="1"/>
  <c r="K201" i="1"/>
  <c r="A201" i="1"/>
  <c r="K200" i="1"/>
  <c r="A200" i="1"/>
  <c r="K199" i="1"/>
  <c r="A199" i="1"/>
  <c r="K198" i="1"/>
  <c r="A198" i="1"/>
  <c r="K197" i="1"/>
  <c r="A197" i="1"/>
  <c r="K196" i="1"/>
  <c r="A196" i="1"/>
  <c r="K195" i="1"/>
  <c r="A195" i="1"/>
  <c r="K194" i="1"/>
  <c r="A194" i="1"/>
  <c r="K193" i="1"/>
  <c r="A193" i="1"/>
  <c r="K192" i="1"/>
  <c r="A192" i="1"/>
  <c r="K191" i="1"/>
  <c r="A191" i="1"/>
  <c r="K190" i="1"/>
  <c r="A190" i="1"/>
  <c r="K189" i="1"/>
  <c r="A189" i="1"/>
  <c r="K188" i="1"/>
  <c r="A188" i="1"/>
  <c r="K187" i="1"/>
  <c r="A187" i="1"/>
  <c r="K186" i="1"/>
  <c r="A186" i="1"/>
  <c r="K185" i="1"/>
  <c r="A185" i="1"/>
  <c r="K184" i="1"/>
  <c r="A184" i="1"/>
  <c r="K183" i="1"/>
  <c r="A183" i="1"/>
  <c r="K182" i="1"/>
  <c r="A182" i="1"/>
  <c r="K181" i="1"/>
  <c r="A181" i="1"/>
  <c r="K180" i="1"/>
  <c r="A180" i="1"/>
  <c r="K179" i="1"/>
  <c r="A179" i="1"/>
  <c r="K178" i="1"/>
  <c r="A178" i="1"/>
  <c r="K177" i="1"/>
  <c r="A177" i="1"/>
  <c r="K176" i="1"/>
  <c r="A176" i="1"/>
  <c r="K175" i="1"/>
  <c r="A175" i="1"/>
  <c r="K174" i="1"/>
  <c r="A174" i="1"/>
  <c r="K173" i="1"/>
  <c r="A173" i="1"/>
  <c r="K172" i="1"/>
  <c r="A172" i="1"/>
  <c r="K171" i="1"/>
  <c r="A171" i="1"/>
  <c r="K170" i="1"/>
  <c r="A170" i="1"/>
  <c r="K169" i="1"/>
  <c r="A169" i="1"/>
  <c r="K168" i="1"/>
  <c r="A168" i="1"/>
  <c r="K167" i="1"/>
  <c r="A167" i="1"/>
  <c r="K166" i="1"/>
  <c r="A166" i="1"/>
  <c r="K165" i="1"/>
  <c r="A165" i="1"/>
  <c r="K164" i="1"/>
  <c r="A164" i="1"/>
  <c r="K163" i="1"/>
  <c r="A163" i="1"/>
  <c r="K162" i="1"/>
  <c r="A162" i="1"/>
  <c r="K161" i="1"/>
  <c r="A161" i="1"/>
  <c r="K160" i="1"/>
  <c r="A160" i="1"/>
  <c r="K159" i="1"/>
  <c r="A159" i="1"/>
  <c r="K158" i="1"/>
  <c r="A158" i="1"/>
  <c r="K157" i="1"/>
  <c r="A157" i="1"/>
  <c r="K156" i="1"/>
  <c r="A156" i="1"/>
  <c r="K155" i="1"/>
  <c r="A155" i="1"/>
  <c r="K154" i="1"/>
  <c r="A154" i="1"/>
  <c r="K153" i="1"/>
  <c r="A153" i="1"/>
  <c r="K152" i="1"/>
  <c r="A152" i="1"/>
  <c r="K151" i="1"/>
  <c r="A151" i="1"/>
  <c r="K150" i="1"/>
  <c r="A150" i="1"/>
  <c r="K149" i="1"/>
  <c r="A149" i="1"/>
  <c r="K148" i="1"/>
  <c r="A148" i="1"/>
  <c r="K147" i="1"/>
  <c r="A147" i="1"/>
  <c r="K146" i="1"/>
  <c r="A146" i="1"/>
  <c r="K145" i="1"/>
  <c r="A145" i="1"/>
  <c r="K144" i="1"/>
  <c r="A144" i="1"/>
  <c r="K143" i="1"/>
  <c r="A143" i="1"/>
  <c r="K142" i="1"/>
  <c r="A142" i="1"/>
  <c r="K141" i="1"/>
  <c r="A141" i="1"/>
  <c r="K140" i="1"/>
  <c r="A140" i="1"/>
  <c r="K139" i="1"/>
  <c r="A139" i="1"/>
  <c r="K138" i="1"/>
  <c r="A138" i="1"/>
  <c r="K137" i="1"/>
  <c r="A137" i="1"/>
  <c r="K136" i="1"/>
  <c r="A136" i="1"/>
  <c r="K135" i="1"/>
  <c r="A135" i="1"/>
  <c r="K134" i="1"/>
  <c r="A134" i="1"/>
  <c r="K133" i="1"/>
  <c r="A133" i="1"/>
  <c r="K132" i="1"/>
  <c r="A132" i="1"/>
  <c r="K131" i="1"/>
  <c r="A131" i="1"/>
  <c r="K130" i="1"/>
  <c r="A130" i="1"/>
  <c r="K129" i="1"/>
  <c r="A129" i="1"/>
  <c r="K128" i="1"/>
  <c r="A128" i="1"/>
  <c r="K127" i="1"/>
  <c r="A127" i="1"/>
  <c r="K126" i="1"/>
  <c r="A126" i="1"/>
  <c r="K125" i="1"/>
  <c r="A125" i="1"/>
  <c r="K124" i="1"/>
  <c r="A124" i="1"/>
  <c r="K123" i="1"/>
  <c r="A123" i="1"/>
  <c r="K122" i="1"/>
  <c r="A122" i="1"/>
  <c r="K121" i="1"/>
  <c r="A121" i="1"/>
  <c r="K120" i="1"/>
  <c r="A120" i="1"/>
  <c r="K119" i="1"/>
  <c r="A119" i="1"/>
  <c r="A118" i="1"/>
  <c r="A117" i="1"/>
  <c r="A116" i="1"/>
  <c r="A115" i="1"/>
  <c r="A114" i="1"/>
  <c r="A113" i="1"/>
  <c r="A112" i="1"/>
  <c r="A111" i="1"/>
  <c r="A110" i="1"/>
  <c r="A109" i="1"/>
  <c r="A108" i="1"/>
  <c r="A107" i="1"/>
  <c r="A106" i="1"/>
  <c r="A105" i="1"/>
  <c r="A104" i="1"/>
  <c r="A103" i="1"/>
  <c r="A102" i="1"/>
  <c r="A101" i="1"/>
  <c r="A100" i="1"/>
  <c r="A99" i="1"/>
  <c r="A98" i="1"/>
  <c r="A97" i="1"/>
  <c r="A96" i="1"/>
  <c r="A95" i="1"/>
  <c r="A94" i="1"/>
  <c r="A93" i="1"/>
  <c r="A92" i="1"/>
  <c r="A91" i="1"/>
  <c r="A90" i="1"/>
  <c r="A89" i="1"/>
  <c r="A88" i="1"/>
  <c r="A87" i="1"/>
  <c r="K17" i="1"/>
  <c r="K16" i="1"/>
  <c r="K15" i="1"/>
  <c r="K14" i="1"/>
  <c r="K13" i="1"/>
  <c r="K12" i="1"/>
  <c r="K11" i="1"/>
  <c r="K10" i="1"/>
  <c r="K9" i="1"/>
  <c r="K8" i="1"/>
  <c r="K7" i="1"/>
  <c r="K6" i="1"/>
  <c r="K5" i="1"/>
  <c r="K4" i="1"/>
  <c r="K3" i="1"/>
  <c r="K2" i="1"/>
  <c r="Z20" i="1"/>
  <c r="Z19" i="1"/>
  <c r="Z18" i="1"/>
  <c r="Z17" i="1"/>
</calcChain>
</file>

<file path=xl/sharedStrings.xml><?xml version="1.0" encoding="utf-8"?>
<sst xmlns="http://schemas.openxmlformats.org/spreadsheetml/2006/main" count="2180" uniqueCount="1233">
  <si>
    <t>ID</t>
  </si>
  <si>
    <t>Publicar</t>
  </si>
  <si>
    <t>Título de la oportunidad</t>
  </si>
  <si>
    <t>Financiador</t>
  </si>
  <si>
    <t>Tipo de financiador</t>
  </si>
  <si>
    <t>País del financiador</t>
  </si>
  <si>
    <t>Fecha límite</t>
  </si>
  <si>
    <t>Tipo de fecha</t>
  </si>
  <si>
    <t>Tipo de entrega</t>
  </si>
  <si>
    <t>Estado manual</t>
  </si>
  <si>
    <t>Estado calculado</t>
  </si>
  <si>
    <t>Monto mínimo</t>
  </si>
  <si>
    <t>Monto máximo</t>
  </si>
  <si>
    <t>Moneda</t>
  </si>
  <si>
    <t>Duración</t>
  </si>
  <si>
    <t>Tipo de financiamiento</t>
  </si>
  <si>
    <t>Perfil profesional</t>
  </si>
  <si>
    <t>Tipo de solicitante</t>
  </si>
  <si>
    <t>Ubicación elegible</t>
  </si>
  <si>
    <t>Ciudadanía elegible</t>
  </si>
  <si>
    <t>Área temática principal</t>
  </si>
  <si>
    <t>Palabras clave</t>
  </si>
  <si>
    <t>Resumen</t>
  </si>
  <si>
    <t>Elegibilidad</t>
  </si>
  <si>
    <t>Notas de la convocatoria</t>
  </si>
  <si>
    <t>Enlace oficial</t>
  </si>
  <si>
    <t>Enlace Pivot-RP</t>
  </si>
  <si>
    <t>Fecha de verificación</t>
  </si>
  <si>
    <t>Fuente / responsable</t>
  </si>
  <si>
    <t>Observaciones internas</t>
  </si>
  <si>
    <t>No</t>
  </si>
  <si>
    <t>Fundación privada</t>
  </si>
  <si>
    <t>Estados Unidos</t>
  </si>
  <si>
    <t>Confirmada</t>
  </si>
  <si>
    <t>Propuesta completa</t>
  </si>
  <si>
    <t>Abierta</t>
  </si>
  <si>
    <t>USD</t>
  </si>
  <si>
    <t>Proyecto de investigación</t>
  </si>
  <si>
    <t>Investigador emergente; Investigador establecido</t>
  </si>
  <si>
    <t>Institución académica; ONG</t>
  </si>
  <si>
    <t>Sin restricción</t>
  </si>
  <si>
    <t>IA; aprendizaje automático; innovación</t>
  </si>
  <si>
    <t>Sí</t>
  </si>
  <si>
    <t>Gobierno nacional</t>
  </si>
  <si>
    <t>Expresión de interés</t>
  </si>
  <si>
    <t>Estudiante de grado</t>
  </si>
  <si>
    <t>Institución académica</t>
  </si>
  <si>
    <t>Gobierno internacional</t>
  </si>
  <si>
    <t>Anticipada</t>
  </si>
  <si>
    <t>Carta de intención</t>
  </si>
  <si>
    <t>Cerrada</t>
  </si>
  <si>
    <t>EUR</t>
  </si>
  <si>
    <t>Beca</t>
  </si>
  <si>
    <t>Estudiante de posgrado</t>
  </si>
  <si>
    <t>Empresa</t>
  </si>
  <si>
    <t>Organización internacional</t>
  </si>
  <si>
    <t>Continua</t>
  </si>
  <si>
    <t>Prepropuesta</t>
  </si>
  <si>
    <t>Suspendida</t>
  </si>
  <si>
    <t>GBP</t>
  </si>
  <si>
    <t>Premio</t>
  </si>
  <si>
    <t>Investigador emergente</t>
  </si>
  <si>
    <t>ONG</t>
  </si>
  <si>
    <t>Sin fecha</t>
  </si>
  <si>
    <t>En revisión</t>
  </si>
  <si>
    <t>DOP</t>
  </si>
  <si>
    <t>Fellowship / posdoctorado</t>
  </si>
  <si>
    <t>Investigador establecido</t>
  </si>
  <si>
    <t>Gobierno</t>
  </si>
  <si>
    <t>Empresa privada</t>
  </si>
  <si>
    <t>Solicitud</t>
  </si>
  <si>
    <t>CAD</t>
  </si>
  <si>
    <t>Capacitación</t>
  </si>
  <si>
    <t>Profesor</t>
  </si>
  <si>
    <t>Persona individual</t>
  </si>
  <si>
    <t>Nominación</t>
  </si>
  <si>
    <t>Otra</t>
  </si>
  <si>
    <t>Publicación / difusión</t>
  </si>
  <si>
    <t>Postdoctorado</t>
  </si>
  <si>
    <t>Consorcio</t>
  </si>
  <si>
    <t>Asociación profesional</t>
  </si>
  <si>
    <t>Cuestionario</t>
  </si>
  <si>
    <t>Innovación</t>
  </si>
  <si>
    <t>No aplica</t>
  </si>
  <si>
    <t>Otro</t>
  </si>
  <si>
    <t>Plantilla maestra de oportunidades de financiamiento</t>
  </si>
  <si>
    <t>Paso</t>
  </si>
  <si>
    <t>Qué hacer</t>
  </si>
  <si>
    <t>Recomendación</t>
  </si>
  <si>
    <t>Campo clave</t>
  </si>
  <si>
    <t>Ejemplo</t>
  </si>
  <si>
    <t>Obligatorio</t>
  </si>
  <si>
    <t>Registrar una oportunidad por fila.</t>
  </si>
  <si>
    <t>No combinar varias convocatorias en una sola fila.</t>
  </si>
  <si>
    <t>Título</t>
  </si>
  <si>
    <t>Convocatoria de investigación en IA</t>
  </si>
  <si>
    <t>Guardar fechas como fechas reales de Excel.</t>
  </si>
  <si>
    <t>No escribir 'abril 2027' como texto.</t>
  </si>
  <si>
    <t>2027-04-15</t>
  </si>
  <si>
    <t>Cuando exista</t>
  </si>
  <si>
    <t>Separar monto y moneda.</t>
  </si>
  <si>
    <t>No escribir '$50,000 USD' en una sola celda.</t>
  </si>
  <si>
    <t>Monto máximo / Moneda</t>
  </si>
  <si>
    <t>50000 / USD</t>
  </si>
  <si>
    <t>Recomendado</t>
  </si>
  <si>
    <t>Usar listas desplegables.</t>
  </si>
  <si>
    <t>Mantiene categorías uniformes para filtros web.</t>
  </si>
  <si>
    <t>Tipo, estado, moneda</t>
  </si>
  <si>
    <t>Copiar la URL oficial completa.</t>
  </si>
  <si>
    <t>Priorizar la fuente del financiador.</t>
  </si>
  <si>
    <t>https://...</t>
  </si>
  <si>
    <t>Registrar la última verificación.</t>
  </si>
  <si>
    <t>Permite detectar información desactualizada.</t>
  </si>
  <si>
    <t>2026-07-15</t>
  </si>
  <si>
    <t>Usar 'Publicar = No' para borradores.</t>
  </si>
  <si>
    <t>La futura web puede excluir esas filas.</t>
  </si>
  <si>
    <t>Sí / No</t>
  </si>
  <si>
    <t>No borrar las columnas calculadas.</t>
  </si>
  <si>
    <t>Estado calculado se actualiza según TODAY().</t>
  </si>
  <si>
    <t>Abierta / Vencida</t>
  </si>
  <si>
    <t>Automático</t>
  </si>
  <si>
    <t>Si</t>
  </si>
  <si>
    <t>Vision Grants</t>
  </si>
  <si>
    <t>Spencer Foundation</t>
  </si>
  <si>
    <t>12-18 meses</t>
  </si>
  <si>
    <t>Planificacion de investigación</t>
  </si>
  <si>
    <t>Planificacion de 
investigación</t>
  </si>
  <si>
    <t>Multidisciplinar</t>
  </si>
  <si>
    <t>Financia la planificación de estudios o programas de investigación de gran escala orientados a transformar sistemas educativos mediante colaboración entre investigadores, docentes, comunidades y responsables de políticas.</t>
  </si>
  <si>
    <t>La propuesta debe ser administrada por una organización sin fines de lucro. UNPHU podría presentar institucionalmente.</t>
  </si>
  <si>
    <t>Formulario de intención: 12/08/2026. Propuesta completa: 16/09/2026.</t>
  </si>
  <si>
    <t>https://www.spencer.org/grant_types/vision-grants</t>
  </si>
  <si>
    <t>Amazon Web Services</t>
  </si>
  <si>
    <t>AWS Cloud Credit for Research</t>
  </si>
  <si>
    <t>Pais</t>
  </si>
  <si>
    <t>República Dominicana</t>
  </si>
  <si>
    <t>España</t>
  </si>
  <si>
    <t>sin limite</t>
  </si>
  <si>
    <t>12 meses</t>
  </si>
  <si>
    <t>Docentes, investigadores y estudiantes de posgrado o doctorado</t>
  </si>
  <si>
    <t>Investigador afiliado a institución 
acreditada</t>
  </si>
  <si>
    <t>IA; Cloud; AWS</t>
  </si>
  <si>
    <t>Proporciona infraestructura en la nube para pruebas de concepto, procesamiento de datos, modelos de IA y herramientas científicas.</t>
  </si>
  <si>
    <t>Docentes e investigadores de tiempo completo 
y estudiantes de posgrado de instituciones acreditadas.</t>
  </si>
  <si>
    <t>Evaluación continua. La revisión puede tardar entre 90 y 120 días. No entrega efectivo</t>
  </si>
  <si>
    <t>https://aws.amazon.com/es/government-education/research-and-technical-computing/cloud-credit-for-research/?</t>
  </si>
  <si>
    <t>OpenAI</t>
  </si>
  <si>
    <t>OpenAI Researcher Access Program</t>
  </si>
  <si>
    <t>Créditos de API</t>
  </si>
  <si>
    <t>Investigadores, especialmente en etapas iniciales o con recursos limitados</t>
  </si>
  <si>
    <t>Investigador individual o afiliado a institución  acreditada</t>
  </si>
  <si>
    <t xml:space="preserve">Paises selectos </t>
  </si>
  <si>
    <t>IA;OpenIA; LLM</t>
  </si>
  <si>
    <t>Apoya investigaciones sobre despliegue responsable, riesgos, representación e impacto social de sistemas de inteligencia artificial.</t>
  </si>
  <si>
    <t>El investigador debe estar ubicado en un país admitido y explicar la pregunta de investigación y el uso de los modelos.</t>
  </si>
  <si>
    <t>Las solicitudes se revisan en marzo, junio, septiembre y diciembre.</t>
  </si>
  <si>
    <t>https://openai.com/form/researcher-access-program/</t>
  </si>
  <si>
    <t>Puede financiar entrenamiento, despliegue, almacenamiento y experimentación del sistema adaptativo.</t>
  </si>
  <si>
    <t>Excelente para diseñar y validar un sistema de gamificación adaptativa para enseñanza de programación.</t>
  </si>
  <si>
    <t>FONDOCYT</t>
  </si>
  <si>
    <t>MESCyT</t>
  </si>
  <si>
    <t>Investigador principal y coinvestigadores inscritos y activos en la carrera nacional de investigadores</t>
  </si>
  <si>
    <t>Institucion de Educacion Superior dominicana o centro de investigación reconocido</t>
  </si>
  <si>
    <t xml:space="preserve"> Ciencias básicas;Medio ambiente; recursos naturales; cambio climático; economía azul; Salud; biomedicina; epidemiología; insumos biomédicos y ciencias
farmacéuticas; 5. Ingeniería, energía; materiales avanzados; mecatrónica; economía circular
de residuos; Tecnologías de la información, software e inteligencia artificial; Ciencias sociales, humanísticas; educaciónsuperior; cultura;
ciencia abierta y ciencia ciudadana; Políticas públicas; modernización del Estado; ciudades,territorio;
logística; servicios públicos y seguridad nacional</t>
  </si>
  <si>
    <t>Financia investigación básica, aplicada, I+D+i y transferencia tecnológica. Reconoce la IA y la ciencia de datos como tecnologías estratégicas.</t>
  </si>
  <si>
    <t>UNPHU es elegible. El IP y los coinvestigadores deben pertenecer a la Carrera Nacional de Investigadores.</t>
  </si>
  <si>
    <t>https://mescyt.gob.do/wp-content/uploads/2026/03/Llamado-Convocatoria-FONDOCYT-2025-2026-2.pdf</t>
  </si>
  <si>
    <t>Preparar desde ahora la propuesta para el próximo ciclo.</t>
  </si>
  <si>
    <t>Google.org Generative AI Accelerator</t>
  </si>
  <si>
    <t>Google</t>
  </si>
  <si>
    <t>Empresa privada / filantropía corporativa</t>
  </si>
  <si>
    <t xml:space="preserve"> 6 meses</t>
  </si>
  <si>
    <t>Investigación, I+D+i; transferencia tecnológica</t>
  </si>
  <si>
    <t>Equipos de universidades, organizaciones sociales y empresas sociales</t>
  </si>
  <si>
    <t>Subvención, asistencia técnica y créditos Google Cloud</t>
  </si>
  <si>
    <t>Universidad, entidad cívica, ONG o empresa social</t>
  </si>
  <si>
    <t>Sin restriccion</t>
  </si>
  <si>
    <t>GenAI; aprendizaje; habilidades; programación; Google Cloud; impacto social</t>
  </si>
  <si>
    <t>Programa global para desarrollar soluciones de IA generativa con impacto social en conocimiento, aprendizaje y habilidades.</t>
  </si>
  <si>
    <t>UNPHU puede postular como institución académica. Se valoran alianzas con organizaciones de aplicación práctica.</t>
  </si>
  <si>
    <t>Para I+D+i y transferencia puede requerirse empresa asociada y aporte mínimo del 20 %</t>
  </si>
  <si>
    <t>Vigilar una nueva edición.</t>
  </si>
  <si>
    <t>https://impactchallenge.withgoogle.com/genaiaccelerator</t>
  </si>
  <si>
    <t>https://pivot.proquest.com/funding_opps/eab18edd-bc1f-4f00-b3ad-f2f1552f7976</t>
  </si>
  <si>
    <t>Presentar la solución como mejora medible del aprendizaje y de la empleabilidad digital.</t>
  </si>
  <si>
    <t>UNU-WIDER: IA y mercado laboral</t>
  </si>
  <si>
    <t>UNU-WIDER / Naciones Unidas</t>
  </si>
  <si>
    <t>Internacional</t>
  </si>
  <si>
    <t>24 meses</t>
  </si>
  <si>
    <t>Subvención de investigación</t>
  </si>
  <si>
    <t>Científicos sociales cuantitativos de carrera temprana</t>
  </si>
  <si>
    <t>Institución de investigación</t>
  </si>
  <si>
    <t>Internacional, con énfasis en países de ingresos bajos y medios</t>
  </si>
  <si>
    <t>IA; programación; empleabilidad; productividad; desigualdad; experimento de campo</t>
  </si>
  <si>
    <t>Financia estudios rigurosos sobre efectos de herramientas de IA en empresas, trabajadores, productividad, empleo e inequidad.</t>
  </si>
  <si>
    <t>Favorece investigadores de carrera temprana y del Sur Global.</t>
  </si>
  <si>
    <t>Requiere relacionar la formación adaptativa con productividad, empleo o resultados laborales.</t>
  </si>
  <si>
    <t>https://www.wider.unu.edu/opportunity/effects-artificial-intelligence-firm-and-labour-market-outcomes</t>
  </si>
  <si>
    <t>https://pivot.proquest.com/funding_opps/7c1ebfe4-9115-40a7-af84-f2f1552f7976</t>
  </si>
  <si>
    <t>Encaje indirecto, pero viable como experimento sobre formación y empleabilidad.</t>
  </si>
  <si>
    <t>ARIA Mathematics for Safe AI</t>
  </si>
  <si>
    <t>Advanced Research + Invention Agency</t>
  </si>
  <si>
    <t>Reino Unido</t>
  </si>
  <si>
    <t>Investigadores, equipos, estudiantes, empresas y entidades públicas</t>
  </si>
  <si>
    <t>Individuo, universidad, empresa 
u organización</t>
  </si>
  <si>
    <t>Prioridad a UK</t>
  </si>
  <si>
    <t xml:space="preserve">IA generativa para aprendizaje </t>
  </si>
  <si>
    <t>IA; habilidades y mercado laboral</t>
  </si>
  <si>
    <t>IA; Cambio Climatico; Ciberseguridad</t>
  </si>
  <si>
    <t>Financia ideas audaces basadas en matemáticas y métodos formales para asegurar que los sistemas de IA actúen como se espera.</t>
  </si>
  <si>
    <t>Se consideran solicitantes internacionales cuando el proyecto beneficia significativamente al Reino Unido.</t>
  </si>
  <si>
    <t>https://aria.org.uk/funding-opportunities</t>
  </si>
  <si>
    <t>https://pivot.proquest.com/funding_opps/83ca791d-b275-4b81-9778-f2f1552f7976</t>
  </si>
  <si>
    <t>Solo recomendable con socio británico.</t>
  </si>
  <si>
    <t>Tecnologia; Medio Ambiente; Matematicas</t>
  </si>
  <si>
    <t>Van abriendo convocatorias durante año</t>
  </si>
  <si>
    <t>Google PhD Fellowship</t>
  </si>
  <si>
    <t>2026-001</t>
  </si>
  <si>
    <t>2026-002</t>
  </si>
  <si>
    <t>2026-003</t>
  </si>
  <si>
    <t>2026-004</t>
  </si>
  <si>
    <t>2026-005</t>
  </si>
  <si>
    <t>2026-006</t>
  </si>
  <si>
    <t>2026-007</t>
  </si>
  <si>
    <t>2026-008</t>
  </si>
  <si>
    <t>Estudiantes de doctorado  de computaciones o ciencias similares</t>
  </si>
  <si>
    <t>Ciencias de la computacion y ciencias de la salud</t>
  </si>
  <si>
    <t>Computación; Salud; Algoritmos y Optimizacion; IA; Redes; Cloud</t>
  </si>
  <si>
    <t>Apoya estudiantes doctorales destacados en áreas de investigación informática, y ciencias de la salud.</t>
  </si>
  <si>
    <t>La universidad debe nominar al estudiante</t>
  </si>
  <si>
    <t>No financia directamente el proyecto institucional.</t>
  </si>
  <si>
    <t>https://research.google/programs-and-events/phd-fellowship/</t>
  </si>
  <si>
    <t>Abre cada año. estar atento</t>
  </si>
  <si>
    <t>2026-009</t>
  </si>
  <si>
    <t>Improving Capability Evaluations</t>
  </si>
  <si>
    <t>Open Philanthropy</t>
  </si>
  <si>
    <t>Investigadores de carrera
 temprana o consolidada</t>
  </si>
  <si>
    <t>Universidad, ONG, empresa o nueva organización</t>
  </si>
  <si>
    <t>Amplia elegibilidad internacional.</t>
  </si>
  <si>
    <t>Medio Ambiente; Ciencias de Salud; Computacion</t>
  </si>
  <si>
    <t>IA; Calidad del Aire; Salud y Bienestar</t>
  </si>
  <si>
    <t>No existe una única regla de elegibilidad para todos los fondos. Depende de cada convocatoria, pero el espectro de beneficiarios es amplio.</t>
  </si>
  <si>
    <t>No funciona como una agencia tradicional con un calendario anual uniforme: la mayoría de sus subvenciones se identifica mediante investigación propia y contacto directo con posibles beneficiarios</t>
  </si>
  <si>
    <t>https://coefficientgiving.org/funds/</t>
  </si>
  <si>
    <t>https://pivot.proquest.com/funding_opps/f6991b86-5e72-4139-9013-f2f1552f7976</t>
  </si>
  <si>
    <t>No existe un calendario, estar atento</t>
  </si>
  <si>
    <t>2026-010</t>
  </si>
  <si>
    <t>IBM</t>
  </si>
  <si>
    <t>El estudiante debe ser nominado por un docente. Existen límites institucionales de nominaciones.</t>
  </si>
  <si>
    <t>Doctorado; IA; programación; nube híbrida; computación responsable; educación</t>
  </si>
  <si>
    <t>IA y computación responsable</t>
  </si>
  <si>
    <t>Beca doctoral alineada con áreas estratégicas de IBM, incluyendo IA y computación responsable.</t>
  </si>
  <si>
    <t>https://research.ibm.com/labs/yorktown-heights/ibm-academic-awards-program</t>
  </si>
  <si>
    <t>https://pivot.proquest.com/funding_opps/95edca90-0c52-429e-8e63-d1d75de8f0f3</t>
  </si>
  <si>
    <t xml:space="preserve"> IBM Ph.D. Fellowship</t>
  </si>
  <si>
    <t>Horizon Europe — New European Bauhaus</t>
  </si>
  <si>
    <t>2026-011</t>
  </si>
  <si>
    <t>Comisión Europea</t>
  </si>
  <si>
    <t>Union Europea</t>
  </si>
  <si>
    <t>Arquitectos, urbanistas, diseñadores, investigadores sociales, científicos de datos, especialistas en participación y sostenibilidad</t>
  </si>
  <si>
    <t>Consorcio internacional de universidades, autoridades públicas, organizaciones sociales, empresas y centros de investigación</t>
  </si>
  <si>
    <t>Estados miembros, países asociados y terceros países admitidos conforme a Horizon Europe</t>
  </si>
  <si>
    <t>No se basa principalmente en ciudadanía; prevalecen la entidad participante, su país y las reglas de financiación</t>
  </si>
  <si>
    <t>Diseño espacial participativo de barrios y entornos urbanos</t>
  </si>
  <si>
    <t>urban design; barrios; espacio público; cocreación; inclusión; sostenibilidad; IA; gemelos digitales; participación digital</t>
  </si>
  <si>
    <t>Financia soluciones innovadoras para que residentes y actores locales participen en el diseño espacial de sus barrios, con énfasis en sostenibilidad, inclusión, calidad del entorno y belleza.</t>
  </si>
  <si>
    <t>UNPHU puede integrarse como socio académico de un consorcio internacional. Deben comprobarse en el portal las condiciones específicas de financiación para una entidad dominicana y la composición obligatoria del consorcio.</t>
  </si>
  <si>
    <t>https://ec.europa.eu/info/funding-tenders/opportunities/portal/screen/opportunities/calls-for-proposals?callIdentifier=HORIZON-NEB-2026-01</t>
  </si>
  <si>
    <t>Comisión Europea, Funding &amp; Tenders Portal y programa de trabajo New European Bauhaus</t>
  </si>
  <si>
    <t>Spencer Foundation – Vision Grants</t>
  </si>
  <si>
    <t>OpenAI – Researcher Access Program</t>
  </si>
  <si>
    <t>MESCyT – Convocatoria FONDOCYT 2025-2026</t>
  </si>
  <si>
    <t>Google.org Accelerator: Generative AI</t>
  </si>
  <si>
    <t>UNU-WIDER – Effects of AI on firm and labour market outcomes</t>
  </si>
  <si>
    <t>ARIA – Mathematics for Safe AI</t>
  </si>
  <si>
    <t>Google Research – PhD Fellowship Program</t>
  </si>
  <si>
    <t>Coefficient Giving – Improving Capability Evaluations</t>
  </si>
  <si>
    <t>IBM Research – Academic Awards Program</t>
  </si>
  <si>
    <t>2026-012</t>
  </si>
  <si>
    <t>Erasmus+ Capacity Building in Higher Education 2026 — Region 11 Caribbean</t>
  </si>
  <si>
    <t>Comisión Europea / European Education and Culture Executive Agency</t>
  </si>
  <si>
    <t>48 meses</t>
  </si>
  <si>
    <t>Docentes universitarios, investigadores educativos, especialistas en IA, programación, arquitectura digital, diseño curricular y aseguramiento de la calidad</t>
  </si>
  <si>
    <t>Instituciones de educación superior y otras entidades educativas, públicas, sociales o del mercado laboral</t>
  </si>
  <si>
    <t>República Dominicana está incluida en la Región 11 — Caribe</t>
  </si>
  <si>
    <t>Modernización universitaria, innovación curricular y transformación digital</t>
  </si>
  <si>
    <t>IA educativa; aprendizaje adaptativo; gamificación; programación; formación docente;  transformación curricular</t>
  </si>
  <si>
    <t>Apoya la modernización de la educación superior mediante nuevos programas, innovación pedagógica, capacidades digitales, formación docente, gobernanza universitaria y cooperación internacional.</t>
  </si>
  <si>
    <t>Es la oportunidad con mejor correspondencia directa con “Inteligencia Artificial y Gamificación Personalizada-Adaptativa para la Formación en Programación”. Para integrarla con arquitectura, podría proponerse programación aplicada al diseño paramétrico, BIM, análisis urbano, SIG y gemelos digitales.</t>
  </si>
  <si>
    <t>UNPHU puede participar como institución de educación superior caribeña dentro de un consorcio que cumpla la composición mínima aplicable al strand seleccionado.</t>
  </si>
  <si>
    <t>https://erasmus-plus.ec.europa.eu/funding-opportunities/capacity-building-in-higher-education-caribbean</t>
  </si>
  <si>
    <t>Comisión Europea, Erasmus+ Programme Guide 2026</t>
  </si>
  <si>
    <t>2026-013</t>
  </si>
  <si>
    <t>AIA Upjohn Research Initiative</t>
  </si>
  <si>
    <t>American Institute of Architects — AIA</t>
  </si>
  <si>
    <t>18 meses</t>
  </si>
  <si>
    <t>Investigadores en arquitectura, tecnología del diseño, sostenibilidad, materiales, salud, resiliencia e innovación profesional</t>
  </si>
  <si>
    <t>Instituciones académicas y equipos de investigación; se admiten postulaciones internacionales</t>
  </si>
  <si>
    <t>Sin restricción general de ciudadanía; presentación y evaluación en inglés</t>
  </si>
  <si>
    <t>Investigación aplicada a la arquitectura y a la práctica profesional</t>
  </si>
  <si>
    <t>arquitectura; IA; diseño computacional; automatización; BIM; cero carbono; resiliencia; comunidades equitativas; innovación profesional</t>
  </si>
  <si>
    <t>Financia hasta seis investigaciones anuales destinadas a generar conocimiento directamente útil para arquitectos y para la práctica del diseño. Sus prioridades incluyen cero carbono, resiliencia, salud, comunidades equitativas e innovación de la práctica.</t>
  </si>
  <si>
    <t>La documentación de referencia señala que las solicitudes internacionales son elegibles y que los fondos se desembolsan en dólares estadounidenses.</t>
  </si>
  <si>
    <t>Es una de las oportunidades más claras para investigar IA generativa en diseño, automatización de procesos, evaluación del desempeño de edificaciones, diseño basado en evidencia o herramientas de aprendizaje para arquitectura.</t>
  </si>
  <si>
    <t>https://www.aia.org/advocacy/research/grants-fellowships/upjohn-research-initiative?utm_source=chatgpt.com</t>
  </si>
  <si>
    <t>AIA y antecedente de Pivot-RP aportado en el documento</t>
  </si>
  <si>
    <t>Pendiente abrir en Octubre</t>
  </si>
  <si>
    <t>2026-014</t>
  </si>
  <si>
    <t>LAF Fellowship for Innovation and Leadership</t>
  </si>
  <si>
    <t>Landscape Architecture Foundation — LAF</t>
  </si>
  <si>
    <t>Arquitectos paisajistas y profesionales afines con trayectoria media o sénior</t>
  </si>
  <si>
    <t>Arquitectura del paisaje, innovación, liderazgo y transformación del entorno</t>
  </si>
  <si>
    <t>paisaje; urbanismo; resiliencia; infraestructura verde; IA geoespacial; análisis urbano; justicia ambiental; liderazgo</t>
  </si>
  <si>
    <t>Fellowship para que profesionales desarrollen y prueben ideas innovadoras que impulsen una sociedad más saludable, equitativa y sostenible mediante la arquitectura del paisaje.</t>
  </si>
  <si>
    <t>Se requiere grado en arquitectura del paisaje o, en países donde la disciplina no esté formalmente reconocida, formación relacionada y ejercicio profesional como arquitecto paisajista; mínimo seis años de experiencia, dominio avanzado de inglés y disponibilidad institucional.</t>
  </si>
  <si>
    <t>Puede sustentar proyectos sobre IA para planificación de infraestructura verde, análisis adaptativo del paisaje, resiliencia climática, confort térmico urbano o participación comunitaria gamificada.</t>
  </si>
  <si>
    <t>https://www.lafoundation.org/what-we-do/leadership/laf-fellowship?</t>
  </si>
  <si>
    <t>https://pivot.proquest.com/funding_opps/3dae87f6-c1a1-4ce2-9d84-d1d75de8f0f3</t>
  </si>
  <si>
    <t>LAF, ASLA y antecedente de Pivot-RP</t>
  </si>
  <si>
    <t>especialmente para un profesor con experiencia profesional demostrable en paisaje o planificación urbana. No es una subvención institucional convencional</t>
  </si>
  <si>
    <t>2026-015</t>
  </si>
  <si>
    <t>Graham Foundation — Grants to Individuals</t>
  </si>
  <si>
    <t>Graham Foundation for Advanced Studies in the Fine Arts</t>
  </si>
  <si>
    <t>Getty Conservation Guest Scholars Program 2027–2028</t>
  </si>
  <si>
    <t>Getty Conservation Institute</t>
  </si>
  <si>
    <t>3 meses</t>
  </si>
  <si>
    <t>Internacional; residencia presencial de tres meses en el Getty Conservation Institute, Los Ángeles</t>
  </si>
  <si>
    <t>Conservación del patrimonio cultural y del entorno construido</t>
  </si>
  <si>
    <t>conservación; patrimonio arquitectónico; preservación histórica; ciencia del patrimonio; documentación digital; HBIM; IA; visión computacional</t>
  </si>
  <si>
    <t>Programa de residencia para que profesionales e investigadores consolidados desarrollen un proyecto independiente que aporte nuevos conocimientos y perspectivas a la conservación del patrimonio cultural.</t>
  </si>
  <si>
    <t>Se admiten investigadores y profesionales de cualquier nacionalidad en conservación, preservación histórica, ciencias del patrimonio y campos relacionados. Se requieren al menos siete años de experiencia profesional y una trayectoria establecida de publicaciones u otras contribuciones. No admite investigación posdoctoral ni trabajos conducentes a un grado académico.</t>
  </si>
  <si>
    <t>La convocatoria 2026–2027 ya cerró. El ciclo para residencias 2027–2028 abrirá en agosto de 2026; la fecha límite aún no ha sido publicada. La ayuda incluye US$21,500, alojamiento, estación de trabajo, asistencia de investigación, estipendio de viaje y opción de cobertura médica.</t>
  </si>
  <si>
    <t>Getty Conservation Institute – Conservation Guest Scholars</t>
  </si>
  <si>
    <t>Oportunidad individual para investigadores sénior de UNPHU. Recomendable para proyectos de conservación arquitectónica, documentación patrimonial, HBIM o IA aplicada a la detección de daños. Vigilar la apertura en agosto de 2026.</t>
  </si>
  <si>
    <t>CCA–WRI Research Fellowship Program 2027 — Vacancy</t>
  </si>
  <si>
    <t>Canadian Centre for Architecture (CCA) / Window Research Institute (WRI)</t>
  </si>
  <si>
    <t>1-3 meses</t>
  </si>
  <si>
    <t>Investigador establecido; Profesor</t>
  </si>
  <si>
    <t>Internacional; residencia presencial en el CCA, Montreal, entre agosto y octubre</t>
  </si>
  <si>
    <t>Fellowship de investigación sobre la vacancia como condición social, cultural, política y espacial en contextos urbanos y rurales. Busca modelos teóricos y resultados capaces de informar la práctica del diseño.</t>
  </si>
  <si>
    <t>Abierta a profesionales con experiencia sustancial —arquitectos, paisajistas, urbanistas, responsables urbanos, artistas y productores culturales— y a investigadores con doctorado en áreas pertinentes. No se financia investigación con fines comerciales. El beneficiario debe residir en Montreal de uno a tres meses y participar en actividades públicas y académicas.</t>
  </si>
  <si>
    <t>La convocatoria 2026 está cerrada. La siguiente convocatoria se lanzará a comienzos de septiembre de 2026. Ofrece CAD$5,000 mensuales por un máximo de tres meses, más apoyo adicional para viaje y visado, oficina y acceso a las colecciones del CCA.</t>
  </si>
  <si>
    <t>Canadian Centre for Architecture / Window Research Institute</t>
  </si>
  <si>
    <t>Muy pertinente para investigar vacancia, reutilización adaptativa y regeneración urbana en Santo Domingo. Puede incorporar IA para detectar inmuebles vacíos, analizar imágenes urbanas o modelar escenarios de reocupación.</t>
  </si>
  <si>
    <t>Urban Studies Foundation International Fellowships 2026</t>
  </si>
  <si>
    <t>Urban Studies Foundation</t>
  </si>
  <si>
    <t>3-9 meses</t>
  </si>
  <si>
    <t>Investigadores afiliados a organizaciones de investigación ubicadas en países de la lista OECD-DAC; universidad anfitriona en cualquier país</t>
  </si>
  <si>
    <t>Nacionales de países incluidos en la lista OECD-DAC de receptores de AOD; República Dominicana es elegible</t>
  </si>
  <si>
    <t>Estudios urbanos</t>
  </si>
  <si>
    <t>urbanismo; ciudades del Sur Global; vivienda; movilidad; planificación; sostenibilidad; tecnología urbana; desigualdad espacial; gobernanza; IA urbana</t>
  </si>
  <si>
    <t>Financia una estancia sabática de escritura en una universidad anfitriona para transformar resultados de investigación urbana ya existentes en artículos, capítulos de libro o libros publicables, bajo la mentoría de un académico sénior.</t>
  </si>
  <si>
    <t>Dirigida a investigadores urbanos de carrera temprana o intermedia con doctorado obtenido dentro de los diez años anteriores al cierre, nacionalidad de un país OECD-DAC y afiliación formal a una organización de investigación ubicada en uno de esos países. La recopilación y el análisis primario de datos deben estar completados; no financia nueva recolección ni nuevos análisis primarios.</t>
  </si>
  <si>
    <t>Cerró el 6 de julio de 2026 a las 23:59 UTC+1. El presupuesto se determina según costes justificados de alojamiento, manutención, viaje de retorno y algunos gastos de investigación; no se publica un monto mínimo o máximo único. La estancia debe comenzar entre cuatro y catorce meses después del cierre.</t>
  </si>
  <si>
    <t>Urban Studies Foundation – International Fellowships</t>
  </si>
  <si>
    <t>UNPHU es elegible por ubicación en República Dominicana. Preparar para una futura edición con resultados urbanos ya analizados, publicaciones previstas, mentor internacional y universidad anfitriona.</t>
  </si>
  <si>
    <t>CYTED — Convocatoria 2026 de Redes Temáticas</t>
  </si>
  <si>
    <t>Programa Iberoamericano de Ciencia y Tecnología para el Desarrollo (CYTED)</t>
  </si>
  <si>
    <t>Hasta 48 meses</t>
  </si>
  <si>
    <t>Países signatarios del Programa CYTED, incluida República Dominicana</t>
  </si>
  <si>
    <t>No se basa en ciudadanía; el coordinador y los responsables deben pertenecer a entidades elegibles con sede en países signatarios</t>
  </si>
  <si>
    <t>Multidisciplinar: desarrollo sostenible, TIC, ciencia y sociedad, energía e innovación</t>
  </si>
  <si>
    <t>red temática; cooperación iberoamericana; I+D+i; ciudades resilientes; urbanismo sostenible; IA de código abierto; formación; transferencia; movilidad</t>
  </si>
  <si>
    <t>Financia redes de grupos de investigación y empresas de Iberoamérica que cooperan para resolver problemas comunes y generar nuevas actividades de I+D+i, transferencia, formación, movilidad, publicaciones y coordinación.</t>
  </si>
  <si>
    <t>El coordinador debe pertenecer a una universidad, centro público o privado de I+D o empresa con capacidad demostrada, con sede en un país signatario. La red debe incluir grupos de al menos seis países iberoamericanos diferentes; cada grupo debe estar formado por más de una persona y acreditar actividad en I+D+i.</t>
  </si>
  <si>
    <t>El plazo fue del 6 de abril al 15 de mayo de 2026 a las 17:00, hora de Madrid. El máximo solicitado para el primer año es €20,000; los presupuestos posteriores se solicitan anualmente. Cubre coordinación, movilidad, reuniones, publicaciones y formación; no es una subvención convencional para financiar todos los costes de investigación.</t>
  </si>
  <si>
    <t>Secretaría General del Programa CYTED – Convocatoria 2026 de Redes Temáticas</t>
  </si>
  <si>
    <t>Oportunidad estratégica para internacionalización. UNPHU podría integrar o coordinar una red sobre comunidades resilientes, urbanismo sostenible, restauración urbana, IA de código abierto o formación tecnológica. Preparar consorcio para la próxima edición.</t>
  </si>
  <si>
    <t xml:space="preserve"> edificios desocupados; suelo vacante; reutilización adaptativa; urbanismo; paisaje; vivienda; IA; visión computacional; teledetección</t>
  </si>
  <si>
    <t xml:space="preserve">Sin restricción </t>
  </si>
  <si>
    <t>Arquitectura, urbanismo, paisaje y terrenos desocupados</t>
  </si>
  <si>
    <t>Arquitectos, urbanistas, historiadores, diseñadores, investigadores, curadores, escritores y productores culturales</t>
  </si>
  <si>
    <t>Personas físicas</t>
  </si>
  <si>
    <t>Arquitectura y entorno diseñado</t>
  </si>
  <si>
    <t>arquitectura; ciudad; urbanismo; investigación crítica; publicación; exposición; medios digitales; IA; diseño experimental</t>
  </si>
  <si>
    <t>Apoya ideas originales que amplíen el discurso sobre arquitectura y el entorno diseñado, ya sea mediante investigación, publicaciones, exposiciones, películas, medios digitales u otros formatos públicos.</t>
  </si>
  <si>
    <t>Individuos con capacidad demostrada para ejecutar el proyecto. Las solicitudes deben conectar claramente con la misión de la Fundación y evidenciar originalidad, impacto y viabilidad.</t>
  </si>
  <si>
    <t>Puede financiar la fase conceptual o la divulgación de una investigación sobre IA y arquitectura, atlas urbanos interactivos, exposiciones digitales, plataformas educativas o documentación crítica de nuevas tecnologías de diseño.</t>
  </si>
  <si>
    <t>https://www.grahamfoundation.org/grant_programs/?mode=individual</t>
  </si>
  <si>
    <t>Graham Foundation, ciclo de subvenciones 2027</t>
  </si>
  <si>
    <t>El Inquiry Form está disponible desde el 15/07/2026. Conviene plantear un producto público concreto, no solamente una investigación académica convencional.</t>
  </si>
  <si>
    <t>2026-016</t>
  </si>
  <si>
    <t>2026-017</t>
  </si>
  <si>
    <t>2026-018</t>
  </si>
  <si>
    <t>2026-019</t>
  </si>
  <si>
    <t>CBE JU — Polímeros biobasados de fuentes alternativas</t>
  </si>
  <si>
    <t>Circular Bio-based Europe Joint Undertaking (CBE JU)</t>
  </si>
  <si>
    <t>No especificada</t>
  </si>
  <si>
    <t>Unión Europea, países asociados y terceros elegibles, incluida República Dominicana</t>
  </si>
  <si>
    <t>Ingeniería agronómica; biomateriales y polímeros biobasados</t>
  </si>
  <si>
    <t>biopolímeros; biomasa residual; fuentes alternativas; extracción; síntesis; biodegradación; circularidad</t>
  </si>
  <si>
    <t>Desarrolla procesos eficientes y escalables para producir polímeros biobasados a partir de fuentes alternativas a la biomasa agrícola o forestal primaria.</t>
  </si>
  <si>
    <t>UNPHU puede participar como beneficiaria adicional dentro de un consorcio que cumpla los requisitos mínimos de Horizon Europe.</t>
  </si>
  <si>
    <t>Research and Innovation Action. Contribución estimada de EUR 3.25 millones por proyecto y TRL final 5. La biomasa primaria agrícola y forestal está fuera del alcance.</t>
  </si>
  <si>
    <t>https://ec.europa.eu/info/funding-tenders/opportunities/portal/screen/opportunities/topic-details/HORIZON-JU-CBE-2026-RIA-02?callIdentifier=HORIZON-JU-CBE-2026</t>
  </si>
  <si>
    <t>CBE JU — HORIZON-JU-CBE-2026-RIA-02</t>
  </si>
  <si>
    <t>Prioridad media-alta para residuos, subproductos u otras fuentes no primarias. Verificar cuidadosamente la materia prima propuesta.</t>
  </si>
  <si>
    <t>FONTAGRO — Convocatoria 2026: sistemas agroalimentarios con menor huella ambiental</t>
  </si>
  <si>
    <t>FONTAGRO / BID / IICA</t>
  </si>
  <si>
    <t>Según proyecto</t>
  </si>
  <si>
    <t>Países miembros de FONTAGRO, incluida República Dominicana</t>
  </si>
  <si>
    <t>Ingeniería agronómica; sistemas agroalimentarios sostenibles</t>
  </si>
  <si>
    <t>bioeconomía; biomasa; residuos agrícolas; valorización; bioproductos; agroindustria; bajas emisiones</t>
  </si>
  <si>
    <t>Cofinancia proyectos regionales de I+D+i que mejoren productividad, rentabilidad y competitividad con una menor huella ambiental.</t>
  </si>
  <si>
    <t>Consorcio de hasta tres organizaciones coejecutoras de al menos dos países miembros; una debe ser una institución pública de investigación.</t>
  </si>
  <si>
    <t>Aporte máximo de USD 250,000. Las organizaciones deben aportar contrapartida conjunta equivalente al menos al doble de lo solicitado y participar con productores beneficiarios.</t>
  </si>
  <si>
    <t>https://fontagro.org/en/iniciativas/convocatorias/convocatoria-2026</t>
  </si>
  <si>
    <t>FONTAGRO — Secretaría Técnica Administrativa; fontagro@iica.int</t>
  </si>
  <si>
    <t>CBE JU — Separación y purificación en biorrefinerías</t>
  </si>
  <si>
    <t>Biorrefinerías y tecnologías de separación</t>
  </si>
  <si>
    <t>separación; purificación; solventes verdes; biomasa; bioproductos; eficiencia hídrica; intensificación de procesos</t>
  </si>
  <si>
    <t>Desarrolla plataformas escalables de separación y purificación para reducir costes, consumo de energía y agua y uso de solventes agresivos en biorrefinerías.</t>
  </si>
  <si>
    <t>UNPHU puede integrarse como beneficiaria adicional en un consorcio internacional elegible.</t>
  </si>
  <si>
    <t>Research and Innovation Action. Contribución estimada de EUR 3.25 millones por proyecto, TRL final 5 y validación en al menos tres casos de biorrefinería.</t>
  </si>
  <si>
    <t>https://ec.europa.eu/info/funding-tenders/opportunities/portal/screen/opportunities/topic-details/HORIZON-JU-CBE-2026-RIA-01?callIdentifier=HORIZON-JU-CBE-2026</t>
  </si>
  <si>
    <t>CBE JU — HORIZON-JU-CBE-2026-RIA-01</t>
  </si>
  <si>
    <t>Adecuada para grupos con capacidad en extracción, membranas, cromatografía o purificación de compuestos vegetales.</t>
  </si>
  <si>
    <t>CYTED 2026 — Inocuidad alimentaria y reducción del desperdicio alimentario</t>
  </si>
  <si>
    <t>Países signatarios de CYTED, incluida República Dominicana</t>
  </si>
  <si>
    <t>Agroalimentación</t>
  </si>
  <si>
    <t>desperdicio alimentario; residuos orgánicos; valorización; inocuidad; economía circular; cooperación científica</t>
  </si>
  <si>
    <t>Financia redes temáticas iberoamericanas para reducir el desperdicio alimentario, con posible incorporación de valorización de subproductos.</t>
  </si>
  <si>
    <t>La red debe integrar grupos de al menos seis países iberoamericanos diferentes; cada grupo debe estar formado por más de una persona.</t>
  </si>
  <si>
    <t>Máximo EUR 20,000 para el primer año. Financia coordinación, movilidad, reuniones, formación, publicaciones y difusión, no un proyecto experimental completo.</t>
  </si>
  <si>
    <t>https://www.cyted.org/assets/img/cyted/Convocatoria%202026/Castellano/01_Convocatoria_oficial_bases_y_lineas_2026_SP.pdf</t>
  </si>
  <si>
    <t>Programa CYTED — Convocatoria Redes Temáticas 2026</t>
  </si>
  <si>
    <t>Útil para construir una red iberoamericana que posteriormente someta proyectos FONTAGRO, Horizon Europe o FONDOCYT.</t>
  </si>
  <si>
    <t>EREF Research Grants</t>
  </si>
  <si>
    <t>Environmental Research &amp; Education Foundation (EREF)</t>
  </si>
  <si>
    <t>Gestión sostenible de residuos y circularidad</t>
  </si>
  <si>
    <t>residuos orgánicos; compostaje; digestión anaerobia; biogás; emisiones; circularidad</t>
  </si>
  <si>
    <t>Financia investigación sobre impactos climáticos de los residuos, contaminantes emergentes y circularidad de materiales.</t>
  </si>
  <si>
    <t>Instituciones estadounidenses y extranjeras pueden aplicar. El IP debe ser profesor, posdoctorado o investigador sénior cualificado.</t>
  </si>
  <si>
    <t>Los USD 15,000 a más de USD 500,000 son rangos históricos, no límites formales. Excluye proyectos centrados en residuos agrícolas no gestionados por la industria de residuos.</t>
  </si>
  <si>
    <t>https://erefdn.org/research-grants/</t>
  </si>
  <si>
    <t>https://pivot.proquest.com/funding_opps/14453c4e-25e7-4fd9-b39b-f2f1552f7976</t>
  </si>
  <si>
    <t>EREF — proposals@erefdn.org</t>
  </si>
  <si>
    <t>Usar solamente para residuos alimentarios, municipales o agroindustriales que entren formalmente en la definición de residuo sólido de EREF.</t>
  </si>
  <si>
    <t>CBE JU — Valorización biotecnológica de biomasa residual</t>
  </si>
  <si>
    <t>Valorización de biomasa residual</t>
  </si>
  <si>
    <t>residuos agrícolas; estiércol; subproductos forestales; biorrefinería; enzimas; microorganismos; bioproductos</t>
  </si>
  <si>
    <t>Convierte residuos agrícolas, forestales, ganaderos, acuáticos, alimentarios, urbanos o industriales en químicos, materiales, polímeros, ingredientes o enzimas.</t>
  </si>
  <si>
    <t>UNPHU puede recibir financiación como integrante adicional de un consorcio elegible de Horizon Europe.</t>
  </si>
  <si>
    <t>Innovation Action. Contribución estimada de EUR 7 millones por proyecto y TRL final 6-7. Debe integrar pretratamiento, conversión, separación, purificación y logística.</t>
  </si>
  <si>
    <t>https://ec.europa.eu/info/funding-tenders/opportunities/portal/screen/opportunities/topic-details/HORIZON-JU-CBE-2026-IA-01?callIdentifier=HORIZON-JU-CBE-2026</t>
  </si>
  <si>
    <t>CBE JU — HORIZON-JU-CBE-2026-IA-01</t>
  </si>
  <si>
    <t>CBE JU — Biofertilizantes y bioprotectores</t>
  </si>
  <si>
    <t>Bioinsumos agrícolas</t>
  </si>
  <si>
    <t>biofertilizantes; bioestimulantes; biopesticidas; biomasa; microorganismos; suelo; protección vegetal</t>
  </si>
  <si>
    <t>Desarrolla alternativas biológicas seguras y sostenibles para fertilización o protección de cultivos, con producción industrial y validación agronómica.</t>
  </si>
  <si>
    <t>UNPHU puede participar como entidad financiada adicional aportando ensayos tropicales, cultivos caribeños y validación agronómica.</t>
  </si>
  <si>
    <t>Innovation Action-Flagship. Contribución estimada de EUR 20 millones y TRL final 8. Exige agricultores, proveedores de biomasa, industria y usuarios finales.</t>
  </si>
  <si>
    <t>https://ec.europa.eu/info/funding-tenders/opportunities/portal/screen/opportunities/topic-details/HORIZON-JU-CBE-2026-IAFlag-02?callIdentifier=HORIZON-JU-CBE-2026</t>
  </si>
  <si>
    <t>CBE JU — HORIZON-JU-CBE-2026-IAFlag-02</t>
  </si>
  <si>
    <t>CBE JU — Competitividad de biorrefinerías mediante biotecnología</t>
  </si>
  <si>
    <t>Biorrefinerías y biomanufactura</t>
  </si>
  <si>
    <t>biorrefinería; biomanufactura; biomasa; enzimas; fermentación; químicos; polímeros</t>
  </si>
  <si>
    <t>Demuestra a escala industrial una ruta biotecnológica para producir químicos, intermediarios, polímeros, ingredientes o enzimas biobasados.</t>
  </si>
  <si>
    <t>UNPHU debe incorporarse como socio de un consorcio con infraestructura industrial y entidades europeas elegibles.</t>
  </si>
  <si>
    <t>Innovation Action-Flagship. Contribución estimada de EUR 20 millones y TRL final 8. Alimentos y piensos como aplicación principal quedan fuera.</t>
  </si>
  <si>
    <t>https://ec.europa.eu/info/funding-tenders/opportunities/portal/screen/opportunities/topic-details/HORIZON-JU-CBE-2026-IAFlag-01?callIdentifier=HORIZON-JU-CBE-2026</t>
  </si>
  <si>
    <t>CBE JU — HORIZON-JU-CBE-2026-IAFlag-01</t>
  </si>
  <si>
    <t>Viable con un demostrador industrial europeo; UNPHU puede aportar caracterización y cadenas de biomasa tropical.</t>
  </si>
  <si>
    <t>CBE JU — Químicos y materiales a partir de residuos leñosos</t>
  </si>
  <si>
    <t>Valorización de biomasa forestal residual</t>
  </si>
  <si>
    <t>residuos leñosos; aserrín; corteza; poda; lignocelulosa; químicos; biomateriales</t>
  </si>
  <si>
    <t>Demuestra tecnologías escalables para producir químicos o materiales a partir de corteza, aserrín y residuos de cosecha o procesamiento de madera.</t>
  </si>
  <si>
    <t>UNPHU puede participar como beneficiaria adicional, especialmente aportando cadenas de biomasa tropical y agroforestal.</t>
  </si>
  <si>
    <t>Innovation Action. Contribución estimada de EUR 7 millones por proyecto y TRL final 6-7. Debe demostrar rendimiento, selectividad y sostenibilidad.</t>
  </si>
  <si>
    <t>https://ec.europa.eu/info/funding-tenders/opportunities/portal/screen/opportunities/topic-details/HORIZON-JU-CBE-2026-IA-03?callIdentifier=HORIZON-JU-CBE-2026</t>
  </si>
  <si>
    <t>CBE JU — HORIZON-JU-CBE-2026-IA-03</t>
  </si>
  <si>
    <t>2026-020</t>
  </si>
  <si>
    <t>2026-021</t>
  </si>
  <si>
    <t>2026-022</t>
  </si>
  <si>
    <t>2026-023</t>
  </si>
  <si>
    <t>2026-024</t>
  </si>
  <si>
    <t>2026-025</t>
  </si>
  <si>
    <t>2026-026</t>
  </si>
  <si>
    <t>2026-027</t>
  </si>
  <si>
    <t>2026-028</t>
  </si>
  <si>
    <t>Agrónomos, biotecnólogos, especialistas en agroindustria, bioeconomía, suelos, producción y extensión</t>
  </si>
  <si>
    <t xml:space="preserve"> UNPHU necesita otro país miembro y una institución pública de investigación.</t>
  </si>
  <si>
    <t>Investigadores agroalimentarios, agrónomos, especialistas en desperdicio, bioeconomía y valorización</t>
  </si>
  <si>
    <t>Universidades, centros de I+D</t>
  </si>
  <si>
    <t>Investigadores de residuos sólidos, compostaje, digestión anaerobia, circularidad y emisiones</t>
  </si>
  <si>
    <t>Agrónomos, biotecnólogos, microbiólogos, químicos, ingenieros de procesos y especialistas en residuos</t>
  </si>
  <si>
    <t xml:space="preserve"> UNPHU debe incorporarse a un consorcio europeo en preparación.</t>
  </si>
  <si>
    <t>Agrónomos, fitopatólogos, biotecnólogos, microbiólogos, edafólogos e ingenieros agroindustriales</t>
  </si>
  <si>
    <t>Biotecnología industrial, ingeniería química, agroindustria, logística de biomasa y evaluación ambiental</t>
  </si>
  <si>
    <t>Agronomía forestal, química, materiales, ingeniería de procesos, agroforestería y sostenibilidad</t>
  </si>
  <si>
    <t>Ingeniería química, bioprocesos, química analítica, membranas, materiales y biotecnología</t>
  </si>
  <si>
    <t xml:space="preserve"> Identificar biomasa dominicana y cultivos concretos para validar el producto.</t>
  </si>
  <si>
    <t xml:space="preserve"> poda, aserrín, residuos leñosos de café/cacao o sistemas agroforestales.</t>
  </si>
  <si>
    <t>UNESCO–IGCP — Financiación de geociencias para América Latina y el Caribe</t>
  </si>
  <si>
    <t>UNESCO e International Union of Geological Sciences (IUGS)</t>
  </si>
  <si>
    <t>Investigadores en geociencias, geomática, hidrogeología, geodinámica, recursos terrestres y riesgos geológicos</t>
  </si>
  <si>
    <t>América Latina y el Caribe, incluida República Dominicana</t>
  </si>
  <si>
    <t>Geomática y ciencias de la Tierra</t>
  </si>
  <si>
    <t>geociencias; geomática; SIG; teledetección; hidrogeología; geodinámica; riesgos geológicos; recursos terrestres</t>
  </si>
  <si>
    <t>Apoya investigaciones regionales en recursos terrestres, cambio global, riesgos geológicos, hidrogeología, geodinámica y geopatrimonio, con énfasis en cooperación y desarrollo de capacidades.</t>
  </si>
  <si>
    <t>El líder debe poseer doctorado o grado equivalente y trabajar en una universidad, centro de investigación u otra institución científica de América Latina o el Caribe.</t>
  </si>
  <si>
    <t>Hasta USD 50,000 para un año inicial, renovable hasta tres años. Cubre trabajo de campo, análisis de laboratorio, viajes científicos y capacitación; no cubre salarios, equipos, software ni publicación.</t>
  </si>
  <si>
    <t>https://www.unesco.org/en/articles/call-expressions-interest-geoscience-funding-latin-america-and-caribbean</t>
  </si>
  <si>
    <t>UNESCO — International Geoscience Programme (IGCP); iggp@unesco.org</t>
  </si>
  <si>
    <t>Convocatoria especialmente pertinente para geomática, riesgos, aguas subterráneas, cartografía y teledetección. Monitorear la siguiente edición.</t>
  </si>
  <si>
    <t>CYTED 2026 — Ingeniería y modernización de procesos en la industria minera</t>
  </si>
  <si>
    <t>Investigadores en ingeniería industrial, química, procesos, minería, materiales, logística, mantenimiento y control de calidad</t>
  </si>
  <si>
    <t>Ingeniería industrial y minería sostenible</t>
  </si>
  <si>
    <t>procesos industriales; minería sostenible; relaves; residuos mineros; economía circular; mantenimiento; productividad</t>
  </si>
  <si>
    <t>Promueve redes iberoamericanas para modernizar la extracción y el reprocesamiento de recursos mineros, recuperar relaves y fortalecer la transferencia tecnológica.</t>
  </si>
  <si>
    <t>La red debe integrar grupos de al menos seis países miembros de CYTED e involucrar al menos dos subsectores de la cadena minera.</t>
  </si>
  <si>
    <t>Máximo EUR 20,000 para el primer año. Financia coordinación, movilidad, reuniones, publicaciones y formación; no equivale a una subvención de infraestructura o nómina.</t>
  </si>
  <si>
    <t>Programa CYTED — Convocatoria Redes Temáticas 2026; proyectos@cyted.org</t>
  </si>
  <si>
    <t>Adecuada si UNPHU identifica socios mineros, industriales o ambientales de otros cinco países iberoamericanos.</t>
  </si>
  <si>
    <t>CYTED 2026 — Optimización de procesos industriales sostenibles con IA</t>
  </si>
  <si>
    <t>Investigadores en ingeniería industrial, manufactura, automatización, operaciones, ciencia de datos e inteligencia artificial</t>
  </si>
  <si>
    <t>Ingeniería industrial y manufactura sostenible</t>
  </si>
  <si>
    <t>IA industrial; manufactura; optimización; automatización; productividad; sostenibilidad; control de procesos</t>
  </si>
  <si>
    <t>Busca desarrollar aplicaciones concretas de IA para automatizar, predecir y optimizar procesos manufactureros y reducir costos, tiempos, consumo de recursos y residuos.</t>
  </si>
  <si>
    <t>Requiere una red con participación de al menos seis países y dos o más industrias, y el desarrollo de al menos un proceso, producto o servicio mejorado mediante IA.</t>
  </si>
  <si>
    <t>Máximo EUR 20,000 para el primer año. La ayuda cubre actividades de red, movilidad, reuniones, publicaciones y formación.</t>
  </si>
  <si>
    <t>Data Science and Modeling for Green Chemistry</t>
  </si>
  <si>
    <t>American Chemical Society Green Chemistry Institute Pharmaceutical Roundtable</t>
  </si>
  <si>
    <t>Profesores, grupos académicos e investigadores industriales en química, procesos, IA y modelización</t>
  </si>
  <si>
    <t>Persona individual; equipo académico o industrial</t>
  </si>
  <si>
    <t>Ingeniería química y química verde</t>
  </si>
  <si>
    <t>química verde; ciencia de datos; modelización; aprendizaje automático; procesos sostenibles; eficiencia; residuos</t>
  </si>
  <si>
    <t>Reconoce herramientas computacionales, algoritmos o software que permitan diseñar, implementar o evaluar procesos químicos más seguros, eficientes y sostenibles.</t>
  </si>
  <si>
    <t>Pueden postular grupos académicos e industriales internacionales. No exige membresía en ACS; la herramienta debe tener aplicación demostrable en química verde.</t>
  </si>
  <si>
    <t>Premio de hasta USD 5,000. Puede reembolsar hasta USD 2,500 para presentar el trabajo en la Green Chemistry &amp; Engineering Conference. No financia el inicio de un proyecto nuevo.</t>
  </si>
  <si>
    <t>https://www.acs.org/funding/awards/data-science-and-modeling-for-green-chemistry.html</t>
  </si>
  <si>
    <t>ACS Green Chemistry Institute; gcipr@acs.org</t>
  </si>
  <si>
    <t>Registrar como premio de innovación, diferenciándolo de una subvención para ejecutar investigación.</t>
  </si>
  <si>
    <t>36 meses</t>
  </si>
  <si>
    <t>2026-029</t>
  </si>
  <si>
    <t>2026-030</t>
  </si>
  <si>
    <t>2026-031</t>
  </si>
  <si>
    <t>2026-032</t>
  </si>
  <si>
    <t xml:space="preserve"> requiere conformar anticipadamente una red internacional y vincular empresas manufactureras.</t>
  </si>
  <si>
    <t>Geoscientists Without Borders</t>
  </si>
  <si>
    <t>SEG Foundation / Society of Exploration Geophysicists</t>
  </si>
  <si>
    <t>Hasta 24 meses</t>
  </si>
  <si>
    <t>Investigador establecido en geociencias, geofísica o hidrogeología</t>
  </si>
  <si>
    <t>Institución académica; ONG; entidad sin fines de lucro</t>
  </si>
  <si>
    <t>Hidrogeología y geofísica aplicada</t>
  </si>
  <si>
    <t>aguas subterráneas; acuíferos; prospección geofísica; agua potable; resistividad eléctrica; vulnerabilidad comunitaria</t>
  </si>
  <si>
    <t>Financia proyectos humanitarios que aplican geofísica y geociencias para resolver necesidades de comunidades vulnerables, incluida la localización y caracterización de fuentes de agua subterránea.</t>
  </si>
  <si>
    <t>Investigador principal establecido; la entidad administradora debe ser una institución académica u organización sin fines de lucro equivalente a una 501(c)(3). Se espera participación estudiantil.</t>
  </si>
  <si>
    <t>Carta de intención y plantilla en inglés; propuesta completa solo por invitación. No financia individuos, entidades con fines de lucro ni costos indirectos. Tope de USD 50,000 por año.</t>
  </si>
  <si>
    <t>https://seg.org/programs/geoscientists-without-borders/apply/</t>
  </si>
  <si>
    <t>SEG Foundation; withoutborders@seg.org</t>
  </si>
  <si>
    <t>IAS Post-Doctoral Research Grants — Fall 2026</t>
  </si>
  <si>
    <t>International Association of Sedimentologists</t>
  </si>
  <si>
    <t>Aproximadamente 12 meses</t>
  </si>
  <si>
    <t>Postdoctorado o investigador en etapa inicial</t>
  </si>
  <si>
    <t>Persona individual afiliada a institución académica o centro de investigación</t>
  </si>
  <si>
    <t>Sedimentología e hidrogeología de acuíferos sedimentarios</t>
  </si>
  <si>
    <t>acuíferos sedimentarios; porosidad; permeabilidad; facies; sedimentos; hidroestratigrafía</t>
  </si>
  <si>
    <t>Subvención semilla para probar conceptos o cubrir brechas de un proyecto. Es pertinente cuando la porosidad, permeabilidad y respuesta del acuífero dependen de facies y estructuras sedimentarias.</t>
  </si>
  <si>
    <t>Ser miembro pleno de IAS, haber obtenido el doctorado en los siete años anteriores al cierre y no haber recibido anteriormente esta subvención.</t>
  </si>
  <si>
    <t>Financia trabajo de campo, laboratorio y equipo especializado. No cubre salario, costos indirectos, matrícula ni viajes a congresos.</t>
  </si>
  <si>
    <t>https://www.sedimentologists.org/resources/grants/</t>
  </si>
  <si>
    <t>Adecuada para investigadores postdoctorales de UNPHU con proyecto de acuíferos sedimentarios.</t>
  </si>
  <si>
    <t>IAS Institutional Grants — Fall 2026</t>
  </si>
  <si>
    <t>Profesor o investigador permanente en ciencias de la Tierra</t>
  </si>
  <si>
    <t>Institución académica; departamento universitario</t>
  </si>
  <si>
    <t>Países con capacidad limitada de investigación y desarrollo</t>
  </si>
  <si>
    <t>Fortalecimiento de capacidades en sedimentología e hidrogeología</t>
  </si>
  <si>
    <t>barrenas; tamices; microscopios; software; sedimentos; formación; acuíferos</t>
  </si>
  <si>
    <t>Proporciona equipos y materiales para docencia e investigación sedimentológica en instituciones de países con capacidad limitada, aplicables al estudio de sedimentos y acuíferos.</t>
  </si>
  <si>
    <t>El solicitante debe ser miembro pleno de IAS y ocupar un puesto universitario permanente. Se priorizan países que históricamente invierten menos del 1 % del PIB en I+D; otros deben justificar la necesidad.</t>
  </si>
  <si>
    <t>Es una ayuda en especie: IAS compra y envía el equipo; no transfiere efectivo. Puede cubrir barrenas, tamices, microscopios, software especializado y materiales docentes.</t>
  </si>
  <si>
    <t>International Association of Sedimentologists; eo@sedimentologists.org</t>
  </si>
  <si>
    <t>Prioridad alta para fortalecer laboratorio. Confirmar la clasificación aplicable a República Dominicana y costos de envío.</t>
  </si>
  <si>
    <t>First Rufford Small Grant for Nature Conservation</t>
  </si>
  <si>
    <t>The Rufford Foundation</t>
  </si>
  <si>
    <t>Investigador emergente; estudiante de maestría o doctorado; graduado reciente</t>
  </si>
  <si>
    <t>Persona individual; equipo pequeño</t>
  </si>
  <si>
    <t>Conservación de ecosistemas dependientes de aguas subterráneas</t>
  </si>
  <si>
    <t>manantiales; humedales; acuíferos costeros; ecosistemas subterráneos; biodiversidad; conservación</t>
  </si>
  <si>
    <t>Financia trabajo de campo de conservación. La hidrogeología es pertinente cuando el proyecto demuestra un beneficio directo para especies, hábitats, manantiales, humedales o ecosistemas dependientes de aguas subterráneas.</t>
  </si>
  <si>
    <t>Dirigida principalmente a conservacionistas en etapas iniciales. República Dominicana figura como país elegible y el proyecto debe tener objetivos concretos de conservación en campo.</t>
  </si>
  <si>
    <t>No financia investigación puramente académica. La primera subvención es de hasta GBP 7,000; existen etapas posteriores de GBP 8,000, 12,000 y 18,000.</t>
  </si>
  <si>
    <t>https://apply.ruffordsmallgrants.org/</t>
  </si>
  <si>
    <t>Presentar la hidrogeología como herramienta para proteger biodiversidad y hábitats, con indicadores de conservación.</t>
  </si>
  <si>
    <t>Horton Research Grant</t>
  </si>
  <si>
    <t>American Geophysical Union</t>
  </si>
  <si>
    <t>Estudiante de doctorado en hidrología, hidrogeología o recursos hídricos</t>
  </si>
  <si>
    <t>Hidrología, aguas subterráneas y recursos hídricos</t>
  </si>
  <si>
    <t>hidrología; hidrogeología; acuíferos; recursos hídricos; modelación; calidad del agua</t>
  </si>
  <si>
    <t>Otorga hasta tres subvenciones anuales para apoyar la investigación doctoral en hidrología, recursos hídricos y áreas relacionadas, incluida la hidrogeología.</t>
  </si>
  <si>
    <t>Ser miembro estudiantil activo de AGU y permanecer matriculado en un programa doctoral durante todo el año de la subvención.</t>
  </si>
  <si>
    <t>El ciclo 2026 cerró el 13/03/2026. La solicitud incluye resumen, propósito, presupuesto, CV, expediente académico y recomendaciones. Solicitantes internacionales pueden recibir hasta USD 1,000 adicionales para viaje.</t>
  </si>
  <si>
    <t>https://www.agu.org/honors/horton-grant</t>
  </si>
  <si>
    <t>American Geophysical Union; Grants@agu.org</t>
  </si>
  <si>
    <t>2026-033</t>
  </si>
  <si>
    <t>2026-034</t>
  </si>
  <si>
    <t>2026-035</t>
  </si>
  <si>
    <t>2026-036</t>
  </si>
  <si>
    <t>2026-037</t>
  </si>
  <si>
    <t>plantear prospección de aguas subterráneas y beneficio comunitario medible.</t>
  </si>
  <si>
    <t xml:space="preserve"> monitorear el ciclo anual de enero a marzo de 2027.</t>
  </si>
  <si>
    <t>Beca José Juan Vilar Martínez — Excelencia en Investigación en Periodoncia 2026</t>
  </si>
  <si>
    <t>Sociedad Española de Periodoncia y Oseointegración (SEPA)</t>
  </si>
  <si>
    <t>Internacional; estancia en un centro distinto al de origen</t>
  </si>
  <si>
    <t>Sin restricción; exige membresía SEPA, incluida la categoría internacional</t>
  </si>
  <si>
    <t>Periodoncia, implantes dentales y biomateriales</t>
  </si>
  <si>
    <t>periodontitis; implantes; biomateriales; regeneración; movilidad; investigación clínica</t>
  </si>
  <si>
    <t>Financia una estancia de al menos tres meses y un proyecto vinculado en periodoncia, implantes dentales o biomateriales.</t>
  </si>
  <si>
    <t>Miembro de SEPA con proyecto clínico o preclínico, protocolo y aprobación ética. Las revisiones sistemáticas están excluidas.</t>
  </si>
  <si>
    <t>Hasta EUR 10.000 para viaje, alojamiento y manutención y al menos EUR 5.000 para investigación. Exige publicación Q1 antes del 30/11/2027, salvo prórroga excepcional.</t>
  </si>
  <si>
    <t>https://sepa.es/web/_public/downloads/becas/Beca-Jos%C3%A9%20Juan%20Vilar%20Mart%C3%ADnez%202026%20ES.pdf?20260426114110=</t>
  </si>
  <si>
    <t>Convocatoria 2026 cerrada. Para una edición futura, formalizar membresía internacional de SEPA y asegurar centro anfitrión y estrategia de publicación Q1.</t>
  </si>
  <si>
    <t>David Steflik Memorial Student Research Grant 2026</t>
  </si>
  <si>
    <t>American Academy of Implant Dentistry Foundation</t>
  </si>
  <si>
    <t>Sin restricción; los estudiantes internacionales son bienvenidos</t>
  </si>
  <si>
    <t>Implantología, biomateriales y respuesta tisular</t>
  </si>
  <si>
    <t>implantes; estudiantes; biomateriales; oseointegración; tejidos; investigación piloto</t>
  </si>
  <si>
    <t>Apoya proyectos estudiantiles en implantología, biomateriales y respuesta de los tejidos a los implantes.</t>
  </si>
  <si>
    <t>Estudiantes de odontología y participantes en programas de posgrado o residencia, con tutor y respaldo institucional.</t>
  </si>
  <si>
    <t>Financiamiento directo máximo de USD 7.000. Puede incluir hasta USD 1.500 adicionales para presentar resultados en la reunión anual de AAID.</t>
  </si>
  <si>
    <t>https://www.aaid.com/aaidf-grants</t>
  </si>
  <si>
    <t>Convocatoria 2026 cerrada. Monitorear el próximo ciclo para tesis o proyectos piloto de residentes y estudiantes de posgrado de UNPHU.</t>
  </si>
  <si>
    <t>AAID Foundation Large Research Grant 2026</t>
  </si>
  <si>
    <t>Internacional; confirmar la elegibilidad geográfica en el próximo ciclo</t>
  </si>
  <si>
    <t>No especificada en la página pública</t>
  </si>
  <si>
    <t>Implantología oral</t>
  </si>
  <si>
    <t>implantes; factibilidad; nuevas técnicas; modelos animales; datos clínicos; biomateriales; respuesta tisular</t>
  </si>
  <si>
    <t>Apoya estudios de factibilidad, nuevas técnicas o procedimientos, pequeños estudios clínicos o animales y análisis de datos existentes relacionados con implantología.</t>
  </si>
  <si>
    <t>Dirigida a investigadores en implantología. Deben cumplirse las condiciones institucionales y éticas de las bases de cada ciclo.</t>
  </si>
  <si>
    <t>Permite suministros, equipos pequeños y salarios de apoyo técnico. No permite salario del PI, consultores, grandes equipos ni costos indirectos.</t>
  </si>
  <si>
    <t>Convocatoria 2026 cerrada. Confirmar la elegibilidad internacional antes de preparar una propuesta del siguiente ciclo.</t>
  </si>
  <si>
    <t>ITI Research Mentoring Program 2026</t>
  </si>
  <si>
    <t>International Team for Implantology (ITI Foundation)</t>
  </si>
  <si>
    <t>De 1 a 12 meses</t>
  </si>
  <si>
    <t>Sin restricción publicada</t>
  </si>
  <si>
    <t>Formación investigadora en implantología</t>
  </si>
  <si>
    <t>mentoría; movilidad; implantología; periimplantitis; regeneración; capacitación; colaboración internacional</t>
  </si>
  <si>
    <t>Apoya estancias en una institución mentora para adquirir métodos, desarrollar colaboraciones y fortalecer la carrera científica en implantología.</t>
  </si>
  <si>
    <t>Investigador emergente; solicitud en inglés, CV, plan de estancia y referencias. Debe poder desplazarse al centro anfitrión.</t>
  </si>
  <si>
    <t>Apertura prevista el 01/08/2026. Tramos de USD 1.500–7.500, USD 7.500–10.000 y USD 10.000–20.000; compensación adicional al centro anfitrión de hasta USD 5.000.</t>
  </si>
  <si>
    <t>https://www.iti.org/science/research-mentoring-program/</t>
  </si>
  <si>
    <t>International Team for Implantology (ITI) Research Committee</t>
  </si>
  <si>
    <t>Próxima a abrir al verificarla. Recomendable para formar investigadores jóvenes de UNPHU en microbiología periimplantaria, regeneración o investigación clínica.</t>
  </si>
  <si>
    <t>ITI Targeted Call 2026 — Long-Term Outcomes of Single Implants versus 3-Unit Tooth-Borne Bridges</t>
  </si>
  <si>
    <t>Según proyecto; resultados con seguimiento mínimo de 5 años</t>
  </si>
  <si>
    <t>Resultados clínicos de implantes unitarios</t>
  </si>
  <si>
    <t>implante unitario; puente dentosoportado; supervivencia; PROMs; costo-efectividad; complicaciones; seguimiento longitudinal</t>
  </si>
  <si>
    <t>Compara resultados a largo plazo de implantes unitarios y puentes dentosoportados de tres unidades, incluida supervivencia, complicaciones, experiencia del paciente y economía de la salud.</t>
  </si>
  <si>
    <t>El primer solicitante debe estar afiliado a una institución académica acreditada. Se aceptan estudios retrospectivos y multicéntricos con datos de al menos cinco años.</t>
  </si>
  <si>
    <t>Modalidad pequeña hasta USD 50.000 y grande hasta USD 200.000. La notificación está prevista para noviembre de 2026.</t>
  </si>
  <si>
    <t>https://www.iti.org/science/research-grants/</t>
  </si>
  <si>
    <t>ID de referencia de la búsqueda: OD-2026-002. UNPHU necesitaría expedientes longitudinales o integrarse en una red multicéntrica.</t>
  </si>
  <si>
    <t>2026-038</t>
  </si>
  <si>
    <t>2026-039</t>
  </si>
  <si>
    <t>2026-040</t>
  </si>
  <si>
    <t>2026-041</t>
  </si>
  <si>
    <t>2026-042</t>
  </si>
  <si>
    <t>FY26 Epilepsy Research Program — Leveraging Research Award</t>
  </si>
  <si>
    <t>Defense Health Agency / CDMRP — Epilepsy Research Program</t>
  </si>
  <si>
    <t>Máximo 3 años</t>
  </si>
  <si>
    <t>Investigador independiente de cualquier etapa; equipo con experiencia en lesión cerebral traumática y epilepsia</t>
  </si>
  <si>
    <t>Organización extranjera o estadounidense, pública, privada, con o sin fines de lucro</t>
  </si>
  <si>
    <t>Internacional, incluida República Dominicana</t>
  </si>
  <si>
    <t>Cualquier nacionalidad o ciudadanía</t>
  </si>
  <si>
    <t>Epilepsia postraumática</t>
  </si>
  <si>
    <t>Permite adaptar o ampliar una cohorte, herramienta, intervención o recurso existente que anteriormente no estuviera enfocado en epilepsia postraumática.</t>
  </si>
  <si>
    <t>UNPHU es elegible como organización extranjera. El PI debe ser investigador independiente. Se requieren datos preliminares y acceso demostrado al recurso que se pretende aprovechar.</t>
  </si>
  <si>
    <t>Carta de intención: 03/08/2026, 5:00 p. m. ET. Solicitud completa: 17/08/2026, 11:59 p. m. ET. Solo aplica si la neuroestimulación se orienta explícitamente a epilepsia postraumática; puede incluir ensayos clínicos.</t>
  </si>
  <si>
    <t>https://cdmrp.health.mil/funding/pa/HT942526ERPLRA_GG.pdf</t>
  </si>
  <si>
    <t>CDMRP — Epilepsy Research Program</t>
  </si>
  <si>
    <t>FY26 PRMRP — Impact Award</t>
  </si>
  <si>
    <t>Defense Health Agency / CDMRP — PRMRP</t>
  </si>
  <si>
    <t>Máximo 4 años</t>
  </si>
  <si>
    <t>Investigador independiente; en modalidad asociada, uno de los PI debe ser investigador clínico</t>
  </si>
  <si>
    <t>Endometriosis y neuropatía periférica</t>
  </si>
  <si>
    <t>Apoya conceptos maduros de investigación aplicada que puedan convertirse en soluciones clínicas con impacto importante a corto plazo.</t>
  </si>
  <si>
    <t>UNPHU es elegible. Los postdoctorados, fellows clínicos y científicos bajo mentoría no pueden ser PI.</t>
  </si>
  <si>
    <t>Carta de intención: 23/07/2026, 5:00 p. m. ET. Solicitud completa: 06/08/2026, 11:59 p. m. ET. Tope: USD 2.8 millones con PI único o USD 3.6 millones con PI asociado. No permite ensayos clínicos; sí investigación clínica no intervencional.</t>
  </si>
  <si>
    <t>https://cdmrp.health.mil/funding/pa/HT942526PRMRPIPA_GG.pdf</t>
  </si>
  <si>
    <t>CDMRP — PRMRP</t>
  </si>
  <si>
    <t>FY26 PRMRP — Technology/Therapeutic Development Award</t>
  </si>
  <si>
    <t>Investigador independiente con equipo de desarrollo de producto, regulación y transición clínica</t>
  </si>
  <si>
    <t>Organización extranjera o estadounidense, pública o privada</t>
  </si>
  <si>
    <t>Apoya la transformación de resultados preclínicos prometedores en productos clínicos para prevención, diagnóstico, tratamiento o mejora de calidad de vida.</t>
  </si>
  <si>
    <t>UNPHU es elegible como institución extranjera. Se requiere prueba de concepto preliminar y una estrategia clara de transición regulatoria o clínica.</t>
  </si>
  <si>
    <t>Carta de intención: 23/07/2026, 5:00 p. m. ET. Solicitud completa: 06/08/2026, 11:59 p. m. ET. Debe conducir a un expediente regulatorio o a implementación clínica. No permite ensayos clínicos.</t>
  </si>
  <si>
    <t>https://cdmrp.health.mil/funding/pa/HT942526PRMRPTTDA_GG2.pdf</t>
  </si>
  <si>
    <t>2027–2029 Clinical Research Training Scholarship in Peripheral Neuropathy</t>
  </si>
  <si>
    <t>Foundation for Peripheral Neuropathy / American Brain Foundation / American Academy of Neurology</t>
  </si>
  <si>
    <t>Investigador de carrera temprana con MD, PhD o equivalente y trayectoria prevista en neuropatía periférica</t>
  </si>
  <si>
    <t>Investigador individual respaldado por una institución anfitriona</t>
  </si>
  <si>
    <t>Internacional; existen antecedentes de beneficiarios fuera de Estados Unidos</t>
  </si>
  <si>
    <t>No se publica restricción de nacionalidad; confirmar en el portal de solicitud</t>
  </si>
  <si>
    <t>Neuropatía periférica</t>
  </si>
  <si>
    <t>Financia estudios epidemiológicos, conductuales, clínicos, mecanismos de enfermedad, tecnologías, servicios de salud y modelos traslacionales de neuropatía periférica.</t>
  </si>
  <si>
    <t>Investigadores MD o PhD de carrera temprana comprometidos con investigación en neuropatía, con apoyo institucional y cumplimiento de los criterios completos de ABF.</t>
  </si>
  <si>
    <t>Solicitud presentada en 2026 para el período 2027–2029. Correspondencia directa con CIPN; una beneficiaria 2026 recibió apoyo específicamente para investigación de neuropatía inducida por quimioterapia.</t>
  </si>
  <si>
    <t>https://www.foundationforpn.org/peripheral-neuropathy-research-training-grant-2027/</t>
  </si>
  <si>
    <t>Foundation for Peripheral Neuropathy / American Brain Foundation</t>
  </si>
  <si>
    <t>World Endometriosis Society Early Career Investigator Awards 2027</t>
  </si>
  <si>
    <t>World Endometriosis Society</t>
  </si>
  <si>
    <t>Canadá / Internacional</t>
  </si>
  <si>
    <t>Clínicos, profesionales aliados, científicos básicos o sociales en etapa inicial</t>
  </si>
  <si>
    <t>Investigador individual miembro de WES; institución o mentor administra fondos cuando corresponda</t>
  </si>
  <si>
    <t>No se publica restricción de ciudadanía</t>
  </si>
  <si>
    <t>Endometriosis o adenomiosis</t>
  </si>
  <si>
    <t>endometriosis; manejo integral; dolor pélvico; calidad de vida; cirugía; epidemiología; salud pública; ciencias sociales</t>
  </si>
  <si>
    <t>Otorga seis catalyst grants: dos para clínicos y profesionales aliados, dos para científicos básicos y dos para científicos sociales.</t>
  </si>
  <si>
    <t>Requiere membresía WES. Clínicos y profesionales aliados: dentro de seis años de práctica independiente. Científicos básicos o sociales: dentro de diez años del doctorado o formación equivalente.</t>
  </si>
  <si>
    <t>Admite faculty de carrera temprana, postdoctorados y asociados de investigación. Quienes no tengan posición independiente deben identificar supervisor o mentor que administre los fondos.</t>
  </si>
  <si>
    <t>https://www.worldendosociety.org/mentoring-grants-awards/research-grants</t>
  </si>
  <si>
    <t>Dissemination and Implementation Research in Health — R03; PAR-25-233</t>
  </si>
  <si>
    <t>National Institutes of Health — NIH</t>
  </si>
  <si>
    <t>Investigadores en salud pública, epidemiología, implementación, servicios de salud, ginecología, neurología u oncología</t>
  </si>
  <si>
    <t>Universidad u organización de investigación; entidades extranjeras elegibles</t>
  </si>
  <si>
    <t>Sin restricción específica para PI de entidad extranjera elegible</t>
  </si>
  <si>
    <t>Implementación de intervenciones y prácticas de salud basadas en evidencia</t>
  </si>
  <si>
    <t>Financia estudios pequeños sobre adopción, adaptación, implementación, escalamiento y sostenibilidad de prácticas, guías o intervenciones de salud basadas en evidencia.</t>
  </si>
  <si>
    <t>UNPHU puede solicitar directamente. El PI debe poseer los conocimientos, recursos y respaldo institucional necesarios.</t>
  </si>
  <si>
    <t>Máximo USD 50,000 en costos directos por año y USD 100,000 en dos años. No permite ensayos clínicos de eficacia; es adecuada para implementar una ruta integral de endometriosis o un protocolo para CIPN.</t>
  </si>
  <si>
    <t>https://grants.nih.gov/grants/guide/pa-files/PAR-25-233.html</t>
  </si>
  <si>
    <t>NIH / NICHD / NINDS / Fogarty International Center</t>
  </si>
  <si>
    <t>Wellcome Discovery Awards — September 2026 round</t>
  </si>
  <si>
    <t>Wellcome</t>
  </si>
  <si>
    <t>Normalmente 3–8 años; promedio cercano a 7 años</t>
  </si>
  <si>
    <t>Investigador establecido; se permiten co-solicitantes</t>
  </si>
  <si>
    <t>Universidad, instituto de investigación, organización sanitaria o entidad sin fines de lucro</t>
  </si>
  <si>
    <t>Reino Unido, Irlanda y países de ingresos bajos y medios; República Dominicana es elegible para esta ronda</t>
  </si>
  <si>
    <t>Elegibilidad basada en institución y ubicación, no en ciudadanía</t>
  </si>
  <si>
    <t>Investigación de descubrimiento en salud y bienestar</t>
  </si>
  <si>
    <t>Apoya programas ambiciosos que generen cambios importantes en la comprensión de la vida, la salud y el bienestar, incluyendo ciencia básica, experimental, clínica o poblacional.</t>
  </si>
  <si>
    <t>La organización administradora debe ser sin fines de lucro. República Dominicana figura en la lista vigente de países de ingresos bajos y medios de Wellcome para esta ronda.</t>
  </si>
  <si>
    <t>Cierre: 22/09/2026, 3:00 p. m. BST. No hay tope formal; el promedio es aproximadamente GBP 3.5 millones y solicitudes superiores a GBP 5 millones reciben escrutinio adicional. La elegibilidad geográfica cambia después del 29/10/2026.</t>
  </si>
  <si>
    <t>https://wellcome.org/research-funding/schemes/wellcome-discovery-awards</t>
  </si>
  <si>
    <t>IBSA Foundation Fellowships — 2026 Call</t>
  </si>
  <si>
    <t>IBSA Foundation for Scientific Research</t>
  </si>
  <si>
    <t>Suiza</t>
  </si>
  <si>
    <t>Menor de 40 años; medicina, biología, farmacia, biotecnología o bioingeniería; PhD student, PhD, postdoc o residente</t>
  </si>
  <si>
    <t>Investigador individual activo en una institución anfitriona de investigación</t>
  </si>
  <si>
    <t>Cualquier nacionalidad</t>
  </si>
  <si>
    <t>Medicina del dolor; ortopedia/reumatología; fertilidad/urología; medicina regenerativa</t>
  </si>
  <si>
    <t>Ofrece siete fellowships de EUR 32,000. Las áreas de medicina del dolor y fertilidad/urología permiten proyectos relacionados con CIPN, dolor pélvico y endometriosis.</t>
  </si>
  <si>
    <t>Menor de 40 años al cierre, título elegible y actividad durante toda la beca en universidad, hospital o centro de investigación. Profesores con posición permanente no son elegibles.</t>
  </si>
  <si>
    <t>No cubre bench fees, overhead, consumibles ni beneficios para el supervisor o institución. Incluye un Research Equity Prize adicional de EUR 5,000 para el mejor proyecto desarrollado en un país en desarrollo.</t>
  </si>
  <si>
    <t>https://www.ibsafoundation.org/en/fellowship/call-2026</t>
  </si>
  <si>
    <t>IBSA Foundation</t>
  </si>
  <si>
    <t>2026-043</t>
  </si>
  <si>
    <t>2026-044</t>
  </si>
  <si>
    <t>2026-045</t>
  </si>
  <si>
    <t>2026-046</t>
  </si>
  <si>
    <t>2026-047</t>
  </si>
  <si>
    <t>2026-048</t>
  </si>
  <si>
    <t>2026-049</t>
  </si>
  <si>
    <t>2026-050</t>
  </si>
  <si>
    <t xml:space="preserve"> investigador joven; no financia costos institucionales.</t>
  </si>
  <si>
    <t xml:space="preserve"> manejo integral y servicios de salud. La intervención o guía debe contar con evidencia previa.</t>
  </si>
  <si>
    <t xml:space="preserve"> calidad de vida o investigación social en endometriosis.</t>
  </si>
  <si>
    <t xml:space="preserve"> Verificar criterios exactos de etapa profesional en el portal ABF.</t>
  </si>
  <si>
    <t>existe candidato terapéutico, dispositivo, biomarcador o prueba diagnóstica para CIPN/endometriosis.</t>
  </si>
  <si>
    <t xml:space="preserve"> biomarcadores, diagnóstico o tratamiento traslacional de CIPN/endometriosis.</t>
  </si>
  <si>
    <t>solo si existe una cohorte o intervención reutilizable y la población es PTE. Confirmar SAM/UEI, eBRAP y Grants.gov activos.</t>
  </si>
  <si>
    <t>dolor neuropático;  dolor pélvico; endometriosis; fertilidad; rehabilitación; medicina del dolor</t>
  </si>
  <si>
    <t>epilepsia; neuroestimulación; neuropatía;  endometriosis; mecanismos; medicina experimental</t>
  </si>
  <si>
    <t>manejo integral; endometriosis;  implementación; ruta clínica; acceso; adherencia; calidad de atención</t>
  </si>
  <si>
    <t xml:space="preserve"> neuropatía inducida por quimioterapia; mecanismos; diagnóstico; tratamiento; ensayo clínico; tecnología</t>
  </si>
  <si>
    <t>neuroprotección; fármaco; diagnóstico; dispositivo; endometriosis; biomarcadores; IND; IDE</t>
  </si>
  <si>
    <t>endometriosis;  mecanismos; biomarcadores; soluciones clínicas; investigación traslacional</t>
  </si>
  <si>
    <t>epilepsia postraumática; PTE; neuroestimulación;  lesión cerebral traumática; dispositivos avanzados</t>
  </si>
  <si>
    <t>Darwin Initiative Main — Round 32</t>
  </si>
  <si>
    <t>UK Department for Environment, Food &amp; Rural Affairs — Defra</t>
  </si>
  <si>
    <t>2-5 años</t>
  </si>
  <si>
    <t>Investigador establecido; equipo interdisciplinario</t>
  </si>
  <si>
    <t>Institución académica; ONG; entidad pública o privada registrada</t>
  </si>
  <si>
    <t>Países y hotspots elegibles; República Dominicana e Islas del Caribe</t>
  </si>
  <si>
    <t>Conservación de biodiversidad y reducción multidimensional de la pobreza</t>
  </si>
  <si>
    <t>biodiversidad; conservación; restauración; comunidades; pobreza; escalamiento; Caribe</t>
  </si>
  <si>
    <t>Financia proyectos grandes, basados en evidencia y con potencial de escala, que produzcan resultados simultáneos para la conservación de la biodiversidad y la reducción de la pobreza.</t>
  </si>
  <si>
    <t>UNPHU puede postular como organización líder. República Dominicana figura como país elegible dentro del hotspot Islas del Caribe; por ser país UMIC debe justificarse especialmente la necesidad del financiamiento y el beneficio a población vulnerable.</t>
  </si>
  <si>
    <t>Etapa 1: nota conceptual. Cierre 20/07/2026 a las 23:59 BST (18:59 AST). Solo una solicitud líder por organización y esquema. Inicio previsto desde abril de 2027.</t>
  </si>
  <si>
    <t>https://www.darwininitiative.org.uk/how-to-apply/main-applications/</t>
  </si>
  <si>
    <t>https://pivot.proquest.com/funding_opps/00d28df5-0db9-4812-8c68-d1d75de8f0f3</t>
  </si>
  <si>
    <t>UK Defra / NIRAS Biodiversity Challenge Funds</t>
  </si>
  <si>
    <t>Referencia de búsqueda BIO-2026-002. La ficha Pivot del adjunto contenía datos de una edición anterior; usar los datos oficiales de Round 32.</t>
  </si>
  <si>
    <t>Darwin Initiative Capability &amp; Capacity — Round 32</t>
  </si>
  <si>
    <t>Investigador establecido; especialista en fortalecimiento institucional</t>
  </si>
  <si>
    <t>Institución académica; instituto de investigación; ONG; entidad pública</t>
  </si>
  <si>
    <t>Fortalecimiento de capacidades institucionales para la conservación</t>
  </si>
  <si>
    <t>biodiversidad; formación; gobernanza; redes; capacidades locales; pobreza; Caribe</t>
  </si>
  <si>
    <t>Apoya proyectos que desarrollen la capacidad de organizaciones locales y nacionales para producir impactos sostenibles en conservación de biodiversidad y reducción de pobreza.</t>
  </si>
  <si>
    <t>UNPHU puede participar como organización local, entidad líder o institución beneficiaria, siempre que el proyecto contribuya a abordar la pérdida de biodiversidad y la pobreza dentro del hotspot elegible.</t>
  </si>
  <si>
    <t>Proceso de una sola etapa. Cierre 31/08/2026 a las 23:59 BST (18:59 AST). Duración máxima de tres años; inicio previsto desde abril de 2027.</t>
  </si>
  <si>
    <t>https://www.darwininitiative.org.uk/how-to-apply/capability-capacity-applications/</t>
  </si>
  <si>
    <t>Conservation, Food &amp; Health Foundation — Conservation Grants</t>
  </si>
  <si>
    <t>Conservation, Food &amp; Health Foundation</t>
  </si>
  <si>
    <t>Investigador emergente; investigador establecido</t>
  </si>
  <si>
    <t>Institución académica; ONG; organización sin fines de lucro</t>
  </si>
  <si>
    <t>Caribe, América Latina, África, Asia y Medio Oriente</t>
  </si>
  <si>
    <t>Conservación e investigación aplicada</t>
  </si>
  <si>
    <t>biodiversidad; recursos naturales; cambio climático; comunidades; capacidades; políticas</t>
  </si>
  <si>
    <t>Apoya investigación de campo, proyectos piloto y acciones aplicadas que generen soluciones locales y vinculen científicos, comunidades, organizaciones y responsables de políticas.</t>
  </si>
  <si>
    <t>Las universidades son elegibles si demuestran finalidad no gubernamental o benéfica. República Dominicana es elegible como país del Caribe.</t>
  </si>
  <si>
    <t>La próxima ventana para conceptos abre el 15/10/2026 y cierra el 22/12/2026. No existen límites formales; la mayoría de las subvenciones se sitúa entre USD 25,000 y 50,000 por año. Solo una propuesta por organización y año; no cubre overhead.</t>
  </si>
  <si>
    <t>https://cfhfoundation.grantsmanagement08.com/</t>
  </si>
  <si>
    <t>Conservation, Food &amp; Health Foundation / GMA Foundations</t>
  </si>
  <si>
    <t>FY 2024–2026 Broad Agency Announcement for the Office of Education</t>
  </si>
  <si>
    <t>National Oceanic and Atmospheric Administration — NOAA</t>
  </si>
  <si>
    <t>Investigador emergente; investigador establecido; equipo interdisciplinario</t>
  </si>
  <si>
    <t>Institución académica; ONG; empresa; gobierno; organización extranjera</t>
  </si>
  <si>
    <t>Biodiversidad marina, ecosistemas costeros, clima y educación</t>
  </si>
  <si>
    <t>océanos saludables; hábitats; biodiversidad marina; costas resilientes; cambio climático; educación</t>
  </si>
  <si>
    <t>Broad Agency Announcement para investigación, educación, divulgación y proyectos innovadores vinculados con los objetivos estratégicos de NOAA.</t>
  </si>
  <si>
    <t>Las instituciones de educación superior y organizaciones extranjeras son elegibles, siempre que NOAA disponga de autoridad legal para financiar la actividad propuesta.</t>
  </si>
  <si>
    <t>Cierre 30/09/2026 a las 23:59 ET. Financiamiento sujeto a disponibilidad presupuestaria. Conviene consultar previamente a la oficina programática y completar los registros federales requeridos.</t>
  </si>
  <si>
    <t>https://www.grants.gov/search-results-detail/356002</t>
  </si>
  <si>
    <t>https://pivot.proquest.com/funding_opps/1b3a4403-d139-491a-aae6-f2f1552f7976</t>
  </si>
  <si>
    <t>NOAA Office of Education / U.S. Department of Commerce</t>
  </si>
  <si>
    <t>2026-051</t>
  </si>
  <si>
    <t>2026-052</t>
  </si>
  <si>
    <t>2026-053</t>
  </si>
  <si>
    <t>2026-054</t>
  </si>
  <si>
    <t>Muy buen encaje institucional para UNPHU; coordinar internamente porque solo se permite una solicitud líder por esquema.</t>
  </si>
  <si>
    <t xml:space="preserve"> Utilizar el identificador oficial NOAA-SEC-OED-2024-28060 y no confundir con otros BAA de NOAA.</t>
  </si>
  <si>
    <t>Nestlé Foundation Research Grants</t>
  </si>
  <si>
    <t>Nestlé Foundation for the Study of Problems of Nutrition in the World</t>
  </si>
  <si>
    <t>Países de ingresos bajos y medios; República Dominicana elegible</t>
  </si>
  <si>
    <t>Nutrición materna, infantil y adolescente; seguridad nutricional</t>
  </si>
  <si>
    <t>Seguridad alimentaria; nutrición; malnutrición; salud materno-infantil; adolescentes; países de ingresos bajos y medios</t>
  </si>
  <si>
    <t>Apoya investigación aplicada e innovadora orientada a mejorar la nutrición materna, infantil y adolescente en países de ingresos bajos y medios.</t>
  </si>
  <si>
    <t>El investigador principal colaborador debe estar radicado en un país elegible y al menos 75 % del presupuesto debe ejecutarse allí. Estudiantes de maestría o doctorado pueden solicitar con supervisión.</t>
  </si>
  <si>
    <t>Carta de intención recibida de forma continua. Las propuestas completas son solo por invitación, con cortes habituales el 10 de enero y el 10 de julio. Regular: hasta USD 100,000 por año y USD 300,000 en total; Training: hasta USD 20,000 por año; Mobility: hasta USD 30,000. No financia estudios solo con animales o in vitro.</t>
  </si>
  <si>
    <t>https://www.nestlefoundation.org/research</t>
  </si>
  <si>
    <t>Nestlé Foundation; nf@nestlefoundation.org</t>
  </si>
  <si>
    <t>Alta afinidad con Nutrición, Medicina y Salud Pública de la UNPHU. República Dominicana figura dentro del universo general de países de ingresos medios.</t>
  </si>
  <si>
    <t>Seeding the Future Global Food System Challenge 2026</t>
  </si>
  <si>
    <t>Seeding The Future Foundation / Welthungerhilfe</t>
  </si>
  <si>
    <t>Según el cronograma del proyecto</t>
  </si>
  <si>
    <t>Internacional, salvo jurisdicciones sujetas a sanciones integrales</t>
  </si>
  <si>
    <t>Transformación de sistemas alimentarios</t>
  </si>
  <si>
    <t>Seguridad alimentaria; alimentos seguros y nutritivos; agricultura regenerativa; desperdicio de alimentos; acceso equitativo; innovación</t>
  </si>
  <si>
    <t>Premia innovaciones validadas que integren nutrición, sostenibilidad ambiental y acceso equitativo para transformar los sistemas alimentarios.</t>
  </si>
  <si>
    <t>Pueden participar universidades, institutos de investigación, ONG y empresas emergentes de todo el mundo. Las personas deben postular mediante una organización y se requiere prototipo o prueba de concepto.</t>
  </si>
  <si>
    <t>Próximo ciclo previsto del 15 de octubre al 15 de diciembre de 2026, sujeto a activación oficial. Seed Grants: USD 25,000; Growth Grants: USD 100,000; Grand Prizes: USD 250,000. No acepta ideas meramente teóricas.</t>
  </si>
  <si>
    <t>https://www.welthungerhilfe.org/global-food-system-challenge</t>
  </si>
  <si>
    <t>Welthungerhilfe / Seeding The Future Foundation; globalfoodsystemchallenge@welthungerhilfe.de</t>
  </si>
  <si>
    <t>La fecha 2026 se basa en el calendario recurrente publicado; confirmar la apertura efectiva antes de difundir o presentar.</t>
  </si>
  <si>
    <t>Sylvia Lane Mentor Fellowship</t>
  </si>
  <si>
    <t>Agricultural &amp; Applied Economics Association — AAEA Trust</t>
  </si>
  <si>
    <t>Según el plan de mentoría</t>
  </si>
  <si>
    <t>Sin restricción indicada</t>
  </si>
  <si>
    <t>Economía agrícola, alimentaria y de recursos</t>
  </si>
  <si>
    <t>Seguridad alimentaria; economía agrícola; políticas alimentarias; desarrollo rural; mentoría; mujeres</t>
  </si>
  <si>
    <t>Financia a mujeres en etapas iniciales de su carrera para desarrollar una colaboración de investigación y mentoría con una especialista de otra institución.</t>
  </si>
  <si>
    <t>Dirigida a mujeres en etapa inicial de carrera en economía agrícola, alimentaria o de recursos. Se prefieren nuevas relaciones de mentoría y la mentora debe pertenecer a una institución distinta.</t>
  </si>
  <si>
    <t>Requiere carta de presentación, CV, propuesta de investigación de hasta 3 páginas, recomendación, carta de intención de la mentora y presupuesto. La página menciona uso de fondos en 2026 pese al cierre de octubre; confirmar el cronograma con AAEA.</t>
  </si>
  <si>
    <t>https://www.aaea.org/trust/special-purpose-funds/sylvia-lane-mentorship-fund/call-for-applications</t>
  </si>
  <si>
    <t>https://pivot.proquest.com/funding_opps/dc186f8c-3a85-4d35-9c72-d1d75de8f0f3</t>
  </si>
  <si>
    <t>AAEA Trust; Jeanne Rhodes, jrhodes@aaea.org</t>
  </si>
  <si>
    <t>Incluida por su afinidad con seguridad alimentaria y economía agrícola; conviene validar la aparente inconsistencia temporal con AAEA.</t>
  </si>
  <si>
    <t>McCorkle Student Scholarship</t>
  </si>
  <si>
    <t>Economía agrícola y de alimentos</t>
  </si>
  <si>
    <t>Seguridad alimentaria; economía agrícola; precios; mercados; cadenas de valor; pobreza; desarrollo rural</t>
  </si>
  <si>
    <t>Apoya proyectos aplicados de estudiantes de posgrado sobre problemas económicos relacionados con la agricultura y los alimentos.</t>
  </si>
  <si>
    <t>Estudiante de posgrado con un proyecto aplicado y respaldo de su asesor o asesora académica.</t>
  </si>
  <si>
    <t>Puede cubrir recolección de datos, gastos de investigación, matrícula, cuotas, libros, suministros y equipo necesario. Requiere propuesta de hasta 5 páginas, presupuesto, carta del asesor y expediente académico. Confirmar expresamente la elegibilidad internacional.</t>
  </si>
  <si>
    <t>https://www.aaea.org/trust/special-purpose-funds/chester-o-mccorkle-jr-special-purpose-fund/mccorkle-scholarship-applications</t>
  </si>
  <si>
    <t>Adecuada para tesis de posgrado de la UNPHU; verificar con AAEA la participación de estudiantes fuera de Estados Unidos.</t>
  </si>
  <si>
    <t>Food Planet Prize</t>
  </si>
  <si>
    <t>Curt Bergfors Foundation</t>
  </si>
  <si>
    <t>Suecia</t>
  </si>
  <si>
    <t>Sistemas alimentarios sostenibles</t>
  </si>
  <si>
    <t>Seguridad alimentaria; sostenibilidad; clima; agricultura regenerativa; biodiversidad; cadenas alimentarias; innovación; escalamiento</t>
  </si>
  <si>
    <t>Reconoce iniciativas con capacidad demostrada para transformar el sistema alimentario y reducir su impacto ambiental.</t>
  </si>
  <si>
    <t>Acepta nominaciones propias o de terceros de personas y organizaciones comerciales o sin fines de lucro de cualquier país. Una iniciativa institucional de la UNPHU puede ser elegible.</t>
  </si>
  <si>
    <t>Las nominaciones se reciben durante todo el año. Como referencia del ciclo 2026, el premio principal fue de USD 1.5 millones y tres finalistas recibieron USD 150,000 cada uno; los montos de ciclos futuros no están garantizados.</t>
  </si>
  <si>
    <t>https://foodplanetprize.org/foundation/prize/nominate/</t>
  </si>
  <si>
    <t>Requiere una iniciativa validada y con potencial de impacto sistémico; no está concebido para una propuesta académica puramente teórica.</t>
  </si>
  <si>
    <t>IAFP Awards 2026</t>
  </si>
  <si>
    <t>International Association for Food Protection — IAFP</t>
  </si>
  <si>
    <t>Varía según el premio</t>
  </si>
  <si>
    <t>Inocuidad y protección de alimentos</t>
  </si>
  <si>
    <t>Inocuidad alimentaria; microbiología; enfermedades transmitidas por alimentos; laboratorio; innovación; salud pública</t>
  </si>
  <si>
    <t>Conjunto de reconocimientos de IAFP para investigación, innovación, liderazgo, educación y práctica profesional en inocuidad de los alimentos.</t>
  </si>
  <si>
    <t>En general, las personas nominadas deben ser miembros de IAFP, con excepciones según el premio; quien nomina no necesariamente debe ser miembro. Las ayudas de viaje estudiantil requieren membresía estudiantil.</t>
  </si>
  <si>
    <t>https://www.foodprotection.org/get-involved/awards/</t>
  </si>
  <si>
    <t>https://pivot.proquest.com/funding_opps/a7b90b20-be06-4f6d-84bc-d1d75de8f0f3</t>
  </si>
  <si>
    <t>Oportunidad complementaria de reconocimiento profesional y viaje, no una subvención para iniciar un proyecto. Mantener como antecedente y monitorear el próximo ciclo.</t>
  </si>
  <si>
    <t>2026-055</t>
  </si>
  <si>
    <t>2026-056</t>
  </si>
  <si>
    <t>2026-057</t>
  </si>
  <si>
    <t>2026-058</t>
  </si>
  <si>
    <t>2026-059</t>
  </si>
  <si>
    <t>2026-060</t>
  </si>
  <si>
    <t>Morris Animal Foundation Veterinary Student Scholars FY27 – Round 2</t>
  </si>
  <si>
    <t>Morris Animal Foundation</t>
  </si>
  <si>
    <t>Proyecto de investigación estudiantil tutorizado</t>
  </si>
  <si>
    <t>Estudiante de Veterinaria con mentor investigador</t>
  </si>
  <si>
    <t>Estudiante seleccionado por su institución</t>
  </si>
  <si>
    <t>Programas acreditados de Veterinaria; no se exige acreditación AVMA</t>
  </si>
  <si>
    <t>Investigación veterinaria estudiantil</t>
  </si>
  <si>
    <t>estudiantes; investigación mentorizada; perros; gatos; équidos; fauna silvestre; formación científica</t>
  </si>
  <si>
    <t>Ofrece experiencia de investigación clínica o básica tutorizada para avanzar la salud de perros, gatos, équidos o fauna silvestre.</t>
  </si>
  <si>
    <t>Estar matriculado en un programa acreditado de Medicina Veterinaria. No son elegibles estudiantes de programas combinados DVM/PhD. La institución debe seleccionar primero al candidato.</t>
  </si>
  <si>
    <t>Abre el 07/10/2026. Estipendio de hasta 5.500 USD por estudiante. Temática abierta en caninos, felinos, équidos y fauna silvestre. No cubre investigación sobre animales de producción.</t>
  </si>
  <si>
    <t>https://www.morrisanimalfoundation.org/veterinary-student-scholar-program</t>
  </si>
  <si>
    <t>Morris Animal Foundation – programa y calendario oficiales</t>
  </si>
  <si>
    <t>Morris Animal Foundation – Feline Annual RFP</t>
  </si>
  <si>
    <t>Investigador establecido; investigador emergente; postdoctorado</t>
  </si>
  <si>
    <t>Investigador o equipo con afiliación institucional</t>
  </si>
  <si>
    <t>Sin restricción, sujeto a sanciones económicas de Estados Unidos</t>
  </si>
  <si>
    <t>Salud felina</t>
  </si>
  <si>
    <t>gatos; medicina felina; enfermedades infecciosas; oncología; nutrición; diagnóstico; bienestar</t>
  </si>
  <si>
    <t>Convocatoria abierta temáticamente para proyectos que avancen la salud de los gatos mediante investigación científica rigurosa y humanitaria.</t>
  </si>
  <si>
    <t>Según modalidad: trayectoria investigadora para Established Investigator; nuevo profesorado para First Award; idea innovadora para Pilot Study; DVM/PhD o doctorando avanzado para Fellowship Training.</t>
  </si>
  <si>
    <t>Abre el 26/08/2026. Morris acepta investigadores de todo el mundo. No financia salud humana ni sanidad de animales de producción. La documentación y los montos de FY27 se publicarán en SmartSimple.</t>
  </si>
  <si>
    <t>https://www.morrisanimalfoundation.org/apply</t>
  </si>
  <si>
    <t>Morris Animal Foundation – calendario y FAQ oficiales</t>
  </si>
  <si>
    <t>Zebra Foundation for Veterinary Zoological Education Grants</t>
  </si>
  <si>
    <t>Zebra Foundation, con apoyo de EAZWV y BVZS</t>
  </si>
  <si>
    <t>Veterinarios y estudiantes de Veterinaria</t>
  </si>
  <si>
    <t>Medicina zoológica y salud de fauna silvestre</t>
  </si>
  <si>
    <t>fauna silvestre; zoológicos; medicina zoológica; mortalidad; epidemiología; formación veterinaria</t>
  </si>
  <si>
    <t>Apoya pequeños proyectos de laboratorio, campo o clínica que contribuyan a la salud zoológica o a la formación del solicitante en la disciplina.</t>
  </si>
  <si>
    <t>Veterinarios o estudiantes de Veterinaria. Son elegibles proyectos escritos durante prácticas en instituciones zoológicas e investigaciones que produzcan avances en medicina zoológica.</t>
  </si>
  <si>
    <t>Corte semestral. No cubre matrículas completas de maestría/doctorado, asistencia a conferencias ni prácticas sin un proyecto concreto. Prioriza a quienes inician su trayectoria en medicina zoológica.</t>
  </si>
  <si>
    <t>https://www.eazwv.org/page/grants</t>
  </si>
  <si>
    <t>EAZWV, BVZS y Zebra Foundation</t>
  </si>
  <si>
    <t>EveryCat Health Foundation – Fall 2026 Grant Cycle</t>
  </si>
  <si>
    <t>EveryCat Health Foundation</t>
  </si>
  <si>
    <t>Veterinarios; investigadores de salud felina</t>
  </si>
  <si>
    <t>Salud y medicina felina</t>
  </si>
  <si>
    <t>gatos domésticos; enfermedades felinas; diagnóstico; terapias; prevención; bienestar; FIP; genética; nutrición</t>
  </si>
  <si>
    <t>Financia proyectos con objetivos concretos y alcanzables que demuestren relevancia o beneficio para la salud de los gatos domésticos.</t>
  </si>
  <si>
    <t>Investigación sobre origen, diagnóstico, tratamiento o prevención de enfermedades felinas y sobre bienestar físico, mental o social. Se requiere cumplir las normas éticas y de bienestar animal aplicables.</t>
  </si>
  <si>
    <t>Cierre el 21/08/2026 a las 23:59 EDT. Solicitudes por encima de 50.000 USD no son consideradas. Resultados previstos para diciembre de 2026.</t>
  </si>
  <si>
    <t>https://everycat.smapply.io/prog/everycat_grant_fall_2026/</t>
  </si>
  <si>
    <t>EveryCat Health Foundation – RFP y portal oficial</t>
  </si>
  <si>
    <t>2026-061</t>
  </si>
  <si>
    <t>2026-062</t>
  </si>
  <si>
    <t>2026-063</t>
  </si>
  <si>
    <t>2026-064</t>
  </si>
  <si>
    <t>. Encaje muy alto para Veterinaria si cuenta con casos, muestras o población felina suficientes. Confirmar la recepción contractual de fondos en República Dominicana.</t>
  </si>
  <si>
    <t>Monto pequeño, pero buen instrumento semilla para estudiantes, levantamiento de datos, series de casos o pruebas piloto de fauna silvestre.</t>
  </si>
  <si>
    <t>Encaje muy alto. Preparar desde ahora equipo, hipótesis, población felina, aprobaciones éticas y borrador de prepropuesta.</t>
  </si>
  <si>
    <t>Confirmar que el programa de Medicina Veterinaria de UNPHU satisface la definición de acreditación de Morris y organizar una selección interna antes del 07/10.</t>
  </si>
  <si>
    <t>Harry Frank Guggenheim Distinguished Scholar Awards</t>
  </si>
  <si>
    <t>Harry Frank Guggenheim Foundation</t>
  </si>
  <si>
    <t>Persona individual; excepcionalmente equipo de 2–3 investigadores principales</t>
  </si>
  <si>
    <t>Derecho, violencia y políticas públicas</t>
  </si>
  <si>
    <t>violencia; criminología; justicia penal; derechos humanos; terrorismo; conflicto; violencia política; prevención</t>
  </si>
  <si>
    <t>Financia investigaciones sobre las causas, mecanismos y consecuencias de la violencia, con interés especial en resultados aplicables a políticas de reducción o prevención.</t>
  </si>
  <si>
    <t>No exige formalmente un grado académico ni afiliación institucional, pero no financia investigación realizada como requisito de un posgrado. Investigadores de la UNPHU pueden aplicar individualmente.</t>
  </si>
  <si>
    <t>Primera etapa mediante carta de interés. La propuesta completa vence el 11/09/2026 y se presenta únicamente por invitación. Los montos indicados son por año.</t>
  </si>
  <si>
    <t>https://www.hfg.org/distinguished-scholars/</t>
  </si>
  <si>
    <t>Prioridad alta para investigaciones jurídicas sobre violencia de género, criminalidad, justicia penal, violencia política, seguridad ciudadana o derechos humanos.</t>
  </si>
  <si>
    <t>Gerda Henkel Foundation: proyectos en Historia del Derecho</t>
  </si>
  <si>
    <t>Gerda Henkel Foundation</t>
  </si>
  <si>
    <t>Alemania</t>
  </si>
  <si>
    <t>Postdoctorado; Investigador establecido</t>
  </si>
  <si>
    <t>Institución académica; Persona individual</t>
  </si>
  <si>
    <t>Historia del Derecho</t>
  </si>
  <si>
    <t>historia jurídica; instituciones legales; derecho comparado histórico; archivos; teoría jurídica histórica</t>
  </si>
  <si>
    <t>Apoya proyectos de investigación en humanidades históricas, incluyendo expresamente la Historia del Derecho.</t>
  </si>
  <si>
    <t>La UNPHU puede postular como universidad o respaldar una solicitud de sus investigadores. La propuesta debe ser primordialmente histórica y no un estudio exclusivamente doctrinal del derecho vigente.</t>
  </si>
  <si>
    <t>Puede incluir personal, viajes y materiales. El procedimiento simplificado se aplica a solicitudes de hasta EUR 30,000; los proyectos regulares no publican un máximo general.</t>
  </si>
  <si>
    <t>https://www.gerda-henkel-stiftung.de/en/grants_projects</t>
  </si>
  <si>
    <t>https://pivot.proquest.com/funding_opps/1f4ad2e8-a821-4b73-b066-d1d75de8f0f3</t>
  </si>
  <si>
    <t>Muy adecuada para historia constitucional, historia judicial, derecho colonial y evolución de instituciones jurídicas dominicanas o caribeñas.</t>
  </si>
  <si>
    <t>Concurso Nacional de Libre Competencia 2026</t>
  </si>
  <si>
    <t>Comisión Nacional de Defensa de la Competencia – ProCompetencia</t>
  </si>
  <si>
    <t>Estudiante de grado; Estudiante de posgrado; Investigador emergente; Investigador establecido</t>
  </si>
  <si>
    <t>Persona individual o coautoría de máximo dos personas de la misma categoría</t>
  </si>
  <si>
    <t>Dominicanos, naturalizados o extranjeros residentes en República Dominicana</t>
  </si>
  <si>
    <t>Derecho de la competencia</t>
  </si>
  <si>
    <t>libre competencia; inteligencia artificial; economía digital; compras públicas; transparencia; sostenibilidad; crecimiento económico</t>
  </si>
  <si>
    <t>Premia ensayos jurídicos o interdisciplinarios sobre seis ejes de libre competencia, incluyendo inteligencia artificial, economía digital, transparencia y compras públicas.</t>
  </si>
  <si>
    <t>Son elegibles estudiantes activos de universidades acreditadas de la República Dominicana y profesionales con título de una institución acreditada. La UNPHU es compatible.</t>
  </si>
  <si>
    <t>La recepción de ensayos está abierta únicamente para quienes se registraron antes del 29/05/2026. Premios estudiantiles: DOP 75,000–150,000; profesionales: DOP 100,000–200,000.</t>
  </si>
  <si>
    <t>https://procompetencia.gob.do/concurso/2026/</t>
  </si>
  <si>
    <t>AALL Research Grants</t>
  </si>
  <si>
    <t>American Association of Law Libraries / LexisNexis</t>
  </si>
  <si>
    <t>Persona individual o equipo; fondos administrados por la institución</t>
  </si>
  <si>
    <t>Sin restricción expresa publicada</t>
  </si>
  <si>
    <t>Investigación jurídica y gestión de información legal</t>
  </si>
  <si>
    <t>bibliotecas jurídicas; acceso a justicia; información legal; investigación jurídica; colecciones; gestión documental</t>
  </si>
  <si>
    <t>Apoya proyectos relevantes para las profesiones que crean, difunden o utilizan información jurídica.</t>
  </si>
  <si>
    <t>Se da preferencia a miembros de AALL, pero la página oficial no establece la membresía como requisito absoluto. Investigadores de la UNPHU pueden participar sujetos a revisión administrativa.</t>
  </si>
  <si>
    <t>El total disponible del programa no supera USD 10,000 y puede distribuirse entre uno o varios proyectos. No permite recuperación de costos indirectos.</t>
  </si>
  <si>
    <t>https://www.aallnet.org/education-training/grants/research-grants/</t>
  </si>
  <si>
    <t>https://pivot.proquest.com/funding_opps/88bc3731-ca3d-4426-8c5a-d1d75de8f0f3</t>
  </si>
  <si>
    <t>American Association of Law Libraries</t>
  </si>
  <si>
    <t>Convocatoria 2026 cerrada. Verificar membresía AALL y las bases de la próxima edición antes de postular.</t>
  </si>
  <si>
    <t>CIUS Research Grants 2026–2027</t>
  </si>
  <si>
    <t>Canadian Institute of Ukrainian Studies – University of Alberta</t>
  </si>
  <si>
    <t>Persona individual o proyecto académico, según el subfondo</t>
  </si>
  <si>
    <t>Internacional; sujeto a condiciones del fondo específico</t>
  </si>
  <si>
    <t>Sin restricción general publicada</t>
  </si>
  <si>
    <t>Derecho y estudios ucranianos</t>
  </si>
  <si>
    <t>Ucrania; derecho comparado; derechos humanos; conflicto; justicia transicional; estudios jurídicos</t>
  </si>
  <si>
    <t>Financia investigación independiente sobre temas ucranianos o ucraniano-canadienses, incluyendo expresamente el campo del Derecho.</t>
  </si>
  <si>
    <t>Compatible únicamente si el proyecto jurídico tiene un componente central sobre Ucrania o la diáspora ucraniana. Deben revisarse las restricciones del subfondo seleccionado.</t>
  </si>
  <si>
    <t>Cubre costos directos; no financia costos indirectos, ingresos personales ni investigaciones requeridas para completar un grado. La mayoría de las ayudas históricas se sitúa entre CAD 1,500 y 3,500.</t>
  </si>
  <si>
    <t>https://www.ualberta.ca/en/canadian-institute-of-ukrainian-studies/funding-and-awards/cius-research-grants.html</t>
  </si>
  <si>
    <t>https://pivot.proquest.com/funding_opps/5965af03-0cce-48fa-b0ed-d1d75de8f0f3</t>
  </si>
  <si>
    <t>Convocatoria 2026 cerrada y de encaje temático muy específico. Reconfirmar el tope monetario en las bases de la próxima edición.</t>
  </si>
  <si>
    <t>ASLH Early Career Global Legal History Research Fellowships</t>
  </si>
  <si>
    <t>American Society for Legal History – ASLH</t>
  </si>
  <si>
    <t>Estudiante de posgrado; Postdoctorado; Investigador emergente</t>
  </si>
  <si>
    <t>Historia jurídica global y comparada</t>
  </si>
  <si>
    <t>historia del Derecho; derecho caribeño; derecho colonial; historia constitucional; instituciones jurídicas</t>
  </si>
  <si>
    <t>Otorga ayudas a investigadores de carrera temprana que publiquen en inglés y trabajen sobre historia jurídica fuera de Estados Unidos.</t>
  </si>
  <si>
    <t>Incluye doctorandos, recién graduados e investigadores que desarrollen su primera monografía o proyecto principal. La relevancia jurídica debe quedar claramente demostrada.</t>
  </si>
  <si>
    <t>La solicitud incluye propuesta de máximo 750 palabras, presupuesto y cronograma de una página, CV de una página y carta de recomendación.</t>
  </si>
  <si>
    <t>https://aslh.net/award/early-career-global-legal-history-research-fellowships/</t>
  </si>
  <si>
    <t>2026-065</t>
  </si>
  <si>
    <t>2026-066</t>
  </si>
  <si>
    <t>2026-067</t>
  </si>
  <si>
    <t>2026-068</t>
  </si>
  <si>
    <t>2026-069</t>
  </si>
  <si>
    <t>2026-070</t>
  </si>
  <si>
    <t>Canada</t>
  </si>
  <si>
    <t xml:space="preserve">Encaje excelente para historia jurídica dominicana, caribeña, colonial o transnacional. </t>
  </si>
  <si>
    <t xml:space="preserve">No financia la ejecución de un proyecto de investigación; es un premio académico. </t>
  </si>
  <si>
    <t>Targeted Grants to Institutes</t>
  </si>
  <si>
    <t>Simons Foundation</t>
  </si>
  <si>
    <t>Dirección científica e investigadores establecidos en física teórica, matemáticas o informática teórica</t>
  </si>
  <si>
    <t>Física teórica básica</t>
  </si>
  <si>
    <t>física teórica; física matemática; matemáticas; informática teórica; instituto científico; colaboración internacional</t>
  </si>
  <si>
    <t>Apoya institutos consolidados que fomenten investigación de frontera y contactos científicos internacionales.</t>
  </si>
  <si>
    <t>Instituciones extranjeras son elegibles. UNPHU debe postular mediante un instituto o centro establecido, con espacio físico y misión científica propia.</t>
  </si>
  <si>
    <t>No favorece un centro que funcione únicamente como punto de reunión para profesores locales. Requiere representante institucional autorizado. Inicio previsto entre junio y septiembre de 2027.</t>
  </si>
  <si>
    <t>https://www.simonsfoundation.org/grant/targeted-grants-to-institutes/</t>
  </si>
  <si>
    <t>Simons Foundation; mps@simonsfoundation.org</t>
  </si>
  <si>
    <t>Long Range Broad Agency Announcement for Navy and Marine Corps Science and Technology — N00014-25-S-B001</t>
  </si>
  <si>
    <t>Office of Naval Research</t>
  </si>
  <si>
    <t>Equipos universitarios y centros científicos con capacidades relevantes</t>
  </si>
  <si>
    <t>Sin restricción general; aplican controles de seguridad y exportación</t>
  </si>
  <si>
    <t>Física, materiales y ciencias oceánicas</t>
  </si>
  <si>
    <t>óptica; acústica; plasma; fluidos; materiales; energía; sensores; océano; atmósfera; modelización</t>
  </si>
  <si>
    <t>Convocatoria amplia para propuestas científicas y tecnológicas relacionadas con las necesidades de la Marina y el Cuerpo de Marines de Estados Unidos.</t>
  </si>
  <si>
    <t>Fuentes responsables de todo el mundo pueden presentar. UNPHU debe identificar primero el área técnica y su punto de contacto.</t>
  </si>
  <si>
    <t>La alineación con una necesidad programática es esencial. Se recomienda enviar previamente un white paper o contactar al responsable técnico.</t>
  </si>
  <si>
    <t>https://www.onr.navy.mil/work-with-us/funding-opportunities/fy25-long-range-broad-agency-announcement-baa-navy-and-marine</t>
  </si>
  <si>
    <t>Office of Naval Research; usn.ncr.onrghq.list.grantsproposals@us.navy.mil</t>
  </si>
  <si>
    <t>ICTP Support for Scientific Meetings in Developing Countries</t>
  </si>
  <si>
    <t>Abdus Salam International Centre for Theoretical Physics — ICTP</t>
  </si>
  <si>
    <t>Organizador científico y equipo académico de física o matemáticas</t>
  </si>
  <si>
    <t>Sin ciudadanía específica; se priorizan participantes de países en desarrollo de la región</t>
  </si>
  <si>
    <t>Física y matemáticas</t>
  </si>
  <si>
    <t>conferencia; taller; escuela; física; matemáticas; capacitación; cooperación regional</t>
  </si>
  <si>
    <t>Cofinancia reuniones presenciales de física o matemáticas realizadas en países en desarrollo.</t>
  </si>
  <si>
    <t>UNPHU puede ser institución anfitriona en República Dominicana. La solicitud debe estar firmada por el organizador y una autoridad institucional.</t>
  </si>
  <si>
    <t>Se exige una contribución local al menos equivalente. Los fondos se orientan principalmente a viajes; como máximo 40 % puede destinarse a alojamiento y manutención.</t>
  </si>
  <si>
    <t>https://www.ictp.it/home/other-opportunities-institutes</t>
  </si>
  <si>
    <t>ICTP External Activities Unit; oea@ictp.it</t>
  </si>
  <si>
    <t>HECAP Call 2026 — Short-Term Visits</t>
  </si>
  <si>
    <t>Estudiante de posgrado; Postdoctorado; Investigador emergente; Investigador establecido</t>
  </si>
  <si>
    <t>ICTP, Trieste, Italia</t>
  </si>
  <si>
    <t>Se alienta especialmente a científicos procedentes de países en desarrollo y que trabajen en ellos</t>
  </si>
  <si>
    <t>Física teórica de altas energías</t>
  </si>
  <si>
    <t>high-energy physics; cosmología; astropartículas; teoría; ICTP; visita científica</t>
  </si>
  <si>
    <t>Financia visitas cortas para desarrollar proyectos y colaboraciones con el grupo HECAP del ICTP.</t>
  </si>
  <si>
    <t>Investigadores de UNPHU en las áreas HECAP son compatibles. Estudiantes, posdoctorandos y jóvenes investigadores deben aportar recomendación.</t>
  </si>
  <si>
    <t>Requiere un plan breve de investigación. La página oficial no publica cuantías individuales predeterminadas.</t>
  </si>
  <si>
    <t>https://www.ictp.it/opportunity/hecap-call-2026-short-term-visits</t>
  </si>
  <si>
    <t>ICTP, grupo HECAP</t>
  </si>
  <si>
    <t>E. Leonard “Len” Jossem International Education Fund</t>
  </si>
  <si>
    <t>American Association of Physics Teachers</t>
  </si>
  <si>
    <t>Estudiante de posgrado; Postdoctorado; Profesor</t>
  </si>
  <si>
    <t>Internacional, especialmente colaboración entre Estados Unidos y países en desarrollo</t>
  </si>
  <si>
    <t>Sin restricción publicada; se exige membresía vigente de AAPT</t>
  </si>
  <si>
    <t>Enseñanza de la física</t>
  </si>
  <si>
    <t>educación en física; cooperación internacional; viaje; conferencia; formación docente</t>
  </si>
  <si>
    <t>Apoya actividades internacionales que fortalezcan la enseñanza y el aprendizaje de la física.</t>
  </si>
  <si>
    <t>Un investigador o docente de UNPHU puede solicitar individualmente si es miembro vigente de AAPT y la actividad encaja en los objetivos internacionales.</t>
  </si>
  <si>
    <t>No es una subvención institucional de investigación. La página indica recepción de solicitudes, pero no publica una fecha exacta independiente; confirmar el ciclo aplicable con AAPT.</t>
  </si>
  <si>
    <t>https://aapt.org/Programs/grants/Jossem.cfm</t>
  </si>
  <si>
    <t>https://pivot.proquest.com/funding_opps/2c77b23c-b7f7-4964-98d7-d1d75de8f0f3</t>
  </si>
  <si>
    <t>American Association of Physics Teachers; eo@aapt.org</t>
  </si>
  <si>
    <t>Outstanding Doctoral Thesis Research in Beam Physics Award</t>
  </si>
  <si>
    <t>American Physical Society</t>
  </si>
  <si>
    <t>Estudiante de posgrado o recién doctorado en física de haces</t>
  </si>
  <si>
    <t>Física de haces y aceleradores</t>
  </si>
  <si>
    <t>beam physics; aceleradores; tesis doctoral; instrumentación; partículas</t>
  </si>
  <si>
    <t>Reconoce trabajo doctoral sobresaliente en física de haces.</t>
  </si>
  <si>
    <t>El trabajo debe formar parte del doctorado y la defensa no puede haber ocurrido más de 18 meses antes del cierre. Solo se permite una nominación.</t>
  </si>
  <si>
    <t>Incluye USD 2,500, viaje de hasta USD 500 y exención de inscripción. La ficha también indica membresía vitalicia de APS y de la unidad correspondiente.</t>
  </si>
  <si>
    <t>https://www.aps.org/funding-recognition/award/beam-physics</t>
  </si>
  <si>
    <t>https://pivot.proquest.com/funding_opps/0eb241fc-9d07-41eb-99cf-d1d75de8f0f3</t>
  </si>
  <si>
    <t>Arctowski Medal</t>
  </si>
  <si>
    <t>National Academy of Sciences</t>
  </si>
  <si>
    <t>Investigador establecido con contribuciones sobresalientes en física solar</t>
  </si>
  <si>
    <t>Candidatos internacionales; membresía de NAS no requerida</t>
  </si>
  <si>
    <t>Física solar y relaciones Sol-Tierra</t>
  </si>
  <si>
    <t>solar physics; heliophysics; Sun-Earth; space weather; astronomía</t>
  </si>
  <si>
    <t>Reconoce contribuciones sobresalientes al estudio de la física solar y de las relaciones Sol-Tierra.</t>
  </si>
  <si>
    <t>Candidatos internacionales son elegibles. No se admite autonominación; el nominador no debe pertenecer a la institución de origen del candidato.</t>
  </si>
  <si>
    <t>El premio total es de USD 200,000: USD 100,000 personales y USD 100,000 para investigación en una institución seleccionada por la persona premiada.</t>
  </si>
  <si>
    <t>https://www.nasonline.org/award/arctowski-medal/</t>
  </si>
  <si>
    <t>https://pivot.proquest.com/funding_opps/0f620de5-7753-45d4-bfea-d1d75de8f0f3</t>
  </si>
  <si>
    <t>National Academy of Sciences; awards@nas.edu</t>
  </si>
  <si>
    <t>Nicholas Metropolis Award for Outstanding Doctoral Thesis Work in Computational Physics</t>
  </si>
  <si>
    <t>Estudiante de posgrado o recién doctorado en física computacional</t>
  </si>
  <si>
    <t>Cualquier país</t>
  </si>
  <si>
    <t>Física computacional</t>
  </si>
  <si>
    <t>simulación; métodos numéricos; modelización; tesis doctoral; computational physics</t>
  </si>
  <si>
    <t>Premia trabajo de tesis doctoral sobresaliente en física computacional.</t>
  </si>
  <si>
    <t>Es elegible un estudiante doctoral actual o anterior de cualquier país; la defensa no debe superar 18 meses antes del cierre y solo puede ser nominado una vez.</t>
  </si>
  <si>
    <t>La candidatura puede mantenerse durante dos ciclos si se recertifica. Incluye USD 2,500, viaje de hasta USD 1,500 y exención de inscripción.</t>
  </si>
  <si>
    <t>https://www.aps.org/funding-recognition/award/nicholas-metropolis</t>
  </si>
  <si>
    <t>https://pivot.proquest.com/funding_opps/9834f3a0-f8b7-4dc6-a486-d1d75de8f0f3</t>
  </si>
  <si>
    <t>2026-071</t>
  </si>
  <si>
    <t>2026-072</t>
  </si>
  <si>
    <t>2026-073</t>
  </si>
  <si>
    <t>2026-074</t>
  </si>
  <si>
    <t>2026-075</t>
  </si>
  <si>
    <t>2026-076</t>
  </si>
  <si>
    <t>2026-077</t>
  </si>
  <si>
    <t>2026-078</t>
  </si>
  <si>
    <t xml:space="preserve"> Compatible con candidatos individuales de UNPHU; no es subvención para un proyecto institucional.</t>
  </si>
  <si>
    <t xml:space="preserve"> Muy selectiva; publicar para perfiles sénior con trayectoria internacional fuerte en física solar.</t>
  </si>
  <si>
    <t xml:space="preserve"> Compatible con candidatos individuales vinculados a UNPHU; no financia un proyecto institucional.</t>
  </si>
  <si>
    <t>Mantener separada de las subvenciones de investigación; funciona principalmente como movilidad y educación.</t>
  </si>
  <si>
    <t>Alta pertinencia para física teórica; difundir inmediatamente por la proximidad del cierre.</t>
  </si>
  <si>
    <t>Compatibilidad alta; opción directa para organizar una escuela o taller internacional de física en UNPHU.</t>
  </si>
  <si>
    <t xml:space="preserve"> solo para grupos con temática claramente alineada y capacidad para cumplir los controles estadounidenses.</t>
  </si>
  <si>
    <t xml:space="preserve"> Alta cuantía; la compatibilidad depende de demostrar trayectoria, infraestructura y alcance internacional del centro postulante de UNPHU.</t>
  </si>
  <si>
    <t>Gilead Sciences: Giving in Latin America &amp; the Caribbean</t>
  </si>
  <si>
    <t>Gilead Sciences</t>
  </si>
  <si>
    <t>Hasta 12 meses</t>
  </si>
  <si>
    <t>Profesionales sanitarios; investigadores clínicos; docentes; especialistas en salud pública; responsables de programas comunitarios</t>
  </si>
  <si>
    <t>República Dominicana y otros países de América Latina y el Caribe</t>
  </si>
  <si>
    <t>Sin restricción publicada; prevalecen la ubicación del proyecto y la condición jurídica de la organización</t>
  </si>
  <si>
    <t>Salud</t>
  </si>
  <si>
    <t>VIH/SIDA; hepatitis B; hepatitis C; enfermedades hepáticas; diagnóstico; prevención; acceso a atención; educación sanitaria; equidad en salud</t>
  </si>
  <si>
    <t>Financia proyectos de alto impacto que mejoren el acceso a servicios sanitarios, reduzcan desigualdades, eduquen a pacientes y profesionales y fortalezcan comunidades. En América Latina y el Caribe se priorizan VIH y enfermedades hepáticas.</t>
  </si>
  <si>
    <t>La UNPHU puede solicitar como universidad sin fines de lucro, siempre que presente evidencia de su registro legal y proponga un proyecto ejecutado en República Dominicana dentro de las prioridades de Gilead.</t>
  </si>
  <si>
    <t>No se financian actividades ya realizadas. La solicitud debe presentarse antes de comenzar el proyecto y al menos seis semanas antes del inicio de la actividad. Es más adecuada para educación, detección, prevención, vinculación con servicios y fortalecimiento sanitario que para investigación básica independiente.</t>
  </si>
  <si>
    <t>https://www.gilead.com/responsibility/giving-at-gilead/corporate-giving/how-to-apply-for-funding/giving-in-latin-america-and-the-caribbean</t>
  </si>
  <si>
    <t>Gilead Corporate Giving; grants@gilead.com</t>
  </si>
  <si>
    <t>LeapSpace indicaba que la elegibilidad dominicana no estaba confirmada. La información oficial incluye expresamente a República Dominicana y reconoce a universidades entre las organizaciones financiadas. Debe verificarse que el proyecto no se presente como investigación biomédica básica pura.</t>
  </si>
  <si>
    <t>Environmental Research &amp; Education Foundation Research Grant</t>
  </si>
  <si>
    <t>Environmental Research &amp; Education Foundation — EREF</t>
  </si>
  <si>
    <t>Aproximadamente 24 meses; propuestas superiores a 36 meses requieren justificación especial</t>
  </si>
  <si>
    <t>Profesor; Postdoctorado; Investigador establecido</t>
  </si>
  <si>
    <t>Internacional; sin restricciones geográficas</t>
  </si>
  <si>
    <t>Ciencias ambientales y gestión sostenible de residuos</t>
  </si>
  <si>
    <t>residuos sólidos; gestión sostenible de materiales; reciclaje; economía circular; valorización de residuos; sostenibilidad; ingeniería ambiental</t>
  </si>
  <si>
    <t>Financia investigaciones relacionadas con prácticas sostenibles de gestión de residuos sólidos. El proceso comienza con una prepropuesta de dos páginas; las propuestas seleccionadas son invitadas a presentar una solicitud completa.</t>
  </si>
  <si>
    <t>La UNPHU es elegible directamente porque EREF admite instituciones estadounidenses y no estadounidenses sin restricciones geográficas. El investigador principal debe estar cualificado y ser experto en el tema propuesto.</t>
  </si>
  <si>
    <t>Las solicitudes solamente se reciben durante los 15 días anteriores a cada fecha límite. La prepropuesta debe presentarse en inglés y utilizar la plantilla oficial. Los estudiantes de posgrado no pueden actuar como investigadores principales. Los costes indirectos no pueden superar el 25 % de los costes directos.</t>
  </si>
  <si>
    <t>Environmental Research &amp; Education Foundation; proposals@erefdn.org</t>
  </si>
  <si>
    <t>LeapSpace la clasificó como una oportunidad sin fecha límite. La próxima fecha es el 1 de diciembre de 2026 y la ventana prevista de recepción comienza aproximadamente el 16 de noviembre. Las cuantías históricas no constituyen mínimos ni máximos oficiales de la ronda.</t>
  </si>
  <si>
    <t>IBRO/Dana Brain Awareness Week Grants 2027</t>
  </si>
  <si>
    <t>International Brain Research Organization — IBRO / Dana Foundation</t>
  </si>
  <si>
    <t>Bélgica / Estados Unidos</t>
  </si>
  <si>
    <t>Actividad o evento de divulgación durante 2027</t>
  </si>
  <si>
    <t>Neurocientíficos; docentes; comunicadores científicos; organizadores de actividades de divulgación sobre el cerebro</t>
  </si>
  <si>
    <t>República Dominicana; América Latina, África, Asia-Pacífico y Estados Unidos/Canadá; eventos fuera de Europa</t>
  </si>
  <si>
    <t>No especificada; el criterio principal es la ubicación de la actividad</t>
  </si>
  <si>
    <t>Neurociencias y divulgación científica</t>
  </si>
  <si>
    <t>neurociencia; cerebro; Brain Awareness Week; educación científica; comunicación pública; divulgación; participación comunitaria</t>
  </si>
  <si>
    <t>Apoya actividades destinadas a aumentar el conocimiento público sobre el cerebro y la investigación en neurociencias, dentro de la campaña internacional Brain Awareness Week.</t>
  </si>
  <si>
    <t>Un investigador, docente o equipo de la UNPHU puede presentar una actividad que se realice en República Dominicana. Debe identificarse claramente al organizador responsable y la vinculación institucional con la universidad.</t>
  </si>
  <si>
    <t>La próxima ventana será del 15 de septiembre al 15 de octubre de 2026 para eventos de 2027. No constituye financiación para ejecutar investigación científica, sino para actividades de divulgación y concienciación.</t>
  </si>
  <si>
    <t>https://ibro.org/grant/brain-awareness-week-grants/</t>
  </si>
  <si>
    <t>International Brain Research Organization / Dana Foundation</t>
  </si>
  <si>
    <t>LeapSpace la clasificó como activa y sin fecha límite. Actualmente está cerrada, pero tiene una próxima apertura confirmada para septiembre de 2026. Conviene confirmar en el formulario de la nueva ronda la figura jurídica que recibirá el pago.</t>
  </si>
  <si>
    <t>RNID Translational Research Grant 2026</t>
  </si>
  <si>
    <t>2026-079</t>
  </si>
  <si>
    <t>2026-080</t>
  </si>
  <si>
    <t>2026-081</t>
  </si>
  <si>
    <t>2026-082</t>
  </si>
  <si>
    <t>Royal National Institute for Deaf People — RNID</t>
  </si>
  <si>
    <t>Investigadores en audiología, otología, neurociencia auditiva, farmacología, toxicología, biología molecular, medicina traslacional y desarrollo de fármacos</t>
  </si>
  <si>
    <t>Universidades, institutos de investigación y pequeñas o medianas empresas</t>
  </si>
  <si>
    <t>Cualquier país, excepto China continental</t>
  </si>
  <si>
    <t>Tratamientos traslacionales para pérdida auditiva y tinnitus</t>
  </si>
  <si>
    <t>pérdida auditiva; tinnitus; terapias; fármacos; PK/PD; toxicología; reposicionamiento; dianas terapéuticas; investigación preclínica</t>
  </si>
  <si>
    <t>Apoya la transformación de descubrimientos científicos en tratamientos potenciales capaces de prevenir o restaurar la pérdida auditiva o reducir el tinnitus.</t>
  </si>
  <si>
    <t>Pueden aplicar instituciones académicas, institutos de investigación y pymes de cualquier país, salvo China continental. La solicitud debe ser aprobada por un representante autorizado de la institución antes de enviarse.</t>
  </si>
  <si>
    <t>Requiere una terapia novedosa claramente definida, datos preliminares o prueba de concepto y un plan experimental viable. Puede financiar optimización de candidatos, estudios PK/PD, seguridad y toxicología, reposicionamiento de medicamentos y validación de dianas terapéuticas. No admite investigación básica sin una terapia específica, dispositivos médicos, software, optimización de protocolos clínicos ni estudios de servicios de salud. Decisión final prevista para junio de 2027.</t>
  </si>
  <si>
    <t>https://rnid.org.uk/what-we-do/biomedical-research/apply-for-funding/translational-grant/?</t>
  </si>
  <si>
    <t>RNID Biomedical Research — Translational Research Grant Team; correo de la convocatoria: trg@rnid.org.uk</t>
  </si>
  <si>
    <t>Compatible con la UNPHU a nivel institucional. Publicar únicamente si existe o puede conformarse un equipo con experiencia biomédica en audición o tinnitus, acceso a infraestructura experimental y datos preliminares. La convocatoria no resulta adecuada para proyectos sobre inclusión educativa, empleo de personas sordas, dispositivos auditivos, aplicaciones informáticas o prestación de servicios de audiología. Se recomienda validar anticipadamente con RNID el grado de madurez tecnológica del proyecto.</t>
  </si>
  <si>
    <t>Fund for Innovation in Development — Open Call for Proposals</t>
  </si>
  <si>
    <t>Fund for Innovation in Development — FID</t>
  </si>
  <si>
    <t>Francia</t>
  </si>
  <si>
    <t>Según la etapa, madurez y plan de ejecución del proyecto</t>
  </si>
  <si>
    <t>Subvención de investigación; evaluación de impacto; escalamiento</t>
  </si>
  <si>
    <t>Investigadores en educación, evaluación de impacto, economía de la educación, discapacidad, diseño universal, tecnologías educativas, traducción accesible, interpretación, lingüística aplicada y políticas públicas</t>
  </si>
  <si>
    <t>Universidad; centro de investigación; ONG; empresa; institución pública</t>
  </si>
  <si>
    <t>Países de ingresos bajos y medios elegibles para ayuda oficial al desarrollo</t>
  </si>
  <si>
    <t>Sin restricción; depende de la organización y del país de ejecución</t>
  </si>
  <si>
    <t>Innovación educativa inclusiva</t>
  </si>
  <si>
    <t>innovación educativa; educación inclusiva; evaluación de impacto; accesibilidad; discapacidad; aprendizaje; permanencia estudiantil; traducción accesible; lengua de señas; tecnologías de apoyo</t>
  </si>
  <si>
    <t>Financia el pilotaje, la evaluación rigurosa y el escalamiento de soluciones innovadoras que reduzcan desigualdades. Una propuesta de la UNPHU debe demostrar cómo la intervención mejora resultados educativos o sociales y cómo puede ampliarse de forma costo-efectiva.</t>
  </si>
  <si>
    <t>Puede aplicar cualquier organización legalmente constituida, incluidas universidades y centros de investigación. El proyecto debe ejecutarse en un país elegible para ayuda oficial al desarrollo; la República Dominicana es elegible.</t>
  </si>
  <si>
    <t>Etapa piloto: hasta EUR 200,000. Evaluación de impacto: hasta EUR 1.5 millones. Escalamiento: hasta EUR 4 millones. Las etapas de política pública están reservadas a entidades públicas; la UNPHU puede participar como socio técnico o de investigación.</t>
  </si>
  <si>
    <t>https://fundinnovation.dev/en/launch-project</t>
  </si>
  <si>
    <t>Compatible para solicitud directa de la UNPHU. Requiere una intervención concreta, teoría de cambio, indicadores de impacto, costo-efectividad y potencial de escalamiento.</t>
  </si>
  <si>
    <t>Evaluación de las Políticas Públicas de Inclusión Educativa</t>
  </si>
  <si>
    <t>Instituto Dominicano de Evaluación e Investigación de la Calidad Educativa — IDEICE / MINERD</t>
  </si>
  <si>
    <t>8 meses</t>
  </si>
  <si>
    <t>Contrato para evaluación e investigación aplicada</t>
  </si>
  <si>
    <t>Investigadores en educación inclusiva, educación especial, evaluación de políticas públicas, estadística, metodología cualitativa y cuantitativa, discapacidad y gestión educativa</t>
  </si>
  <si>
    <t>Universidad; centro de investigación; ONG; empresa; consorcio; persona física</t>
  </si>
  <si>
    <t>Entidades y profesionales nacionales o extranjeros sujetos a los requisitos de contratación pública dominicana</t>
  </si>
  <si>
    <t>Evaluación de políticas públicas de inclusión educativa</t>
  </si>
  <si>
    <t>educación inclusiva; necesidades específicas de apoyo educativo; discapacidad; políticas públicas; centros educativos; prácticas pedagógicas; barreras; accesibilidad</t>
  </si>
  <si>
    <t>Evaluación del diseño, la implementación y los resultados de las políticas públicas de inclusión educativa en el sistema preuniversitario dominicano, orientada a producir evidencia y recomendaciones para mejorar su efectividad.</t>
  </si>
  <si>
    <t>Podían participar universidades, centros de investigación y otras entidades con experiencia demostrada. Las organizaciones debían estar legalmente constituidas, tener capacidad para contratar con el Estado dominicano, RPE activo y cumplimiento tributario y de seguridad social.</t>
  </si>
  <si>
    <t>Presupuesto máximo de RD$2.5 millones, incluidos costos directos e indirectos, y ejecución prevista de ocho meses. La investigación se desarrollaría en regiones educativas seleccionadas.</t>
  </si>
  <si>
    <t>https://ideice.gob.do/programas/fondos-concursables-de-investigaciones</t>
  </si>
  <si>
    <t>IDEICE / MINERD</t>
  </si>
  <si>
    <t>Muy compatible con la UNPHU, pero cerrada. Conviene monitorear futuras contrataciones y mantener actualizados el RPE, las certificaciones fiscales, las referencias contractuales y los expedientes del equipo investigador.</t>
  </si>
  <si>
    <t>Research-Practice Partnerships: Collaborative Research for Educational Change</t>
  </si>
  <si>
    <t>Hasta 3 años</t>
  </si>
  <si>
    <t>Subvención para asociación investigación-práctica</t>
  </si>
  <si>
    <t>Investigadores educativos; docentes; gestores; responsables de políticas públicas; especialistas en discapacidad; organizaciones comunitarias y profesionales de servicios de apoyo</t>
  </si>
  <si>
    <t>Alianza entre una organización investigadora y una o más organizaciones de práctica o política educativa</t>
  </si>
  <si>
    <t>Sin restricción expresa; aplican las condiciones institucionales</t>
  </si>
  <si>
    <t>Investigación educativa colaborativa</t>
  </si>
  <si>
    <t>research-practice partnership; educación inclusiva; discapacidad; políticas educativas; colaboración; escuelas; universidades; investigación participativa</t>
  </si>
  <si>
    <t>Financia investigaciones desarrolladas mediante alianzas duraderas entre investigadores, profesionales y responsables de políticas para responder a problemas educativos relevantes. Puede aplicarse a una colaboración sobre inclusión de estudiantes con discapacidades auditivas y visuales.</t>
  </si>
  <si>
    <t>La entidad administradora debe ser pública o sin fines de lucro. Se aceptan universidades extranjeras con condición equivalente. Debe existir una asociación auténtica entre investigación y práctica, representada en el liderazgo del proyecto.</t>
  </si>
  <si>
    <t>Financia hasta USD 400,000 durante un máximo de tres años y permite hasta 15 % de costos indirectos. Se favorecen alianzas sustantivas y duraderas, no asociaciones creadas únicamente para presentar la solicitud.</t>
  </si>
  <si>
    <t>https://www.spencer.org/grant_types/research-practice-partnerships</t>
  </si>
  <si>
    <t>Spencer Foundation — Research-Practice Partnerships</t>
  </si>
  <si>
    <t>Compatible para una futura edición. La UNPHU debería formalizar una alianza estable con IDEICE, MINERD, centros educativos, CONADIS u organizaciones representativas de personas sordas y ciegas.</t>
  </si>
  <si>
    <t>2026-083</t>
  </si>
  <si>
    <t>2026-084</t>
  </si>
  <si>
    <t>2026-085</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</si>
</sst>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yyyy\-mm\-dd"/>
  </numFmts>
  <fonts count="5">
    <font>
      <sz val="11"/>
      <name val="Carlito"/>
    </font>
    <font>
      <b/>
      <sz val="11"/>
      <color rgb="FFFFFFFF"/>
      <name val="Carlito"/>
    </font>
    <font>
      <i/>
      <sz val="11"/>
      <color rgb="FF4A4A4A"/>
      <name val="Carlito"/>
    </font>
    <font>
      <b/>
      <sz val="16"/>
      <color rgb="FFFFFFFF"/>
      <name val="Carlito"/>
    </font>
    <font>
      <u/>
      <sz val="11"/>
      <color theme="10"/>
      <name val="Carlito"/>
    </font>
  </fonts>
  <fills count="5">
    <fill>
      <patternFill patternType="none"/>
    </fill>
    <fill>
      <patternFill patternType="gray125"/>
    </fill>
    <fill>
      <patternFill patternType="solid">
        <fgColor rgb="FF006B4F"/>
      </patternFill>
    </fill>
    <fill>
      <patternFill patternType="solid">
        <fgColor rgb="FFF6F0DD"/>
      </patternFill>
    </fill>
    <fill>
      <patternFill patternType="solid">
        <fgColor rgb="FFC8A951"/>
      </patternFill>
    </fill>
  </fills>
  <borders count="1">
    <border>
      <left/>
      <right/>
      <top/>
      <bottom/>
      <diagonal/>
    </border>
  </borders>
  <cellStyleXfs count="2">
    <xf numFmtId="0" fontId="0" fillId="0" borderId="0"/>
    <xf numFmtId="0" fontId="4" fillId="0" borderId="0" applyNumberFormat="0" applyFill="0" applyBorder="0" applyAlignment="0" applyProtection="0"/>
  </cellStyleXfs>
  <cellXfs count="16">
    <xf numFmtId="0" fontId="0" fillId="0" borderId="0" xfId="0"/>
    <xf numFmtId="0" fontId="1" fillId="2" borderId="0" xfId="0" applyNumberFormat="1" applyFont="1" applyFill="1" applyBorder="1" applyAlignment="1">
      <alignment horizontal="center" wrapText="1"/>
    </xf>
    <xf numFmtId="0" fontId="1" fillId="2" borderId="0" xfId="0" applyNumberFormat="1" applyFont="1" applyFill="1" applyBorder="1" applyAlignment="1">
      <alignment horizontal="center" vertical="center" wrapText="1"/>
    </xf>
    <xf numFmtId="0" fontId="2" fillId="3" borderId="0" xfId="0" applyNumberFormat="1" applyFont="1" applyFill="1" applyBorder="1" applyAlignment="1">
      <alignment vertical="top" wrapText="1"/>
    </xf>
    <xf numFmtId="0" fontId="0" fillId="0" borderId="0" xfId="0" applyNumberFormat="1" applyFont="1" applyFill="1" applyBorder="1" applyAlignment="1">
      <alignment vertical="top" wrapText="1"/>
    </xf>
    <xf numFmtId="164" fontId="2" fillId="3" borderId="0" xfId="0" applyNumberFormat="1" applyFont="1" applyFill="1" applyBorder="1" applyAlignment="1">
      <alignment vertical="top" wrapText="1"/>
    </xf>
    <xf numFmtId="164" fontId="0" fillId="0" borderId="0" xfId="0" applyNumberFormat="1" applyFont="1" applyFill="1" applyBorder="1" applyAlignment="1">
      <alignment vertical="top" wrapText="1"/>
    </xf>
    <xf numFmtId="4" fontId="2" fillId="3" borderId="0" xfId="0" applyNumberFormat="1" applyFont="1" applyFill="1" applyBorder="1" applyAlignment="1">
      <alignment vertical="top" wrapText="1"/>
    </xf>
    <xf numFmtId="4" fontId="0" fillId="0" borderId="0" xfId="0" applyNumberFormat="1" applyFont="1" applyFill="1" applyBorder="1" applyAlignment="1">
      <alignment vertical="top" wrapText="1"/>
    </xf>
    <xf numFmtId="0" fontId="1" fillId="4" borderId="0" xfId="0" applyNumberFormat="1" applyFont="1" applyFill="1" applyBorder="1" applyAlignment="1">
      <alignment horizontal="center" vertical="top" wrapText="1"/>
    </xf>
    <xf numFmtId="0" fontId="0" fillId="0" borderId="0" xfId="0" applyAlignment="1">
      <alignment wrapText="1"/>
    </xf>
    <xf numFmtId="0" fontId="4" fillId="3" borderId="0" xfId="1" applyNumberFormat="1" applyFill="1" applyBorder="1" applyAlignment="1">
      <alignment vertical="top" wrapText="1"/>
    </xf>
    <xf numFmtId="0" fontId="0" fillId="0" borderId="0" xfId="0" applyAlignment="1">
      <alignment vertical="center" wrapText="1"/>
    </xf>
    <xf numFmtId="0" fontId="4" fillId="0" borderId="0" xfId="1" applyNumberFormat="1" applyFill="1" applyBorder="1" applyAlignment="1">
      <alignment vertical="top" wrapText="1"/>
    </xf>
    <xf numFmtId="0" fontId="0" fillId="0" borderId="0" xfId="0" applyFont="1" applyAlignment="1">
      <alignment vertical="center" wrapText="1"/>
    </xf>
    <xf numFmtId="0" fontId="3" fillId="2" borderId="0" xfId="0" applyNumberFormat="1" applyFont="1" applyFill="1" applyBorder="1" applyAlignment="1">
      <alignment horizontal="center" vertical="center"/>
    </xf>
  </cellXfs>
  <cellStyles count="2">
    <cellStyle name="Hipervínculo" xfId="1" builtinId="8"/>
    <cellStyle name="Normal" xfId="0" builtinId="0"/>
  </cellStyles>
  <dxfs count="3">
    <dxf>
      <font>
        <color rgb="FF274E13"/>
      </font>
      <fill>
        <patternFill patternType="solid">
          <bgColor rgb="FFD9EAD3"/>
        </patternFill>
      </fill>
    </dxf>
    <dxf>
      <font>
        <color rgb="FF9C0006"/>
      </font>
      <fill>
        <patternFill patternType="solid">
          <bgColor rgb="FFF4CCCC"/>
        </patternFill>
      </fill>
    </dxf>
    <dxf>
      <font>
        <b/>
      </font>
      <fill>
        <patternFill patternType="solid">
          <bgColor rgb="FFFFF2CC"/>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worksheet" Target="worksheets/sheet3.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TablaOportunidades" displayName="TablaOportunidades" ref="A1:AD499">
  <tableColumns count="30">
    <tableColumn id="1" xr3:uid="{00000000-0010-0000-0000-000001000000}" name="ID"/>
    <tableColumn id="2" xr3:uid="{00000000-0010-0000-0000-000002000000}" name="Publicar"/>
    <tableColumn id="3" xr3:uid="{00000000-0010-0000-0000-000003000000}" name="Título de la oportunidad"/>
    <tableColumn id="4" xr3:uid="{00000000-0010-0000-0000-000004000000}" name="Financiador"/>
    <tableColumn id="5" xr3:uid="{00000000-0010-0000-0000-000005000000}" name="Tipo de financiador"/>
    <tableColumn id="6" xr3:uid="{00000000-0010-0000-0000-000006000000}" name="País del financiador"/>
    <tableColumn id="7" xr3:uid="{00000000-0010-0000-0000-000007000000}" name="Fecha límite"/>
    <tableColumn id="8" xr3:uid="{00000000-0010-0000-0000-000008000000}" name="Tipo de fecha"/>
    <tableColumn id="9" xr3:uid="{00000000-0010-0000-0000-000009000000}" name="Tipo de entrega"/>
    <tableColumn id="10" xr3:uid="{00000000-0010-0000-0000-00000A000000}" name="Estado manual"/>
    <tableColumn id="11" xr3:uid="{00000000-0010-0000-0000-00000B000000}" name="Estado calculado"/>
    <tableColumn id="12" xr3:uid="{00000000-0010-0000-0000-00000C000000}" name="Monto mínimo"/>
    <tableColumn id="13" xr3:uid="{00000000-0010-0000-0000-00000D000000}" name="Monto máximo"/>
    <tableColumn id="14" xr3:uid="{00000000-0010-0000-0000-00000E000000}" name="Moneda"/>
    <tableColumn id="15" xr3:uid="{00000000-0010-0000-0000-00000F000000}" name="Duración"/>
    <tableColumn id="16" xr3:uid="{00000000-0010-0000-0000-000010000000}" name="Tipo de financiamiento"/>
    <tableColumn id="17" xr3:uid="{00000000-0010-0000-0000-000011000000}" name="Perfil profesional"/>
    <tableColumn id="18" xr3:uid="{00000000-0010-0000-0000-000012000000}" name="Tipo de solicitante"/>
    <tableColumn id="19" xr3:uid="{00000000-0010-0000-0000-000013000000}" name="Ubicación elegible"/>
    <tableColumn id="20" xr3:uid="{00000000-0010-0000-0000-000014000000}" name="Ciudadanía elegible"/>
    <tableColumn id="21" xr3:uid="{00000000-0010-0000-0000-000015000000}" name="Área temática principal"/>
    <tableColumn id="22" xr3:uid="{00000000-0010-0000-0000-000016000000}" name="Palabras clave"/>
    <tableColumn id="23" xr3:uid="{00000000-0010-0000-0000-000017000000}" name="Resumen"/>
    <tableColumn id="24" xr3:uid="{00000000-0010-0000-0000-000018000000}" name="Elegibilidad"/>
    <tableColumn id="25" xr3:uid="{00000000-0010-0000-0000-000019000000}" name="Notas de la convocatoria"/>
    <tableColumn id="26" xr3:uid="{00000000-0010-0000-0000-00001A000000}" name="Enlace oficial"/>
    <tableColumn id="27" xr3:uid="{00000000-0010-0000-0000-00001B000000}" name="Enlace Pivot-RP"/>
    <tableColumn id="28" xr3:uid="{00000000-0010-0000-0000-00001C000000}" name="Fecha de verificación"/>
    <tableColumn id="29" xr3:uid="{00000000-0010-0000-0000-00001D000000}" name="Fuente / responsable"/>
    <tableColumn id="30" xr3:uid="{00000000-0010-0000-0000-00001E000000}" name="Observaciones internas"/>
  </tableColumns>
  <tableStyleInfo name="TableStyleMedium2"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8" Type="http://schemas.openxmlformats.org/officeDocument/2006/relationships/hyperlink" Target="https://aria.org.uk/funding-opportunities" TargetMode="External"/><Relationship Id="rId13" Type="http://schemas.openxmlformats.org/officeDocument/2006/relationships/hyperlink" Target="https://pivot.proquest.com/funding_opps/95edca90-0c52-429e-8e63-d1d75de8f0f3" TargetMode="External"/><Relationship Id="rId18" Type="http://schemas.openxmlformats.org/officeDocument/2006/relationships/hyperlink" Target="https://pivot.proquest.com/funding_opps/3dae87f6-c1a1-4ce2-9d84-d1d75de8f0f3" TargetMode="External"/><Relationship Id="rId3" Type="http://schemas.openxmlformats.org/officeDocument/2006/relationships/hyperlink" Target="https://mescyt.gob.do/wp-content/uploads/2026/03/Llamado-Convocatoria-FONDOCYT-2025-2026-2.pdf" TargetMode="External"/><Relationship Id="rId21" Type="http://schemas.openxmlformats.org/officeDocument/2006/relationships/printerSettings" Target="../printerSettings/printerSettings1.bin"/><Relationship Id="rId7" Type="http://schemas.openxmlformats.org/officeDocument/2006/relationships/hyperlink" Target="https://pivot.proquest.com/funding_opps/7c1ebfe4-9115-40a7-af84-f2f1552f7976" TargetMode="External"/><Relationship Id="rId12" Type="http://schemas.openxmlformats.org/officeDocument/2006/relationships/hyperlink" Target="https://research.ibm.com/labs/yorktown-heights/ibm-academic-awards-program" TargetMode="External"/><Relationship Id="rId17" Type="http://schemas.openxmlformats.org/officeDocument/2006/relationships/hyperlink" Target="https://www.lafoundation.org/what-we-do/leadership/laf-fellowship?" TargetMode="External"/><Relationship Id="rId2" Type="http://schemas.openxmlformats.org/officeDocument/2006/relationships/hyperlink" Target="https://openai.com/form/researcher-access-program/" TargetMode="External"/><Relationship Id="rId16" Type="http://schemas.openxmlformats.org/officeDocument/2006/relationships/hyperlink" Target="https://www.aia.org/advocacy/research/grants-fellowships/upjohn-research-initiative?utm_source=chatgpt.com" TargetMode="External"/><Relationship Id="rId20" Type="http://schemas.openxmlformats.org/officeDocument/2006/relationships/hyperlink" Target="https://rnid.org.uk/what-we-do/biomedical-research/apply-for-funding/translational-grant/?" TargetMode="External"/><Relationship Id="rId1" Type="http://schemas.openxmlformats.org/officeDocument/2006/relationships/hyperlink" Target="https://www.spencer.org/grant_types/vision-grants" TargetMode="External"/><Relationship Id="rId6" Type="http://schemas.openxmlformats.org/officeDocument/2006/relationships/hyperlink" Target="https://www.wider.unu.edu/opportunity/effects-artificial-intelligence-firm-and-labour-market-outcomes" TargetMode="External"/><Relationship Id="rId11" Type="http://schemas.openxmlformats.org/officeDocument/2006/relationships/hyperlink" Target="https://pivot.proquest.com/funding_opps/f6991b86-5e72-4139-9013-f2f1552f7976" TargetMode="External"/><Relationship Id="rId5" Type="http://schemas.openxmlformats.org/officeDocument/2006/relationships/hyperlink" Target="https://pivot.proquest.com/funding_opps/eab18edd-bc1f-4f00-b3ad-f2f1552f7976" TargetMode="External"/><Relationship Id="rId15" Type="http://schemas.openxmlformats.org/officeDocument/2006/relationships/hyperlink" Target="https://erasmus-plus.ec.europa.eu/funding-opportunities/capacity-building-in-higher-education-caribbean" TargetMode="External"/><Relationship Id="rId10" Type="http://schemas.openxmlformats.org/officeDocument/2006/relationships/hyperlink" Target="https://coefficientgiving.org/funds/" TargetMode="External"/><Relationship Id="rId19" Type="http://schemas.openxmlformats.org/officeDocument/2006/relationships/hyperlink" Target="https://www.grahamfoundation.org/grant_programs/?mode=individual" TargetMode="External"/><Relationship Id="rId4" Type="http://schemas.openxmlformats.org/officeDocument/2006/relationships/hyperlink" Target="https://impactchallenge.withgoogle.com/genaiaccelerator" TargetMode="External"/><Relationship Id="rId9" Type="http://schemas.openxmlformats.org/officeDocument/2006/relationships/hyperlink" Target="https://research.google/programs-and-events/phd-fellowship/" TargetMode="External"/><Relationship Id="rId14" Type="http://schemas.openxmlformats.org/officeDocument/2006/relationships/hyperlink" Target="https://ec.europa.eu/info/funding-tenders/opportunities/portal/screen/opportunities/calls-for-proposals?callIdentifier=HORIZON-NEB-2026-01" TargetMode="External"/><Relationship Id="rId22"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D499"/>
  <sheetViews>
    <sheetView tabSelected="1" topLeftCell="X83" workbookViewId="0">
      <selection activeCell="A83" sqref="A83:A86"/>
    </sheetView>
  </sheetViews>
  <sheetFormatPr baseColWidth="10" defaultColWidth="9" defaultRowHeight="14.25"/>
  <cols>
    <col min="1" max="1" width="12" customWidth="1"/>
    <col min="2" max="2" width="10" customWidth="1"/>
    <col min="3" max="3" width="43" customWidth="1"/>
    <col min="4" max="4" width="24" customWidth="1"/>
    <col min="5" max="5" width="20" customWidth="1"/>
    <col min="6" max="6" width="18" customWidth="1"/>
    <col min="7" max="7" width="18.375" customWidth="1"/>
    <col min="8" max="8" width="14" customWidth="1"/>
    <col min="9" max="9" width="18" customWidth="1"/>
    <col min="10" max="10" width="15" customWidth="1"/>
    <col min="11" max="11" width="18" customWidth="1"/>
    <col min="12" max="13" width="14" customWidth="1"/>
    <col min="14" max="14" width="10" customWidth="1"/>
    <col min="15" max="15" width="14" customWidth="1"/>
    <col min="16" max="16" width="22" customWidth="1"/>
    <col min="17" max="18" width="28" customWidth="1"/>
    <col min="19" max="19" width="22" customWidth="1"/>
    <col min="20" max="20" width="20" customWidth="1"/>
    <col min="21" max="21" width="22" customWidth="1"/>
    <col min="22" max="22" width="28" customWidth="1"/>
    <col min="23" max="23" width="40" customWidth="1"/>
    <col min="24" max="24" width="42" customWidth="1"/>
    <col min="25" max="25" width="38" customWidth="1"/>
    <col min="26" max="26" width="34" customWidth="1"/>
    <col min="27" max="27" width="30" customWidth="1"/>
    <col min="28" max="28" width="16" customWidth="1"/>
    <col min="29" max="29" width="24" customWidth="1"/>
    <col min="30" max="30" width="32" customWidth="1"/>
  </cols>
  <sheetData>
    <row r="1" spans="1:30" ht="42" customHeight="1">
      <c r="A1" s="2" t="s">
        <v>0</v>
      </c>
      <c r="B1" s="2" t="s">
        <v>1</v>
      </c>
      <c r="C1" s="2" t="s">
        <v>2</v>
      </c>
      <c r="D1" s="2" t="s">
        <v>3</v>
      </c>
      <c r="E1" s="2" t="s">
        <v>4</v>
      </c>
      <c r="F1" s="2" t="s">
        <v>5</v>
      </c>
      <c r="G1" s="2" t="s">
        <v>6</v>
      </c>
      <c r="H1" s="2" t="s">
        <v>7</v>
      </c>
      <c r="I1" s="2" t="s">
        <v>8</v>
      </c>
      <c r="J1" s="2" t="s">
        <v>9</v>
      </c>
      <c r="K1" s="2" t="s">
        <v>10</v>
      </c>
      <c r="L1" s="2" t="s">
        <v>11</v>
      </c>
      <c r="M1" s="2" t="s">
        <v>12</v>
      </c>
      <c r="N1" s="2" t="s">
        <v>13</v>
      </c>
      <c r="O1" s="2" t="s">
        <v>14</v>
      </c>
      <c r="P1" s="2" t="s">
        <v>15</v>
      </c>
      <c r="Q1" s="2" t="s">
        <v>16</v>
      </c>
      <c r="R1" s="2" t="s">
        <v>17</v>
      </c>
      <c r="S1" s="2" t="s">
        <v>18</v>
      </c>
      <c r="T1" s="2" t="s">
        <v>19</v>
      </c>
      <c r="U1" s="2" t="s">
        <v>20</v>
      </c>
      <c r="V1" s="2" t="s">
        <v>21</v>
      </c>
      <c r="W1" s="2" t="s">
        <v>22</v>
      </c>
      <c r="X1" s="2" t="s">
        <v>23</v>
      </c>
      <c r="Y1" s="2" t="s">
        <v>24</v>
      </c>
      <c r="Z1" s="2" t="s">
        <v>25</v>
      </c>
      <c r="AA1" s="2" t="s">
        <v>26</v>
      </c>
      <c r="AB1" s="2" t="s">
        <v>27</v>
      </c>
      <c r="AC1" s="2" t="s">
        <v>28</v>
      </c>
      <c r="AD1" s="2" t="s">
        <v>29</v>
      </c>
    </row>
    <row r="2" spans="1:30" ht="85.5">
      <c r="A2" s="3" t="s">
        <v>217</v>
      </c>
      <c r="B2" s="3" t="s">
        <v>121</v>
      </c>
      <c r="C2" s="3" t="s">
        <v>122</v>
      </c>
      <c r="D2" s="3" t="s">
        <v>123</v>
      </c>
      <c r="E2" s="3" t="s">
        <v>31</v>
      </c>
      <c r="F2" s="3" t="s">
        <v>32</v>
      </c>
      <c r="G2" s="5">
        <v>46246</v>
      </c>
      <c r="H2" s="3" t="s">
        <v>33</v>
      </c>
      <c r="I2" s="3" t="s">
        <v>49</v>
      </c>
      <c r="J2" s="3" t="s">
        <v>35</v>
      </c>
      <c r="K2" s="3" t="str">
        <f t="shared" ref="K2:K17" ca="1" si="0">IF(J2="Cerrada","Cerrada",IF(J2="Suspendida","Suspendida",IF(G2="","Sin fecha",IF(G2&lt;TODAY(),"Vencida",IF(G2-TODAY()&lt;=30,"Próxima a vencer","Abierta")))))</f>
        <v>Próxima a vencer</v>
      </c>
      <c r="L2" s="7">
        <v>75000</v>
      </c>
      <c r="M2" s="7">
        <v>75000</v>
      </c>
      <c r="N2" s="3" t="s">
        <v>36</v>
      </c>
      <c r="O2" s="3" t="s">
        <v>124</v>
      </c>
      <c r="P2" s="3" t="s">
        <v>125</v>
      </c>
      <c r="Q2" s="3" t="s">
        <v>38</v>
      </c>
      <c r="R2" s="3" t="s">
        <v>39</v>
      </c>
      <c r="S2" s="3" t="s">
        <v>40</v>
      </c>
      <c r="T2" s="3" t="s">
        <v>40</v>
      </c>
      <c r="U2" s="3" t="s">
        <v>127</v>
      </c>
      <c r="V2" s="3" t="s">
        <v>41</v>
      </c>
      <c r="W2" s="3" t="s">
        <v>128</v>
      </c>
      <c r="X2" s="3" t="s">
        <v>129</v>
      </c>
      <c r="Y2" s="3" t="s">
        <v>130</v>
      </c>
      <c r="Z2" s="11" t="s">
        <v>131</v>
      </c>
      <c r="AA2" s="11"/>
      <c r="AB2" s="5">
        <v>46218</v>
      </c>
      <c r="AC2" s="3" t="s">
        <v>269</v>
      </c>
      <c r="AD2" s="3" t="s">
        <v>158</v>
      </c>
    </row>
    <row r="3" spans="1:30" ht="57">
      <c r="A3" s="3" t="s">
        <v>218</v>
      </c>
      <c r="B3" s="4" t="s">
        <v>42</v>
      </c>
      <c r="C3" t="s">
        <v>133</v>
      </c>
      <c r="D3" t="s">
        <v>132</v>
      </c>
      <c r="E3" s="4" t="s">
        <v>31</v>
      </c>
      <c r="F3" s="4" t="s">
        <v>32</v>
      </c>
      <c r="G3" s="6">
        <v>73050</v>
      </c>
      <c r="H3" s="4" t="s">
        <v>56</v>
      </c>
      <c r="I3" s="4" t="s">
        <v>70</v>
      </c>
      <c r="J3" s="4" t="s">
        <v>35</v>
      </c>
      <c r="K3" s="4" t="str">
        <f t="shared" ca="1" si="0"/>
        <v>Abierta</v>
      </c>
      <c r="L3" s="8">
        <v>5000</v>
      </c>
      <c r="M3" s="8" t="s">
        <v>137</v>
      </c>
      <c r="N3" s="4" t="s">
        <v>36</v>
      </c>
      <c r="O3" s="4" t="s">
        <v>138</v>
      </c>
      <c r="P3" s="4" t="s">
        <v>84</v>
      </c>
      <c r="Q3" s="4" t="s">
        <v>139</v>
      </c>
      <c r="R3" s="10" t="s">
        <v>140</v>
      </c>
      <c r="S3" s="3" t="s">
        <v>40</v>
      </c>
      <c r="T3" s="3" t="s">
        <v>40</v>
      </c>
      <c r="U3" s="3" t="s">
        <v>127</v>
      </c>
      <c r="V3" s="4" t="s">
        <v>141</v>
      </c>
      <c r="W3" s="4" t="s">
        <v>142</v>
      </c>
      <c r="X3" s="10" t="s">
        <v>143</v>
      </c>
      <c r="Y3" s="4" t="s">
        <v>144</v>
      </c>
      <c r="Z3" s="4" t="s">
        <v>145</v>
      </c>
      <c r="AA3" s="4"/>
      <c r="AB3" s="5">
        <v>46218</v>
      </c>
      <c r="AC3" s="3" t="s">
        <v>133</v>
      </c>
      <c r="AD3" s="4" t="s">
        <v>157</v>
      </c>
    </row>
    <row r="4" spans="1:30" ht="57">
      <c r="A4" s="3" t="s">
        <v>219</v>
      </c>
      <c r="B4" s="4" t="s">
        <v>42</v>
      </c>
      <c r="C4" s="4" t="s">
        <v>147</v>
      </c>
      <c r="D4" s="4" t="s">
        <v>146</v>
      </c>
      <c r="E4" s="4" t="s">
        <v>31</v>
      </c>
      <c r="F4" s="4" t="s">
        <v>32</v>
      </c>
      <c r="G4" s="6">
        <v>72686</v>
      </c>
      <c r="H4" s="4" t="s">
        <v>56</v>
      </c>
      <c r="I4" s="4" t="s">
        <v>70</v>
      </c>
      <c r="J4" s="4" t="s">
        <v>35</v>
      </c>
      <c r="K4" s="4" t="str">
        <f t="shared" ca="1" si="0"/>
        <v>Abierta</v>
      </c>
      <c r="L4" s="8">
        <v>1000</v>
      </c>
      <c r="M4" s="8">
        <v>1000</v>
      </c>
      <c r="N4" s="4" t="s">
        <v>36</v>
      </c>
      <c r="O4" s="4" t="s">
        <v>138</v>
      </c>
      <c r="P4" s="4" t="s">
        <v>148</v>
      </c>
      <c r="Q4" s="4" t="s">
        <v>149</v>
      </c>
      <c r="R4" s="10" t="s">
        <v>150</v>
      </c>
      <c r="S4" s="4" t="s">
        <v>151</v>
      </c>
      <c r="T4" s="3" t="s">
        <v>40</v>
      </c>
      <c r="U4" s="3" t="s">
        <v>127</v>
      </c>
      <c r="V4" s="4" t="s">
        <v>152</v>
      </c>
      <c r="W4" s="4" t="s">
        <v>153</v>
      </c>
      <c r="X4" s="4" t="s">
        <v>154</v>
      </c>
      <c r="Y4" s="4" t="s">
        <v>155</v>
      </c>
      <c r="Z4" s="13" t="s">
        <v>156</v>
      </c>
      <c r="AA4" s="13"/>
      <c r="AB4" s="5">
        <v>46218</v>
      </c>
      <c r="AC4" s="3" t="s">
        <v>270</v>
      </c>
      <c r="AD4" s="4"/>
    </row>
    <row r="5" spans="1:30" ht="285">
      <c r="A5" s="3" t="s">
        <v>220</v>
      </c>
      <c r="B5" s="4" t="s">
        <v>42</v>
      </c>
      <c r="C5" s="4" t="s">
        <v>159</v>
      </c>
      <c r="D5" s="4" t="s">
        <v>160</v>
      </c>
      <c r="E5" s="4" t="s">
        <v>43</v>
      </c>
      <c r="F5" s="4" t="s">
        <v>135</v>
      </c>
      <c r="G5" s="6">
        <v>46112</v>
      </c>
      <c r="H5" s="4" t="s">
        <v>33</v>
      </c>
      <c r="I5" s="4" t="s">
        <v>34</v>
      </c>
      <c r="J5" s="4" t="s">
        <v>50</v>
      </c>
      <c r="K5" s="4" t="str">
        <f t="shared" ca="1" si="0"/>
        <v>Cerrada</v>
      </c>
      <c r="L5" s="8">
        <v>0</v>
      </c>
      <c r="M5" s="8">
        <v>12000000</v>
      </c>
      <c r="N5" s="4" t="s">
        <v>65</v>
      </c>
      <c r="O5" s="4"/>
      <c r="P5" s="4" t="s">
        <v>172</v>
      </c>
      <c r="Q5" s="4" t="s">
        <v>161</v>
      </c>
      <c r="R5" s="4" t="s">
        <v>162</v>
      </c>
      <c r="S5" s="4" t="s">
        <v>135</v>
      </c>
      <c r="T5" s="4" t="s">
        <v>40</v>
      </c>
      <c r="U5" s="4" t="s">
        <v>127</v>
      </c>
      <c r="V5" s="4" t="s">
        <v>163</v>
      </c>
      <c r="W5" s="4" t="s">
        <v>164</v>
      </c>
      <c r="X5" s="4" t="s">
        <v>165</v>
      </c>
      <c r="Y5" s="12" t="s">
        <v>180</v>
      </c>
      <c r="Z5" s="13" t="s">
        <v>166</v>
      </c>
      <c r="AA5" s="4"/>
      <c r="AB5" s="6">
        <v>46218</v>
      </c>
      <c r="AC5" s="4" t="s">
        <v>271</v>
      </c>
      <c r="AD5" s="4" t="s">
        <v>167</v>
      </c>
    </row>
    <row r="6" spans="1:30" ht="42.75">
      <c r="A6" s="3" t="s">
        <v>221</v>
      </c>
      <c r="B6" s="4" t="s">
        <v>42</v>
      </c>
      <c r="C6" t="s">
        <v>168</v>
      </c>
      <c r="D6" s="4" t="s">
        <v>169</v>
      </c>
      <c r="E6" s="4" t="s">
        <v>170</v>
      </c>
      <c r="F6" s="4" t="s">
        <v>32</v>
      </c>
      <c r="G6" s="6">
        <v>46063</v>
      </c>
      <c r="H6" s="4" t="s">
        <v>33</v>
      </c>
      <c r="I6" s="4" t="s">
        <v>70</v>
      </c>
      <c r="J6" s="4" t="s">
        <v>50</v>
      </c>
      <c r="K6" s="4" t="str">
        <f t="shared" ca="1" si="0"/>
        <v>Cerrada</v>
      </c>
      <c r="L6" s="8"/>
      <c r="M6" s="8"/>
      <c r="N6" s="4" t="s">
        <v>36</v>
      </c>
      <c r="O6" s="4" t="s">
        <v>171</v>
      </c>
      <c r="P6" s="4" t="s">
        <v>174</v>
      </c>
      <c r="Q6" s="4" t="s">
        <v>173</v>
      </c>
      <c r="R6" s="4" t="s">
        <v>175</v>
      </c>
      <c r="S6" s="4" t="s">
        <v>176</v>
      </c>
      <c r="T6" s="4" t="s">
        <v>176</v>
      </c>
      <c r="U6" s="4" t="s">
        <v>206</v>
      </c>
      <c r="V6" s="4" t="s">
        <v>177</v>
      </c>
      <c r="W6" s="4" t="s">
        <v>178</v>
      </c>
      <c r="X6" s="4" t="s">
        <v>179</v>
      </c>
      <c r="Y6" s="12" t="s">
        <v>181</v>
      </c>
      <c r="Z6" s="13" t="s">
        <v>182</v>
      </c>
      <c r="AA6" s="13" t="s">
        <v>183</v>
      </c>
      <c r="AB6" s="6">
        <v>46218</v>
      </c>
      <c r="AC6" s="4" t="s">
        <v>272</v>
      </c>
      <c r="AD6" s="4" t="s">
        <v>184</v>
      </c>
    </row>
    <row r="7" spans="1:30" ht="42.75">
      <c r="A7" s="3" t="s">
        <v>222</v>
      </c>
      <c r="B7" s="4" t="s">
        <v>42</v>
      </c>
      <c r="C7" s="4" t="s">
        <v>185</v>
      </c>
      <c r="D7" s="4" t="s">
        <v>186</v>
      </c>
      <c r="E7" s="4" t="s">
        <v>55</v>
      </c>
      <c r="F7" s="4" t="s">
        <v>187</v>
      </c>
      <c r="G7" s="6">
        <v>46113</v>
      </c>
      <c r="H7" s="4" t="s">
        <v>33</v>
      </c>
      <c r="I7" s="4" t="s">
        <v>70</v>
      </c>
      <c r="J7" s="4" t="s">
        <v>50</v>
      </c>
      <c r="K7" s="4" t="str">
        <f t="shared" ca="1" si="0"/>
        <v>Cerrada</v>
      </c>
      <c r="L7" s="8">
        <v>10000</v>
      </c>
      <c r="M7" s="8">
        <v>200000</v>
      </c>
      <c r="N7" s="4" t="s">
        <v>36</v>
      </c>
      <c r="O7" s="4" t="s">
        <v>188</v>
      </c>
      <c r="P7" s="4" t="s">
        <v>189</v>
      </c>
      <c r="Q7" s="4" t="s">
        <v>190</v>
      </c>
      <c r="R7" s="4" t="s">
        <v>191</v>
      </c>
      <c r="S7" s="4" t="s">
        <v>192</v>
      </c>
      <c r="T7" s="4" t="s">
        <v>176</v>
      </c>
      <c r="U7" s="4" t="s">
        <v>207</v>
      </c>
      <c r="V7" s="4" t="s">
        <v>193</v>
      </c>
      <c r="W7" s="4" t="s">
        <v>194</v>
      </c>
      <c r="X7" s="4" t="s">
        <v>195</v>
      </c>
      <c r="Y7" s="4" t="s">
        <v>196</v>
      </c>
      <c r="Z7" s="13" t="s">
        <v>197</v>
      </c>
      <c r="AA7" s="13" t="s">
        <v>198</v>
      </c>
      <c r="AB7" s="6">
        <v>46218</v>
      </c>
      <c r="AC7" s="4" t="s">
        <v>273</v>
      </c>
      <c r="AD7" s="4" t="s">
        <v>199</v>
      </c>
    </row>
    <row r="8" spans="1:30" ht="57">
      <c r="A8" s="3" t="s">
        <v>223</v>
      </c>
      <c r="B8" s="4" t="s">
        <v>42</v>
      </c>
      <c r="C8" s="4" t="s">
        <v>200</v>
      </c>
      <c r="D8" s="4" t="s">
        <v>201</v>
      </c>
      <c r="E8" s="4" t="s">
        <v>47</v>
      </c>
      <c r="F8" s="4" t="s">
        <v>202</v>
      </c>
      <c r="G8" s="6">
        <v>46234</v>
      </c>
      <c r="H8" s="4" t="s">
        <v>33</v>
      </c>
      <c r="I8" s="4" t="s">
        <v>49</v>
      </c>
      <c r="J8" s="4" t="s">
        <v>35</v>
      </c>
      <c r="K8" s="4" t="str">
        <f t="shared" ca="1" si="0"/>
        <v>Próxima a vencer</v>
      </c>
      <c r="L8" s="8">
        <v>10000</v>
      </c>
      <c r="M8" s="8">
        <v>500000</v>
      </c>
      <c r="N8" s="4" t="s">
        <v>59</v>
      </c>
      <c r="O8" s="4" t="s">
        <v>188</v>
      </c>
      <c r="P8" s="4" t="s">
        <v>37</v>
      </c>
      <c r="Q8" s="4" t="s">
        <v>203</v>
      </c>
      <c r="R8" s="10" t="s">
        <v>204</v>
      </c>
      <c r="S8" s="4" t="s">
        <v>205</v>
      </c>
      <c r="T8" s="4" t="s">
        <v>205</v>
      </c>
      <c r="U8" s="4" t="s">
        <v>214</v>
      </c>
      <c r="V8" s="4" t="s">
        <v>208</v>
      </c>
      <c r="W8" s="4" t="s">
        <v>209</v>
      </c>
      <c r="X8" s="4" t="s">
        <v>210</v>
      </c>
      <c r="Y8" s="4" t="s">
        <v>215</v>
      </c>
      <c r="Z8" s="13" t="s">
        <v>211</v>
      </c>
      <c r="AA8" s="4" t="s">
        <v>212</v>
      </c>
      <c r="AB8" s="6">
        <v>46218</v>
      </c>
      <c r="AC8" s="4" t="s">
        <v>274</v>
      </c>
      <c r="AD8" s="4" t="s">
        <v>213</v>
      </c>
    </row>
    <row r="9" spans="1:30" ht="42.75">
      <c r="A9" s="3" t="s">
        <v>224</v>
      </c>
      <c r="B9" s="4" t="s">
        <v>42</v>
      </c>
      <c r="C9" s="4" t="s">
        <v>216</v>
      </c>
      <c r="D9" s="4" t="s">
        <v>169</v>
      </c>
      <c r="E9" s="4" t="s">
        <v>69</v>
      </c>
      <c r="F9" s="4" t="s">
        <v>32</v>
      </c>
      <c r="G9" s="6">
        <v>46142</v>
      </c>
      <c r="H9" s="4" t="s">
        <v>33</v>
      </c>
      <c r="I9" s="4" t="s">
        <v>75</v>
      </c>
      <c r="J9" s="4" t="s">
        <v>50</v>
      </c>
      <c r="K9" s="4" t="str">
        <f t="shared" ca="1" si="0"/>
        <v>Cerrada</v>
      </c>
      <c r="L9" s="8"/>
      <c r="M9" s="8">
        <v>15000</v>
      </c>
      <c r="N9" s="4" t="s">
        <v>36</v>
      </c>
      <c r="O9" s="4" t="s">
        <v>188</v>
      </c>
      <c r="P9" s="4" t="s">
        <v>66</v>
      </c>
      <c r="Q9" s="4" t="s">
        <v>225</v>
      </c>
      <c r="R9" s="4" t="s">
        <v>225</v>
      </c>
      <c r="S9" s="4" t="s">
        <v>187</v>
      </c>
      <c r="T9" s="4" t="s">
        <v>176</v>
      </c>
      <c r="U9" s="4" t="s">
        <v>226</v>
      </c>
      <c r="V9" s="4" t="s">
        <v>227</v>
      </c>
      <c r="W9" s="4" t="s">
        <v>228</v>
      </c>
      <c r="X9" t="s">
        <v>229</v>
      </c>
      <c r="Y9" s="4" t="s">
        <v>230</v>
      </c>
      <c r="Z9" s="13" t="s">
        <v>231</v>
      </c>
      <c r="AA9" s="4"/>
      <c r="AB9" s="6">
        <v>46219</v>
      </c>
      <c r="AC9" s="4" t="s">
        <v>275</v>
      </c>
      <c r="AD9" s="4" t="s">
        <v>232</v>
      </c>
    </row>
    <row r="10" spans="1:30" ht="71.25">
      <c r="A10" s="3" t="s">
        <v>233</v>
      </c>
      <c r="B10" s="4" t="s">
        <v>42</v>
      </c>
      <c r="C10" s="4" t="s">
        <v>234</v>
      </c>
      <c r="D10" t="s">
        <v>235</v>
      </c>
      <c r="E10" s="4" t="s">
        <v>31</v>
      </c>
      <c r="F10" s="4" t="s">
        <v>32</v>
      </c>
      <c r="G10" s="6">
        <v>46255</v>
      </c>
      <c r="H10" s="4" t="s">
        <v>33</v>
      </c>
      <c r="I10" s="4" t="s">
        <v>34</v>
      </c>
      <c r="J10" s="4" t="s">
        <v>35</v>
      </c>
      <c r="K10" s="4" t="str">
        <f t="shared" ca="1" si="0"/>
        <v>Próxima a vencer</v>
      </c>
      <c r="L10" s="8">
        <v>200000</v>
      </c>
      <c r="M10" s="8">
        <v>5000000</v>
      </c>
      <c r="N10" s="4" t="s">
        <v>36</v>
      </c>
      <c r="O10" s="4" t="s">
        <v>188</v>
      </c>
      <c r="P10" s="4" t="s">
        <v>189</v>
      </c>
      <c r="Q10" s="10" t="s">
        <v>236</v>
      </c>
      <c r="R10" s="4" t="s">
        <v>237</v>
      </c>
      <c r="S10" s="4" t="s">
        <v>187</v>
      </c>
      <c r="T10" s="4" t="s">
        <v>238</v>
      </c>
      <c r="U10" s="4" t="s">
        <v>239</v>
      </c>
      <c r="V10" s="4" t="s">
        <v>240</v>
      </c>
      <c r="W10" s="4" t="s">
        <v>242</v>
      </c>
      <c r="X10" s="4" t="s">
        <v>241</v>
      </c>
      <c r="Y10" s="4"/>
      <c r="Z10" s="13" t="s">
        <v>243</v>
      </c>
      <c r="AA10" s="13" t="s">
        <v>244</v>
      </c>
      <c r="AB10" s="6">
        <v>46219</v>
      </c>
      <c r="AC10" s="4" t="s">
        <v>276</v>
      </c>
      <c r="AD10" s="4" t="s">
        <v>245</v>
      </c>
    </row>
    <row r="11" spans="1:30" ht="42.75">
      <c r="A11" s="3" t="s">
        <v>246</v>
      </c>
      <c r="B11" s="4" t="s">
        <v>42</v>
      </c>
      <c r="C11" s="4" t="s">
        <v>254</v>
      </c>
      <c r="D11" s="4" t="s">
        <v>247</v>
      </c>
      <c r="E11" s="4" t="s">
        <v>69</v>
      </c>
      <c r="F11" s="4" t="s">
        <v>32</v>
      </c>
      <c r="G11" s="6">
        <v>46264</v>
      </c>
      <c r="H11" s="4" t="s">
        <v>33</v>
      </c>
      <c r="I11" s="4" t="s">
        <v>75</v>
      </c>
      <c r="J11" s="4" t="s">
        <v>35</v>
      </c>
      <c r="K11" s="4" t="str">
        <f t="shared" ca="1" si="0"/>
        <v>Abierta</v>
      </c>
      <c r="L11" s="8">
        <v>6000</v>
      </c>
      <c r="M11" s="8">
        <v>25000</v>
      </c>
      <c r="N11" s="4" t="s">
        <v>36</v>
      </c>
      <c r="O11" s="4" t="s">
        <v>188</v>
      </c>
      <c r="P11" s="4" t="s">
        <v>52</v>
      </c>
      <c r="Q11" s="4" t="s">
        <v>225</v>
      </c>
      <c r="R11" s="4" t="s">
        <v>225</v>
      </c>
      <c r="S11" s="4" t="s">
        <v>187</v>
      </c>
      <c r="T11" s="4" t="s">
        <v>176</v>
      </c>
      <c r="U11" s="4" t="s">
        <v>250</v>
      </c>
      <c r="V11" s="4" t="s">
        <v>249</v>
      </c>
      <c r="W11" s="4" t="s">
        <v>251</v>
      </c>
      <c r="X11" s="4" t="s">
        <v>248</v>
      </c>
      <c r="Y11" s="4"/>
      <c r="Z11" s="13" t="s">
        <v>252</v>
      </c>
      <c r="AA11" s="13" t="s">
        <v>253</v>
      </c>
      <c r="AB11" s="6">
        <v>46219</v>
      </c>
      <c r="AC11" s="4" t="s">
        <v>277</v>
      </c>
      <c r="AD11" s="4"/>
    </row>
    <row r="12" spans="1:30" ht="85.5">
      <c r="A12" s="3" t="s">
        <v>256</v>
      </c>
      <c r="B12" s="4"/>
      <c r="C12" t="s">
        <v>255</v>
      </c>
      <c r="D12" s="4" t="s">
        <v>257</v>
      </c>
      <c r="E12" s="4" t="s">
        <v>55</v>
      </c>
      <c r="F12" s="4" t="s">
        <v>258</v>
      </c>
      <c r="G12" s="6">
        <v>46357</v>
      </c>
      <c r="H12" s="4" t="s">
        <v>33</v>
      </c>
      <c r="I12" s="4" t="s">
        <v>34</v>
      </c>
      <c r="J12" s="4" t="s">
        <v>35</v>
      </c>
      <c r="K12" s="4" t="str">
        <f t="shared" ca="1" si="0"/>
        <v>Abierta</v>
      </c>
      <c r="L12" s="8"/>
      <c r="M12" s="8">
        <v>5000000</v>
      </c>
      <c r="N12" s="4" t="s">
        <v>51</v>
      </c>
      <c r="O12" s="4" t="s">
        <v>188</v>
      </c>
      <c r="P12" s="4" t="s">
        <v>37</v>
      </c>
      <c r="Q12" s="4" t="s">
        <v>259</v>
      </c>
      <c r="R12" s="4" t="s">
        <v>260</v>
      </c>
      <c r="S12" s="4" t="s">
        <v>261</v>
      </c>
      <c r="T12" s="4" t="s">
        <v>262</v>
      </c>
      <c r="U12" s="4" t="s">
        <v>263</v>
      </c>
      <c r="V12" s="4" t="s">
        <v>264</v>
      </c>
      <c r="W12" s="4" t="s">
        <v>265</v>
      </c>
      <c r="X12" s="4" t="s">
        <v>266</v>
      </c>
      <c r="Y12" s="4"/>
      <c r="Z12" s="13" t="s">
        <v>267</v>
      </c>
      <c r="AA12" s="4"/>
      <c r="AB12" s="6">
        <v>46219</v>
      </c>
      <c r="AC12" s="4" t="s">
        <v>268</v>
      </c>
      <c r="AD12" s="4"/>
    </row>
    <row r="13" spans="1:30" ht="128.25">
      <c r="A13" s="3" t="s">
        <v>278</v>
      </c>
      <c r="B13" s="4" t="s">
        <v>42</v>
      </c>
      <c r="C13" s="4" t="s">
        <v>279</v>
      </c>
      <c r="D13" s="4" t="s">
        <v>280</v>
      </c>
      <c r="E13" s="4" t="s">
        <v>55</v>
      </c>
      <c r="F13" s="4" t="s">
        <v>258</v>
      </c>
      <c r="G13" s="6">
        <v>46063</v>
      </c>
      <c r="H13" s="4" t="s">
        <v>33</v>
      </c>
      <c r="I13" s="4" t="s">
        <v>34</v>
      </c>
      <c r="J13" s="4" t="s">
        <v>50</v>
      </c>
      <c r="K13" s="4" t="str">
        <f t="shared" ca="1" si="0"/>
        <v>Cerrada</v>
      </c>
      <c r="L13" s="8">
        <v>200000</v>
      </c>
      <c r="M13" s="8">
        <v>1000000</v>
      </c>
      <c r="N13" s="4" t="s">
        <v>51</v>
      </c>
      <c r="O13" s="4" t="s">
        <v>281</v>
      </c>
      <c r="P13" s="4" t="s">
        <v>37</v>
      </c>
      <c r="Q13" s="4" t="s">
        <v>282</v>
      </c>
      <c r="R13" s="4" t="s">
        <v>283</v>
      </c>
      <c r="S13" s="4" t="s">
        <v>284</v>
      </c>
      <c r="T13" s="4" t="s">
        <v>176</v>
      </c>
      <c r="U13" s="4" t="s">
        <v>285</v>
      </c>
      <c r="V13" s="4" t="s">
        <v>286</v>
      </c>
      <c r="W13" s="4" t="s">
        <v>287</v>
      </c>
      <c r="X13" s="4" t="s">
        <v>289</v>
      </c>
      <c r="Y13" s="4" t="s">
        <v>288</v>
      </c>
      <c r="Z13" s="13" t="s">
        <v>290</v>
      </c>
      <c r="AA13" s="4"/>
      <c r="AB13" s="6">
        <v>46219</v>
      </c>
      <c r="AC13" s="4" t="s">
        <v>291</v>
      </c>
      <c r="AD13" s="4"/>
    </row>
    <row r="14" spans="1:30" ht="85.5">
      <c r="A14" s="3" t="s">
        <v>292</v>
      </c>
      <c r="B14" s="4" t="s">
        <v>42</v>
      </c>
      <c r="C14" s="4" t="s">
        <v>293</v>
      </c>
      <c r="D14" s="4" t="s">
        <v>294</v>
      </c>
      <c r="E14" s="4" t="s">
        <v>55</v>
      </c>
      <c r="F14" s="4" t="s">
        <v>32</v>
      </c>
      <c r="G14" s="6"/>
      <c r="H14" s="4" t="s">
        <v>63</v>
      </c>
      <c r="I14" s="4" t="s">
        <v>70</v>
      </c>
      <c r="J14" s="4" t="s">
        <v>64</v>
      </c>
      <c r="K14" s="4" t="str">
        <f t="shared" ca="1" si="0"/>
        <v>Sin fecha</v>
      </c>
      <c r="L14" s="8">
        <v>15000</v>
      </c>
      <c r="M14" s="8">
        <v>30000</v>
      </c>
      <c r="N14" s="4" t="s">
        <v>36</v>
      </c>
      <c r="O14" s="4" t="s">
        <v>295</v>
      </c>
      <c r="P14" s="4" t="s">
        <v>189</v>
      </c>
      <c r="Q14" s="4" t="s">
        <v>296</v>
      </c>
      <c r="R14" s="4" t="s">
        <v>297</v>
      </c>
      <c r="S14" s="4" t="s">
        <v>187</v>
      </c>
      <c r="T14" s="4" t="s">
        <v>298</v>
      </c>
      <c r="U14" s="4" t="s">
        <v>299</v>
      </c>
      <c r="V14" s="4" t="s">
        <v>300</v>
      </c>
      <c r="W14" s="4" t="s">
        <v>301</v>
      </c>
      <c r="X14" s="4" t="s">
        <v>302</v>
      </c>
      <c r="Y14" s="4" t="s">
        <v>303</v>
      </c>
      <c r="Z14" s="13" t="s">
        <v>304</v>
      </c>
      <c r="AA14" s="4"/>
      <c r="AB14" s="6">
        <v>46219</v>
      </c>
      <c r="AC14" s="4" t="s">
        <v>305</v>
      </c>
      <c r="AD14" s="4" t="s">
        <v>306</v>
      </c>
    </row>
    <row r="15" spans="1:30" ht="85.5">
      <c r="A15" s="3" t="s">
        <v>307</v>
      </c>
      <c r="B15" s="4" t="s">
        <v>42</v>
      </c>
      <c r="C15" s="4" t="s">
        <v>308</v>
      </c>
      <c r="D15" s="4" t="s">
        <v>309</v>
      </c>
      <c r="E15" s="4" t="s">
        <v>31</v>
      </c>
      <c r="F15" s="4" t="s">
        <v>32</v>
      </c>
      <c r="G15" s="6">
        <v>46280</v>
      </c>
      <c r="H15" s="4" t="s">
        <v>33</v>
      </c>
      <c r="I15" s="4" t="s">
        <v>70</v>
      </c>
      <c r="J15" s="4" t="s">
        <v>35</v>
      </c>
      <c r="K15" s="4" t="str">
        <f t="shared" ca="1" si="0"/>
        <v>Abierta</v>
      </c>
      <c r="L15" s="8">
        <v>25000</v>
      </c>
      <c r="M15" s="8">
        <v>25000</v>
      </c>
      <c r="N15" s="4" t="s">
        <v>36</v>
      </c>
      <c r="O15" s="4" t="s">
        <v>138</v>
      </c>
      <c r="P15" s="4" t="s">
        <v>82</v>
      </c>
      <c r="Q15" s="4" t="s">
        <v>310</v>
      </c>
      <c r="R15" s="4"/>
      <c r="S15" s="4" t="s">
        <v>187</v>
      </c>
      <c r="T15" s="4" t="s">
        <v>176</v>
      </c>
      <c r="U15" s="4" t="s">
        <v>311</v>
      </c>
      <c r="V15" s="4" t="s">
        <v>312</v>
      </c>
      <c r="W15" s="4" t="s">
        <v>313</v>
      </c>
      <c r="X15" s="4" t="s">
        <v>314</v>
      </c>
      <c r="Y15" s="4" t="s">
        <v>315</v>
      </c>
      <c r="Z15" s="13" t="s">
        <v>316</v>
      </c>
      <c r="AA15" s="13" t="s">
        <v>317</v>
      </c>
      <c r="AB15" s="6">
        <v>46219</v>
      </c>
      <c r="AC15" s="4" t="s">
        <v>318</v>
      </c>
      <c r="AD15" s="4" t="s">
        <v>319</v>
      </c>
    </row>
    <row r="16" spans="1:30" ht="85.5">
      <c r="A16" s="3" t="s">
        <v>320</v>
      </c>
      <c r="B16" s="4" t="s">
        <v>42</v>
      </c>
      <c r="C16" s="4" t="s">
        <v>321</v>
      </c>
      <c r="D16" s="4" t="s">
        <v>322</v>
      </c>
      <c r="E16" s="4" t="s">
        <v>69</v>
      </c>
      <c r="F16" s="4" t="s">
        <v>32</v>
      </c>
      <c r="G16" s="6">
        <v>46280</v>
      </c>
      <c r="H16" s="4" t="s">
        <v>33</v>
      </c>
      <c r="I16" s="4" t="s">
        <v>84</v>
      </c>
      <c r="J16" s="4" t="s">
        <v>35</v>
      </c>
      <c r="K16" s="4" t="str">
        <f t="shared" ca="1" si="0"/>
        <v>Abierta</v>
      </c>
      <c r="L16" s="8">
        <v>10000</v>
      </c>
      <c r="M16" s="8">
        <v>20000</v>
      </c>
      <c r="N16" s="4" t="s">
        <v>36</v>
      </c>
      <c r="O16" s="4"/>
      <c r="P16" s="4" t="s">
        <v>37</v>
      </c>
      <c r="Q16" s="4" t="s">
        <v>371</v>
      </c>
      <c r="R16" s="4" t="s">
        <v>372</v>
      </c>
      <c r="S16" s="4" t="s">
        <v>187</v>
      </c>
      <c r="T16" s="4" t="s">
        <v>176</v>
      </c>
      <c r="U16" s="4" t="s">
        <v>373</v>
      </c>
      <c r="V16" s="4" t="s">
        <v>374</v>
      </c>
      <c r="W16" s="4" t="s">
        <v>375</v>
      </c>
      <c r="X16" s="4" t="s">
        <v>376</v>
      </c>
      <c r="Y16" s="4" t="s">
        <v>377</v>
      </c>
      <c r="Z16" s="13" t="s">
        <v>378</v>
      </c>
      <c r="AA16" s="4"/>
      <c r="AB16" s="6">
        <v>46220</v>
      </c>
      <c r="AC16" s="4" t="s">
        <v>379</v>
      </c>
      <c r="AD16" s="4" t="s">
        <v>380</v>
      </c>
    </row>
    <row r="17" spans="1:30" ht="128.25">
      <c r="A17" s="3" t="s">
        <v>381</v>
      </c>
      <c r="B17" s="4" t="s">
        <v>42</v>
      </c>
      <c r="C17" s="4" t="s">
        <v>323</v>
      </c>
      <c r="D17" s="4" t="s">
        <v>324</v>
      </c>
      <c r="E17" s="4" t="s">
        <v>31</v>
      </c>
      <c r="F17" s="4" t="s">
        <v>32</v>
      </c>
      <c r="G17" s="6"/>
      <c r="H17" s="4" t="s">
        <v>63</v>
      </c>
      <c r="I17" s="4" t="s">
        <v>70</v>
      </c>
      <c r="J17" s="4" t="s">
        <v>64</v>
      </c>
      <c r="K17" s="4" t="str">
        <f t="shared" ca="1" si="0"/>
        <v>Sin fecha</v>
      </c>
      <c r="L17" s="8">
        <v>21500</v>
      </c>
      <c r="M17" s="8">
        <v>21500</v>
      </c>
      <c r="N17" s="4" t="s">
        <v>36</v>
      </c>
      <c r="O17" s="4" t="s">
        <v>325</v>
      </c>
      <c r="P17" s="4" t="s">
        <v>66</v>
      </c>
      <c r="Q17" s="4" t="s">
        <v>67</v>
      </c>
      <c r="R17" s="4" t="s">
        <v>74</v>
      </c>
      <c r="S17" s="4" t="s">
        <v>326</v>
      </c>
      <c r="T17" s="4" t="s">
        <v>40</v>
      </c>
      <c r="U17" s="4" t="s">
        <v>327</v>
      </c>
      <c r="V17" s="4" t="s">
        <v>328</v>
      </c>
      <c r="W17" s="4" t="s">
        <v>329</v>
      </c>
      <c r="X17" s="4" t="s">
        <v>330</v>
      </c>
      <c r="Y17" s="4" t="s">
        <v>331</v>
      </c>
      <c r="Z17" s="13" t="str">
        <f>HYPERLINK("https://www.getty.edu/projects/conservation-guest-scholars/","https://www.getty.edu/projects/conservation-guest-scholars/")</f>
        <v>https://www.getty.edu/projects/conservation-guest-scholars/</v>
      </c>
      <c r="AA17" s="4"/>
      <c r="AB17" s="6">
        <v>46220</v>
      </c>
      <c r="AC17" s="4" t="s">
        <v>332</v>
      </c>
      <c r="AD17" s="4" t="s">
        <v>333</v>
      </c>
    </row>
    <row r="18" spans="1:30" ht="114">
      <c r="A18" s="3" t="s">
        <v>382</v>
      </c>
      <c r="B18" s="4" t="s">
        <v>42</v>
      </c>
      <c r="C18" s="4" t="s">
        <v>334</v>
      </c>
      <c r="D18" s="4" t="s">
        <v>335</v>
      </c>
      <c r="E18" s="4" t="s">
        <v>55</v>
      </c>
      <c r="F18" s="4" t="s">
        <v>187</v>
      </c>
      <c r="G18" s="6">
        <v>46266</v>
      </c>
      <c r="H18" s="4" t="s">
        <v>48</v>
      </c>
      <c r="I18" s="4" t="s">
        <v>70</v>
      </c>
      <c r="J18" s="4" t="s">
        <v>64</v>
      </c>
      <c r="K18" s="4" t="str">
        <f ca="1">IF(J18="En revisión","Pendiente Apertura",IF(J18="Cerrada","Cerrada",IF(J18="Suspendida","Suspendida",IF(G18="","Sin fecha",IF(G18&lt;TODAY(),"Vencida",IF(G18-TODAY()&lt;=30,"Próxima a vencer","Abierta"))))))</f>
        <v>Pendiente Apertura</v>
      </c>
      <c r="L18" s="8">
        <v>5000</v>
      </c>
      <c r="M18" s="8">
        <v>15000</v>
      </c>
      <c r="N18" s="4" t="s">
        <v>71</v>
      </c>
      <c r="O18" s="4" t="s">
        <v>336</v>
      </c>
      <c r="P18" s="4" t="s">
        <v>66</v>
      </c>
      <c r="Q18" s="4" t="s">
        <v>337</v>
      </c>
      <c r="R18" s="4" t="s">
        <v>74</v>
      </c>
      <c r="S18" s="4" t="s">
        <v>338</v>
      </c>
      <c r="T18" s="4" t="s">
        <v>369</v>
      </c>
      <c r="U18" s="4" t="s">
        <v>370</v>
      </c>
      <c r="V18" s="4" t="s">
        <v>368</v>
      </c>
      <c r="W18" s="4" t="s">
        <v>339</v>
      </c>
      <c r="X18" s="4" t="s">
        <v>340</v>
      </c>
      <c r="Y18" s="4" t="s">
        <v>341</v>
      </c>
      <c r="Z18" s="13" t="str">
        <f>HYPERLINK("https://www.cca.qc.ca/en/101525/cca-wri-research-fellowship-program","https://www.cca.qc.ca/en/101525/cca-wri-research-fellowship-program")</f>
        <v>https://www.cca.qc.ca/en/101525/cca-wri-research-fellowship-program</v>
      </c>
      <c r="AA18" s="4"/>
      <c r="AB18" s="6">
        <v>46220</v>
      </c>
      <c r="AC18" s="4" t="s">
        <v>342</v>
      </c>
      <c r="AD18" s="4" t="s">
        <v>343</v>
      </c>
    </row>
    <row r="19" spans="1:30" ht="128.25">
      <c r="A19" s="3" t="s">
        <v>383</v>
      </c>
      <c r="B19" s="4" t="s">
        <v>42</v>
      </c>
      <c r="C19" s="4" t="s">
        <v>344</v>
      </c>
      <c r="D19" s="4" t="s">
        <v>345</v>
      </c>
      <c r="E19" s="4" t="s">
        <v>31</v>
      </c>
      <c r="F19" s="4" t="s">
        <v>202</v>
      </c>
      <c r="G19" s="6">
        <v>46209</v>
      </c>
      <c r="H19" s="4" t="s">
        <v>33</v>
      </c>
      <c r="I19" s="4" t="s">
        <v>70</v>
      </c>
      <c r="J19" s="4" t="s">
        <v>50</v>
      </c>
      <c r="K19" s="4" t="str">
        <f t="shared" ref="K19:K80" ca="1" si="1">IF(J19="En revisión","Pendiente Apertura",IF(J19="Cerrada","Cerrada",IF(J19="Suspendida","Suspendida",IF(G19="","Sin fecha",IF(G19&lt;TODAY(),"Vencida",IF(G19-TODAY()&lt;=30,"Próxima a vencer","Abierta"))))))</f>
        <v>Cerrada</v>
      </c>
      <c r="L19" s="8"/>
      <c r="M19" s="8"/>
      <c r="N19" s="4" t="s">
        <v>59</v>
      </c>
      <c r="O19" s="4" t="s">
        <v>346</v>
      </c>
      <c r="P19" s="4" t="s">
        <v>66</v>
      </c>
      <c r="Q19" s="4" t="s">
        <v>38</v>
      </c>
      <c r="R19" s="4" t="s">
        <v>74</v>
      </c>
      <c r="S19" s="4" t="s">
        <v>347</v>
      </c>
      <c r="T19" s="4" t="s">
        <v>348</v>
      </c>
      <c r="U19" s="4" t="s">
        <v>349</v>
      </c>
      <c r="V19" s="4" t="s">
        <v>350</v>
      </c>
      <c r="W19" s="4" t="s">
        <v>351</v>
      </c>
      <c r="X19" s="4" t="s">
        <v>352</v>
      </c>
      <c r="Y19" s="4" t="s">
        <v>353</v>
      </c>
      <c r="Z19" s="13" t="str">
        <f>HYPERLINK("https://www.urbanstudiesfoundation.org/funding/international-fellowships/","https://www.urbanstudiesfoundation.org/funding/international-fellowships/")</f>
        <v>https://www.urbanstudiesfoundation.org/funding/international-fellowships/</v>
      </c>
      <c r="AA19" s="4"/>
      <c r="AB19" s="6">
        <v>46220</v>
      </c>
      <c r="AC19" s="4" t="s">
        <v>354</v>
      </c>
      <c r="AD19" s="4" t="s">
        <v>355</v>
      </c>
    </row>
    <row r="20" spans="1:30" ht="114">
      <c r="A20" s="3" t="s">
        <v>384</v>
      </c>
      <c r="B20" s="4" t="s">
        <v>42</v>
      </c>
      <c r="C20" s="4" t="s">
        <v>356</v>
      </c>
      <c r="D20" s="4" t="s">
        <v>357</v>
      </c>
      <c r="E20" s="4" t="s">
        <v>55</v>
      </c>
      <c r="F20" s="4" t="s">
        <v>187</v>
      </c>
      <c r="G20" s="6">
        <v>46157.708333333299</v>
      </c>
      <c r="H20" s="4" t="s">
        <v>33</v>
      </c>
      <c r="I20" s="4" t="s">
        <v>34</v>
      </c>
      <c r="J20" s="4" t="s">
        <v>50</v>
      </c>
      <c r="K20" s="4" t="str">
        <f t="shared" ca="1" si="1"/>
        <v>Cerrada</v>
      </c>
      <c r="L20" s="8"/>
      <c r="M20" s="8">
        <v>20000</v>
      </c>
      <c r="N20" s="4" t="s">
        <v>51</v>
      </c>
      <c r="O20" s="4" t="s">
        <v>358</v>
      </c>
      <c r="P20" s="4" t="s">
        <v>189</v>
      </c>
      <c r="Q20" s="4" t="s">
        <v>38</v>
      </c>
      <c r="R20" s="4" t="s">
        <v>79</v>
      </c>
      <c r="S20" s="4" t="s">
        <v>359</v>
      </c>
      <c r="T20" s="4" t="s">
        <v>360</v>
      </c>
      <c r="U20" s="4" t="s">
        <v>361</v>
      </c>
      <c r="V20" s="4" t="s">
        <v>362</v>
      </c>
      <c r="W20" s="4" t="s">
        <v>363</v>
      </c>
      <c r="X20" s="4" t="s">
        <v>364</v>
      </c>
      <c r="Y20" s="4" t="s">
        <v>365</v>
      </c>
      <c r="Z20" s="13" t="str">
        <f>HYPERLINK("https://www.cyted.org/assets/img/cyted/Convocatoria%202026/Castellano/01_Convocatoria_oficial_bases_y_lineas_2026_SP.pdf","https://www.cyted.org/assets/img/cyted/Convocatoria%202026/Castellano/01_Convocatoria_oficial_bases_y_lineas_2026_SP.pdf")</f>
        <v>https://www.cyted.org/assets/img/cyted/Convocatoria%202026/Castellano/01_Convocatoria_oficial_bases_y_lineas_2026_SP.pdf</v>
      </c>
      <c r="AA20" s="4"/>
      <c r="AB20" s="6">
        <v>46220</v>
      </c>
      <c r="AC20" s="4" t="s">
        <v>366</v>
      </c>
      <c r="AD20" s="4" t="s">
        <v>367</v>
      </c>
    </row>
    <row r="21" spans="1:30" ht="71.25">
      <c r="A21" s="3" t="s">
        <v>471</v>
      </c>
      <c r="B21" s="4" t="s">
        <v>42</v>
      </c>
      <c r="C21" s="4" t="s">
        <v>385</v>
      </c>
      <c r="D21" s="4" t="s">
        <v>386</v>
      </c>
      <c r="E21" s="4" t="s">
        <v>55</v>
      </c>
      <c r="F21" s="4" t="s">
        <v>258</v>
      </c>
      <c r="G21" s="6">
        <v>46287</v>
      </c>
      <c r="H21" s="4" t="s">
        <v>33</v>
      </c>
      <c r="I21" s="4" t="s">
        <v>34</v>
      </c>
      <c r="J21" s="4" t="s">
        <v>35</v>
      </c>
      <c r="K21" s="4" t="str">
        <f t="shared" ca="1" si="1"/>
        <v>Abierta</v>
      </c>
      <c r="L21" s="8"/>
      <c r="M21" s="8">
        <v>3250000</v>
      </c>
      <c r="N21" s="4" t="s">
        <v>51</v>
      </c>
      <c r="O21" s="4" t="s">
        <v>387</v>
      </c>
      <c r="P21" s="4" t="s">
        <v>189</v>
      </c>
      <c r="Q21" s="4" t="s">
        <v>38</v>
      </c>
      <c r="R21" s="4" t="s">
        <v>79</v>
      </c>
      <c r="S21" s="4" t="s">
        <v>388</v>
      </c>
      <c r="T21" s="4" t="s">
        <v>40</v>
      </c>
      <c r="U21" s="4" t="s">
        <v>389</v>
      </c>
      <c r="V21" s="4" t="s">
        <v>390</v>
      </c>
      <c r="W21" s="4" t="s">
        <v>391</v>
      </c>
      <c r="X21" s="4" t="s">
        <v>392</v>
      </c>
      <c r="Y21" s="4" t="s">
        <v>393</v>
      </c>
      <c r="Z21" s="4" t="s">
        <v>394</v>
      </c>
      <c r="AA21" s="4"/>
      <c r="AB21" s="6">
        <v>46220</v>
      </c>
      <c r="AC21" s="4" t="s">
        <v>395</v>
      </c>
      <c r="AD21" s="4" t="s">
        <v>396</v>
      </c>
    </row>
    <row r="22" spans="1:30" ht="71.25">
      <c r="A22" s="3" t="s">
        <v>472</v>
      </c>
      <c r="B22" s="4" t="s">
        <v>42</v>
      </c>
      <c r="C22" s="4" t="s">
        <v>397</v>
      </c>
      <c r="D22" s="4" t="s">
        <v>398</v>
      </c>
      <c r="E22" s="4" t="s">
        <v>55</v>
      </c>
      <c r="F22" s="4" t="s">
        <v>187</v>
      </c>
      <c r="G22" s="6">
        <v>46132</v>
      </c>
      <c r="H22" s="4" t="s">
        <v>33</v>
      </c>
      <c r="I22" s="4" t="s">
        <v>34</v>
      </c>
      <c r="J22" s="4" t="s">
        <v>50</v>
      </c>
      <c r="K22" s="4" t="str">
        <f t="shared" ca="1" si="1"/>
        <v>Cerrada</v>
      </c>
      <c r="L22" s="8"/>
      <c r="M22" s="8">
        <v>250000</v>
      </c>
      <c r="N22" s="4" t="s">
        <v>36</v>
      </c>
      <c r="O22" s="4" t="s">
        <v>399</v>
      </c>
      <c r="P22" s="4" t="s">
        <v>189</v>
      </c>
      <c r="Q22" s="4" t="s">
        <v>480</v>
      </c>
      <c r="R22" s="4" t="s">
        <v>79</v>
      </c>
      <c r="S22" s="4" t="s">
        <v>400</v>
      </c>
      <c r="T22" s="4" t="s">
        <v>40</v>
      </c>
      <c r="U22" s="4" t="s">
        <v>401</v>
      </c>
      <c r="V22" s="4" t="s">
        <v>402</v>
      </c>
      <c r="W22" s="4" t="s">
        <v>403</v>
      </c>
      <c r="X22" s="4" t="s">
        <v>404</v>
      </c>
      <c r="Y22" s="4" t="s">
        <v>405</v>
      </c>
      <c r="Z22" s="4" t="s">
        <v>406</v>
      </c>
      <c r="AA22" s="4"/>
      <c r="AB22" s="6">
        <v>46220</v>
      </c>
      <c r="AC22" s="4" t="s">
        <v>407</v>
      </c>
      <c r="AD22" s="4" t="s">
        <v>481</v>
      </c>
    </row>
    <row r="23" spans="1:30" ht="71.25">
      <c r="A23" s="3" t="s">
        <v>473</v>
      </c>
      <c r="B23" s="4" t="s">
        <v>42</v>
      </c>
      <c r="C23" s="4" t="s">
        <v>408</v>
      </c>
      <c r="D23" s="4" t="s">
        <v>386</v>
      </c>
      <c r="E23" s="4" t="s">
        <v>55</v>
      </c>
      <c r="F23" s="4" t="s">
        <v>258</v>
      </c>
      <c r="G23" s="6">
        <v>46287</v>
      </c>
      <c r="H23" s="4" t="s">
        <v>33</v>
      </c>
      <c r="I23" s="4" t="s">
        <v>34</v>
      </c>
      <c r="J23" s="4" t="s">
        <v>35</v>
      </c>
      <c r="K23" s="4" t="str">
        <f t="shared" ca="1" si="1"/>
        <v>Abierta</v>
      </c>
      <c r="L23" s="8"/>
      <c r="M23" s="8">
        <v>3250000</v>
      </c>
      <c r="N23" s="4" t="s">
        <v>51</v>
      </c>
      <c r="O23" s="4" t="s">
        <v>387</v>
      </c>
      <c r="P23" s="4" t="s">
        <v>189</v>
      </c>
      <c r="Q23" s="4" t="s">
        <v>490</v>
      </c>
      <c r="R23" s="4" t="s">
        <v>79</v>
      </c>
      <c r="S23" s="4" t="s">
        <v>388</v>
      </c>
      <c r="T23" s="4" t="s">
        <v>40</v>
      </c>
      <c r="U23" s="4" t="s">
        <v>409</v>
      </c>
      <c r="V23" s="4" t="s">
        <v>410</v>
      </c>
      <c r="W23" s="4" t="s">
        <v>411</v>
      </c>
      <c r="X23" s="4" t="s">
        <v>412</v>
      </c>
      <c r="Y23" s="4" t="s">
        <v>413</v>
      </c>
      <c r="Z23" s="4" t="s">
        <v>414</v>
      </c>
      <c r="AA23" s="4"/>
      <c r="AB23" s="6">
        <v>46220</v>
      </c>
      <c r="AC23" s="4" t="s">
        <v>415</v>
      </c>
      <c r="AD23" s="4" t="s">
        <v>416</v>
      </c>
    </row>
    <row r="24" spans="1:30" ht="57">
      <c r="A24" s="3" t="s">
        <v>474</v>
      </c>
      <c r="B24" s="4" t="s">
        <v>42</v>
      </c>
      <c r="C24" s="4" t="s">
        <v>417</v>
      </c>
      <c r="D24" s="4" t="s">
        <v>357</v>
      </c>
      <c r="E24" s="4" t="s">
        <v>55</v>
      </c>
      <c r="F24" s="4" t="s">
        <v>187</v>
      </c>
      <c r="G24" s="6">
        <v>46157</v>
      </c>
      <c r="H24" s="4" t="s">
        <v>33</v>
      </c>
      <c r="I24" s="4" t="s">
        <v>70</v>
      </c>
      <c r="J24" s="4" t="s">
        <v>50</v>
      </c>
      <c r="K24" s="4" t="str">
        <f t="shared" ca="1" si="1"/>
        <v>Cerrada</v>
      </c>
      <c r="L24" s="8"/>
      <c r="M24" s="8">
        <v>20000</v>
      </c>
      <c r="N24" s="4" t="s">
        <v>51</v>
      </c>
      <c r="O24" s="4" t="s">
        <v>281</v>
      </c>
      <c r="P24" s="4" t="s">
        <v>189</v>
      </c>
      <c r="Q24" s="4" t="s">
        <v>482</v>
      </c>
      <c r="R24" s="4" t="s">
        <v>483</v>
      </c>
      <c r="S24" s="4" t="s">
        <v>418</v>
      </c>
      <c r="T24" s="4" t="s">
        <v>40</v>
      </c>
      <c r="U24" s="4" t="s">
        <v>419</v>
      </c>
      <c r="V24" s="4" t="s">
        <v>420</v>
      </c>
      <c r="W24" s="4" t="s">
        <v>421</v>
      </c>
      <c r="X24" s="4" t="s">
        <v>422</v>
      </c>
      <c r="Y24" s="4" t="s">
        <v>423</v>
      </c>
      <c r="Z24" s="4" t="s">
        <v>424</v>
      </c>
      <c r="AA24" s="4"/>
      <c r="AB24" s="6">
        <v>46220</v>
      </c>
      <c r="AC24" s="4" t="s">
        <v>425</v>
      </c>
      <c r="AD24" s="4" t="s">
        <v>426</v>
      </c>
    </row>
    <row r="25" spans="1:30" ht="71.25">
      <c r="A25" s="3" t="s">
        <v>475</v>
      </c>
      <c r="B25" s="4" t="s">
        <v>42</v>
      </c>
      <c r="C25" s="4" t="s">
        <v>427</v>
      </c>
      <c r="D25" s="4" t="s">
        <v>428</v>
      </c>
      <c r="E25" s="4" t="s">
        <v>31</v>
      </c>
      <c r="F25" s="4" t="s">
        <v>32</v>
      </c>
      <c r="G25" s="6">
        <v>46357</v>
      </c>
      <c r="H25" s="4" t="s">
        <v>33</v>
      </c>
      <c r="I25" s="4" t="s">
        <v>57</v>
      </c>
      <c r="J25" s="4" t="s">
        <v>35</v>
      </c>
      <c r="K25" s="4" t="str">
        <f t="shared" ca="1" si="1"/>
        <v>Abierta</v>
      </c>
      <c r="L25" s="8">
        <v>15000</v>
      </c>
      <c r="M25" s="8">
        <v>500000</v>
      </c>
      <c r="N25" s="4" t="s">
        <v>36</v>
      </c>
      <c r="O25" s="4" t="s">
        <v>188</v>
      </c>
      <c r="P25" s="4" t="s">
        <v>189</v>
      </c>
      <c r="Q25" s="4" t="s">
        <v>484</v>
      </c>
      <c r="R25" s="4" t="s">
        <v>46</v>
      </c>
      <c r="S25" s="4" t="s">
        <v>40</v>
      </c>
      <c r="T25" s="4" t="s">
        <v>40</v>
      </c>
      <c r="U25" s="4" t="s">
        <v>429</v>
      </c>
      <c r="V25" s="4" t="s">
        <v>430</v>
      </c>
      <c r="W25" s="4" t="s">
        <v>431</v>
      </c>
      <c r="X25" s="4" t="s">
        <v>432</v>
      </c>
      <c r="Y25" s="4" t="s">
        <v>433</v>
      </c>
      <c r="Z25" s="4" t="s">
        <v>434</v>
      </c>
      <c r="AA25" s="4" t="s">
        <v>435</v>
      </c>
      <c r="AB25" s="6">
        <v>46220</v>
      </c>
      <c r="AC25" s="4" t="s">
        <v>436</v>
      </c>
      <c r="AD25" s="4" t="s">
        <v>437</v>
      </c>
    </row>
    <row r="26" spans="1:30" ht="71.25">
      <c r="A26" s="3" t="s">
        <v>476</v>
      </c>
      <c r="B26" s="4" t="s">
        <v>42</v>
      </c>
      <c r="C26" s="4" t="s">
        <v>438</v>
      </c>
      <c r="D26" s="4" t="s">
        <v>386</v>
      </c>
      <c r="E26" s="4" t="s">
        <v>55</v>
      </c>
      <c r="F26" s="4" t="s">
        <v>258</v>
      </c>
      <c r="G26" s="6">
        <v>46287</v>
      </c>
      <c r="H26" s="4" t="s">
        <v>33</v>
      </c>
      <c r="I26" s="4" t="s">
        <v>34</v>
      </c>
      <c r="J26" s="4" t="s">
        <v>35</v>
      </c>
      <c r="K26" s="4" t="str">
        <f t="shared" ca="1" si="1"/>
        <v>Abierta</v>
      </c>
      <c r="L26" s="8"/>
      <c r="M26" s="8">
        <v>7000000</v>
      </c>
      <c r="N26" s="4" t="s">
        <v>51</v>
      </c>
      <c r="O26" s="4" t="s">
        <v>387</v>
      </c>
      <c r="P26" s="4" t="s">
        <v>189</v>
      </c>
      <c r="Q26" s="4" t="s">
        <v>485</v>
      </c>
      <c r="R26" s="4" t="s">
        <v>79</v>
      </c>
      <c r="S26" s="4" t="s">
        <v>388</v>
      </c>
      <c r="T26" s="4" t="s">
        <v>40</v>
      </c>
      <c r="U26" s="4" t="s">
        <v>439</v>
      </c>
      <c r="V26" s="4" t="s">
        <v>440</v>
      </c>
      <c r="W26" s="4" t="s">
        <v>441</v>
      </c>
      <c r="X26" s="4" t="s">
        <v>442</v>
      </c>
      <c r="Y26" s="4" t="s">
        <v>443</v>
      </c>
      <c r="Z26" s="4" t="s">
        <v>444</v>
      </c>
      <c r="AA26" s="4"/>
      <c r="AB26" s="6">
        <v>46220</v>
      </c>
      <c r="AC26" s="4" t="s">
        <v>445</v>
      </c>
      <c r="AD26" s="4" t="s">
        <v>486</v>
      </c>
    </row>
    <row r="27" spans="1:30" ht="71.25">
      <c r="A27" s="3" t="s">
        <v>477</v>
      </c>
      <c r="B27" s="4" t="s">
        <v>42</v>
      </c>
      <c r="C27" s="4" t="s">
        <v>446</v>
      </c>
      <c r="D27" s="4" t="s">
        <v>386</v>
      </c>
      <c r="E27" s="4" t="s">
        <v>55</v>
      </c>
      <c r="F27" s="4" t="s">
        <v>258</v>
      </c>
      <c r="G27" s="6">
        <v>46287</v>
      </c>
      <c r="H27" s="4" t="s">
        <v>33</v>
      </c>
      <c r="I27" s="4" t="s">
        <v>34</v>
      </c>
      <c r="J27" s="4" t="s">
        <v>35</v>
      </c>
      <c r="K27" s="4" t="str">
        <f t="shared" ca="1" si="1"/>
        <v>Abierta</v>
      </c>
      <c r="L27" s="8"/>
      <c r="M27" s="8">
        <v>20000000</v>
      </c>
      <c r="N27" s="4" t="s">
        <v>51</v>
      </c>
      <c r="O27" s="4" t="s">
        <v>387</v>
      </c>
      <c r="P27" s="4" t="s">
        <v>189</v>
      </c>
      <c r="Q27" s="4" t="s">
        <v>487</v>
      </c>
      <c r="R27" s="4" t="s">
        <v>79</v>
      </c>
      <c r="S27" s="4" t="s">
        <v>388</v>
      </c>
      <c r="T27" s="4" t="s">
        <v>40</v>
      </c>
      <c r="U27" s="4" t="s">
        <v>447</v>
      </c>
      <c r="V27" s="4" t="s">
        <v>448</v>
      </c>
      <c r="W27" s="4" t="s">
        <v>449</v>
      </c>
      <c r="X27" s="4" t="s">
        <v>450</v>
      </c>
      <c r="Y27" s="4" t="s">
        <v>451</v>
      </c>
      <c r="Z27" s="4" t="s">
        <v>452</v>
      </c>
      <c r="AA27" s="4"/>
      <c r="AB27" s="6">
        <v>46220</v>
      </c>
      <c r="AC27" s="4" t="s">
        <v>453</v>
      </c>
      <c r="AD27" s="4" t="s">
        <v>491</v>
      </c>
    </row>
    <row r="28" spans="1:30" ht="71.25">
      <c r="A28" s="3" t="s">
        <v>478</v>
      </c>
      <c r="B28" s="4" t="s">
        <v>42</v>
      </c>
      <c r="C28" s="4" t="s">
        <v>454</v>
      </c>
      <c r="D28" s="4" t="s">
        <v>386</v>
      </c>
      <c r="E28" s="4" t="s">
        <v>55</v>
      </c>
      <c r="F28" s="4" t="s">
        <v>258</v>
      </c>
      <c r="G28" s="6">
        <v>46287</v>
      </c>
      <c r="H28" s="4" t="s">
        <v>33</v>
      </c>
      <c r="I28" s="4" t="s">
        <v>34</v>
      </c>
      <c r="J28" s="4" t="s">
        <v>35</v>
      </c>
      <c r="K28" s="4" t="str">
        <f t="shared" ca="1" si="1"/>
        <v>Abierta</v>
      </c>
      <c r="L28" s="8"/>
      <c r="M28" s="8">
        <v>20000000</v>
      </c>
      <c r="N28" s="4" t="s">
        <v>51</v>
      </c>
      <c r="O28" s="4" t="s">
        <v>387</v>
      </c>
      <c r="P28" s="4" t="s">
        <v>189</v>
      </c>
      <c r="Q28" s="4" t="s">
        <v>488</v>
      </c>
      <c r="R28" s="4" t="s">
        <v>79</v>
      </c>
      <c r="S28" s="4" t="s">
        <v>388</v>
      </c>
      <c r="T28" s="4" t="s">
        <v>40</v>
      </c>
      <c r="U28" s="4" t="s">
        <v>455</v>
      </c>
      <c r="V28" s="4" t="s">
        <v>456</v>
      </c>
      <c r="W28" s="4" t="s">
        <v>457</v>
      </c>
      <c r="X28" s="4" t="s">
        <v>458</v>
      </c>
      <c r="Y28" s="4" t="s">
        <v>459</v>
      </c>
      <c r="Z28" s="4" t="s">
        <v>460</v>
      </c>
      <c r="AA28" s="4"/>
      <c r="AB28" s="6">
        <v>46220</v>
      </c>
      <c r="AC28" s="4" t="s">
        <v>461</v>
      </c>
      <c r="AD28" s="4" t="s">
        <v>462</v>
      </c>
    </row>
    <row r="29" spans="1:30" ht="71.25">
      <c r="A29" s="3" t="s">
        <v>479</v>
      </c>
      <c r="B29" s="4" t="s">
        <v>42</v>
      </c>
      <c r="C29" s="4" t="s">
        <v>463</v>
      </c>
      <c r="D29" s="4" t="s">
        <v>386</v>
      </c>
      <c r="E29" s="4" t="s">
        <v>55</v>
      </c>
      <c r="F29" s="4" t="s">
        <v>258</v>
      </c>
      <c r="G29" s="6">
        <v>46287</v>
      </c>
      <c r="H29" s="4" t="s">
        <v>33</v>
      </c>
      <c r="I29" s="4" t="s">
        <v>34</v>
      </c>
      <c r="J29" s="4" t="s">
        <v>35</v>
      </c>
      <c r="K29" s="4" t="str">
        <f t="shared" ca="1" si="1"/>
        <v>Abierta</v>
      </c>
      <c r="L29" s="8"/>
      <c r="M29" s="8">
        <v>7000000</v>
      </c>
      <c r="N29" s="4" t="s">
        <v>51</v>
      </c>
      <c r="O29" s="4" t="s">
        <v>387</v>
      </c>
      <c r="P29" s="4" t="s">
        <v>189</v>
      </c>
      <c r="Q29" s="4" t="s">
        <v>489</v>
      </c>
      <c r="R29" s="4" t="s">
        <v>79</v>
      </c>
      <c r="S29" s="4" t="s">
        <v>388</v>
      </c>
      <c r="T29" s="4" t="s">
        <v>40</v>
      </c>
      <c r="U29" s="4" t="s">
        <v>464</v>
      </c>
      <c r="V29" s="4" t="s">
        <v>465</v>
      </c>
      <c r="W29" s="4" t="s">
        <v>466</v>
      </c>
      <c r="X29" s="4" t="s">
        <v>467</v>
      </c>
      <c r="Y29" s="4" t="s">
        <v>468</v>
      </c>
      <c r="Z29" s="4" t="s">
        <v>469</v>
      </c>
      <c r="AA29" s="4"/>
      <c r="AB29" s="6">
        <v>46220</v>
      </c>
      <c r="AC29" s="4" t="s">
        <v>470</v>
      </c>
      <c r="AD29" s="4" t="s">
        <v>492</v>
      </c>
    </row>
    <row r="30" spans="1:30" ht="71.25">
      <c r="A30" s="3" t="s">
        <v>534</v>
      </c>
      <c r="B30" s="4" t="s">
        <v>42</v>
      </c>
      <c r="C30" s="4" t="s">
        <v>493</v>
      </c>
      <c r="D30" s="4" t="s">
        <v>494</v>
      </c>
      <c r="E30" s="4" t="s">
        <v>55</v>
      </c>
      <c r="F30" s="4" t="s">
        <v>187</v>
      </c>
      <c r="G30" s="6">
        <v>46216</v>
      </c>
      <c r="H30" s="4" t="s">
        <v>33</v>
      </c>
      <c r="I30" s="4" t="s">
        <v>44</v>
      </c>
      <c r="J30" s="4" t="s">
        <v>50</v>
      </c>
      <c r="K30" s="4" t="str">
        <f t="shared" ca="1" si="1"/>
        <v>Cerrada</v>
      </c>
      <c r="L30" s="8"/>
      <c r="M30" s="8">
        <v>50000</v>
      </c>
      <c r="N30" s="4" t="s">
        <v>36</v>
      </c>
      <c r="O30" s="4" t="s">
        <v>533</v>
      </c>
      <c r="P30" s="4" t="s">
        <v>189</v>
      </c>
      <c r="Q30" s="4" t="s">
        <v>495</v>
      </c>
      <c r="R30" s="4" t="s">
        <v>46</v>
      </c>
      <c r="S30" s="4" t="s">
        <v>496</v>
      </c>
      <c r="T30" s="4" t="s">
        <v>40</v>
      </c>
      <c r="U30" s="4" t="s">
        <v>497</v>
      </c>
      <c r="V30" s="4" t="s">
        <v>498</v>
      </c>
      <c r="W30" s="4" t="s">
        <v>499</v>
      </c>
      <c r="X30" s="4" t="s">
        <v>500</v>
      </c>
      <c r="Y30" s="4" t="s">
        <v>501</v>
      </c>
      <c r="Z30" s="4" t="s">
        <v>502</v>
      </c>
      <c r="AA30" s="4"/>
      <c r="AB30" s="6">
        <v>46220</v>
      </c>
      <c r="AC30" s="4" t="s">
        <v>503</v>
      </c>
      <c r="AD30" s="4" t="s">
        <v>504</v>
      </c>
    </row>
    <row r="31" spans="1:30" ht="71.25">
      <c r="A31" s="3" t="s">
        <v>535</v>
      </c>
      <c r="B31" s="4" t="s">
        <v>42</v>
      </c>
      <c r="C31" s="4" t="s">
        <v>505</v>
      </c>
      <c r="D31" s="4" t="s">
        <v>357</v>
      </c>
      <c r="E31" s="4" t="s">
        <v>55</v>
      </c>
      <c r="F31" s="4" t="s">
        <v>187</v>
      </c>
      <c r="G31" s="6">
        <v>46157</v>
      </c>
      <c r="H31" s="4" t="s">
        <v>33</v>
      </c>
      <c r="I31" s="4" t="s">
        <v>34</v>
      </c>
      <c r="J31" s="4" t="s">
        <v>50</v>
      </c>
      <c r="K31" s="4" t="str">
        <f t="shared" ca="1" si="1"/>
        <v>Cerrada</v>
      </c>
      <c r="L31" s="8"/>
      <c r="M31" s="8">
        <v>20000</v>
      </c>
      <c r="N31" s="4" t="s">
        <v>51</v>
      </c>
      <c r="O31" s="4" t="s">
        <v>281</v>
      </c>
      <c r="P31" s="4" t="s">
        <v>189</v>
      </c>
      <c r="Q31" s="4" t="s">
        <v>506</v>
      </c>
      <c r="R31" s="4" t="s">
        <v>79</v>
      </c>
      <c r="S31" s="4" t="s">
        <v>418</v>
      </c>
      <c r="T31" s="4" t="s">
        <v>40</v>
      </c>
      <c r="U31" s="4" t="s">
        <v>507</v>
      </c>
      <c r="V31" s="4" t="s">
        <v>508</v>
      </c>
      <c r="W31" s="4" t="s">
        <v>509</v>
      </c>
      <c r="X31" s="4" t="s">
        <v>510</v>
      </c>
      <c r="Y31" s="4" t="s">
        <v>511</v>
      </c>
      <c r="Z31" s="4" t="s">
        <v>424</v>
      </c>
      <c r="AA31" s="4"/>
      <c r="AB31" s="6">
        <v>46220</v>
      </c>
      <c r="AC31" s="4" t="s">
        <v>512</v>
      </c>
      <c r="AD31" s="4" t="s">
        <v>513</v>
      </c>
    </row>
    <row r="32" spans="1:30" ht="71.25">
      <c r="A32" s="3" t="s">
        <v>536</v>
      </c>
      <c r="B32" s="4" t="s">
        <v>42</v>
      </c>
      <c r="C32" s="4" t="s">
        <v>514</v>
      </c>
      <c r="D32" s="4" t="s">
        <v>357</v>
      </c>
      <c r="E32" s="4" t="s">
        <v>55</v>
      </c>
      <c r="F32" s="4" t="s">
        <v>187</v>
      </c>
      <c r="G32" s="6">
        <v>46157</v>
      </c>
      <c r="H32" s="4" t="s">
        <v>33</v>
      </c>
      <c r="I32" s="4" t="s">
        <v>34</v>
      </c>
      <c r="J32" s="4" t="s">
        <v>50</v>
      </c>
      <c r="K32" s="4" t="str">
        <f t="shared" ca="1" si="1"/>
        <v>Cerrada</v>
      </c>
      <c r="L32" s="8"/>
      <c r="M32" s="8">
        <v>20000</v>
      </c>
      <c r="N32" s="4" t="s">
        <v>51</v>
      </c>
      <c r="O32" s="4" t="s">
        <v>281</v>
      </c>
      <c r="P32" s="4" t="s">
        <v>189</v>
      </c>
      <c r="Q32" s="4" t="s">
        <v>515</v>
      </c>
      <c r="R32" s="4" t="s">
        <v>79</v>
      </c>
      <c r="S32" s="4" t="s">
        <v>418</v>
      </c>
      <c r="T32" s="4" t="s">
        <v>40</v>
      </c>
      <c r="U32" s="4" t="s">
        <v>516</v>
      </c>
      <c r="V32" s="4" t="s">
        <v>517</v>
      </c>
      <c r="W32" s="4" t="s">
        <v>518</v>
      </c>
      <c r="X32" s="4" t="s">
        <v>519</v>
      </c>
      <c r="Y32" s="4" t="s">
        <v>520</v>
      </c>
      <c r="Z32" s="4" t="s">
        <v>424</v>
      </c>
      <c r="AA32" s="4"/>
      <c r="AB32" s="6">
        <v>46220</v>
      </c>
      <c r="AC32" s="4" t="s">
        <v>512</v>
      </c>
      <c r="AD32" s="4" t="s">
        <v>538</v>
      </c>
    </row>
    <row r="33" spans="1:30" ht="71.25">
      <c r="A33" s="3" t="s">
        <v>537</v>
      </c>
      <c r="B33" s="4" t="s">
        <v>42</v>
      </c>
      <c r="C33" s="4" t="s">
        <v>521</v>
      </c>
      <c r="D33" s="4" t="s">
        <v>522</v>
      </c>
      <c r="E33" s="4" t="s">
        <v>80</v>
      </c>
      <c r="F33" s="4" t="s">
        <v>32</v>
      </c>
      <c r="G33" s="6">
        <v>46357</v>
      </c>
      <c r="H33" s="4" t="s">
        <v>33</v>
      </c>
      <c r="I33" s="4" t="s">
        <v>70</v>
      </c>
      <c r="J33" s="4" t="s">
        <v>35</v>
      </c>
      <c r="K33" s="4" t="str">
        <f t="shared" ca="1" si="1"/>
        <v>Abierta</v>
      </c>
      <c r="L33" s="8"/>
      <c r="M33" s="8">
        <v>5000</v>
      </c>
      <c r="N33" s="4" t="s">
        <v>36</v>
      </c>
      <c r="O33" s="4"/>
      <c r="P33" s="4" t="s">
        <v>60</v>
      </c>
      <c r="Q33" s="4" t="s">
        <v>523</v>
      </c>
      <c r="R33" s="4" t="s">
        <v>524</v>
      </c>
      <c r="S33" s="4" t="s">
        <v>40</v>
      </c>
      <c r="T33" s="4" t="s">
        <v>40</v>
      </c>
      <c r="U33" s="4" t="s">
        <v>525</v>
      </c>
      <c r="V33" s="4" t="s">
        <v>526</v>
      </c>
      <c r="W33" s="4" t="s">
        <v>527</v>
      </c>
      <c r="X33" s="4" t="s">
        <v>528</v>
      </c>
      <c r="Y33" s="4" t="s">
        <v>529</v>
      </c>
      <c r="Z33" s="4" t="s">
        <v>530</v>
      </c>
      <c r="AA33" s="4"/>
      <c r="AB33" s="6">
        <v>46220</v>
      </c>
      <c r="AC33" s="4" t="s">
        <v>531</v>
      </c>
      <c r="AD33" s="4" t="s">
        <v>532</v>
      </c>
    </row>
    <row r="34" spans="1:30" ht="71.25">
      <c r="A34" s="3" t="s">
        <v>595</v>
      </c>
      <c r="B34" s="4" t="s">
        <v>42</v>
      </c>
      <c r="C34" s="4" t="s">
        <v>539</v>
      </c>
      <c r="D34" s="4" t="s">
        <v>540</v>
      </c>
      <c r="E34" s="4" t="s">
        <v>80</v>
      </c>
      <c r="F34" s="4" t="s">
        <v>32</v>
      </c>
      <c r="G34" s="6">
        <v>46264</v>
      </c>
      <c r="H34" s="4" t="s">
        <v>33</v>
      </c>
      <c r="I34" s="4" t="s">
        <v>49</v>
      </c>
      <c r="J34" s="4" t="s">
        <v>35</v>
      </c>
      <c r="K34" s="4" t="str">
        <f t="shared" ca="1" si="1"/>
        <v>Abierta</v>
      </c>
      <c r="L34" s="8"/>
      <c r="M34" s="8">
        <v>50000</v>
      </c>
      <c r="N34" s="4" t="s">
        <v>36</v>
      </c>
      <c r="O34" s="4" t="s">
        <v>541</v>
      </c>
      <c r="P34" s="4" t="s">
        <v>189</v>
      </c>
      <c r="Q34" s="4" t="s">
        <v>542</v>
      </c>
      <c r="R34" s="4" t="s">
        <v>543</v>
      </c>
      <c r="S34" s="4" t="s">
        <v>187</v>
      </c>
      <c r="T34" s="4" t="s">
        <v>40</v>
      </c>
      <c r="U34" s="4" t="s">
        <v>544</v>
      </c>
      <c r="V34" s="4" t="s">
        <v>545</v>
      </c>
      <c r="W34" s="4" t="s">
        <v>546</v>
      </c>
      <c r="X34" s="4" t="s">
        <v>547</v>
      </c>
      <c r="Y34" s="4" t="s">
        <v>548</v>
      </c>
      <c r="Z34" s="4" t="s">
        <v>549</v>
      </c>
      <c r="AA34" s="4"/>
      <c r="AB34" s="6">
        <v>46220</v>
      </c>
      <c r="AC34" s="4" t="s">
        <v>550</v>
      </c>
      <c r="AD34" s="4" t="s">
        <v>600</v>
      </c>
    </row>
    <row r="35" spans="1:30" ht="71.25">
      <c r="A35" s="3" t="s">
        <v>596</v>
      </c>
      <c r="B35" s="4" t="s">
        <v>42</v>
      </c>
      <c r="C35" s="4" t="s">
        <v>551</v>
      </c>
      <c r="D35" s="4" t="s">
        <v>552</v>
      </c>
      <c r="E35" s="4" t="s">
        <v>80</v>
      </c>
      <c r="F35" s="4" t="s">
        <v>187</v>
      </c>
      <c r="G35" s="6">
        <v>46295</v>
      </c>
      <c r="H35" s="4" t="s">
        <v>33</v>
      </c>
      <c r="I35" s="4" t="s">
        <v>70</v>
      </c>
      <c r="J35" s="4" t="s">
        <v>35</v>
      </c>
      <c r="K35" s="4" t="str">
        <f t="shared" ca="1" si="1"/>
        <v>Abierta</v>
      </c>
      <c r="L35" s="8"/>
      <c r="M35" s="8">
        <v>2500</v>
      </c>
      <c r="N35" s="4" t="s">
        <v>51</v>
      </c>
      <c r="O35" s="4" t="s">
        <v>553</v>
      </c>
      <c r="P35" s="4" t="s">
        <v>189</v>
      </c>
      <c r="Q35" s="4" t="s">
        <v>554</v>
      </c>
      <c r="R35" s="4" t="s">
        <v>555</v>
      </c>
      <c r="S35" s="4" t="s">
        <v>187</v>
      </c>
      <c r="T35" s="4" t="s">
        <v>40</v>
      </c>
      <c r="U35" s="4" t="s">
        <v>556</v>
      </c>
      <c r="V35" s="4" t="s">
        <v>557</v>
      </c>
      <c r="W35" s="4" t="s">
        <v>558</v>
      </c>
      <c r="X35" s="4" t="s">
        <v>559</v>
      </c>
      <c r="Y35" s="4" t="s">
        <v>560</v>
      </c>
      <c r="Z35" s="4" t="s">
        <v>561</v>
      </c>
      <c r="AA35" s="4"/>
      <c r="AB35" s="6">
        <v>46220</v>
      </c>
      <c r="AC35" s="4" t="s">
        <v>552</v>
      </c>
      <c r="AD35" s="4" t="s">
        <v>562</v>
      </c>
    </row>
    <row r="36" spans="1:30" ht="71.25">
      <c r="A36" s="3" t="s">
        <v>597</v>
      </c>
      <c r="B36" s="4" t="s">
        <v>42</v>
      </c>
      <c r="C36" s="4" t="s">
        <v>563</v>
      </c>
      <c r="D36" s="4" t="s">
        <v>552</v>
      </c>
      <c r="E36" s="4" t="s">
        <v>80</v>
      </c>
      <c r="F36" s="4" t="s">
        <v>187</v>
      </c>
      <c r="G36" s="6">
        <v>46295</v>
      </c>
      <c r="H36" s="4" t="s">
        <v>33</v>
      </c>
      <c r="I36" s="4" t="s">
        <v>70</v>
      </c>
      <c r="J36" s="4" t="s">
        <v>35</v>
      </c>
      <c r="K36" s="4" t="str">
        <f t="shared" ca="1" si="1"/>
        <v>Abierta</v>
      </c>
      <c r="L36" s="8"/>
      <c r="M36" s="8">
        <v>10000</v>
      </c>
      <c r="N36" s="4" t="s">
        <v>51</v>
      </c>
      <c r="O36" s="4" t="s">
        <v>387</v>
      </c>
      <c r="P36" s="4" t="s">
        <v>189</v>
      </c>
      <c r="Q36" s="4" t="s">
        <v>564</v>
      </c>
      <c r="R36" s="4" t="s">
        <v>565</v>
      </c>
      <c r="S36" s="4" t="s">
        <v>566</v>
      </c>
      <c r="T36" s="4" t="s">
        <v>40</v>
      </c>
      <c r="U36" s="4" t="s">
        <v>567</v>
      </c>
      <c r="V36" s="4" t="s">
        <v>568</v>
      </c>
      <c r="W36" s="4" t="s">
        <v>569</v>
      </c>
      <c r="X36" s="4" t="s">
        <v>570</v>
      </c>
      <c r="Y36" s="4" t="s">
        <v>571</v>
      </c>
      <c r="Z36" s="4" t="s">
        <v>561</v>
      </c>
      <c r="AA36" s="4"/>
      <c r="AB36" s="6">
        <v>46220</v>
      </c>
      <c r="AC36" s="4" t="s">
        <v>572</v>
      </c>
      <c r="AD36" s="4" t="s">
        <v>573</v>
      </c>
    </row>
    <row r="37" spans="1:30" ht="85.5">
      <c r="A37" s="3" t="s">
        <v>598</v>
      </c>
      <c r="B37" s="4" t="s">
        <v>42</v>
      </c>
      <c r="C37" s="4" t="s">
        <v>574</v>
      </c>
      <c r="D37" s="4" t="s">
        <v>575</v>
      </c>
      <c r="E37" s="4" t="s">
        <v>31</v>
      </c>
      <c r="F37" s="4" t="s">
        <v>202</v>
      </c>
      <c r="G37" s="6"/>
      <c r="H37" s="4" t="s">
        <v>56</v>
      </c>
      <c r="I37" s="4" t="s">
        <v>70</v>
      </c>
      <c r="J37" s="4" t="s">
        <v>35</v>
      </c>
      <c r="K37" s="4" t="str">
        <f t="shared" ca="1" si="1"/>
        <v>Sin fecha</v>
      </c>
      <c r="L37" s="8"/>
      <c r="M37" s="8">
        <v>7000</v>
      </c>
      <c r="N37" s="4" t="s">
        <v>59</v>
      </c>
      <c r="O37" s="4" t="s">
        <v>387</v>
      </c>
      <c r="P37" s="4" t="s">
        <v>189</v>
      </c>
      <c r="Q37" s="4" t="s">
        <v>576</v>
      </c>
      <c r="R37" s="4" t="s">
        <v>577</v>
      </c>
      <c r="S37" s="4" t="s">
        <v>135</v>
      </c>
      <c r="T37" s="4" t="s">
        <v>40</v>
      </c>
      <c r="U37" s="4" t="s">
        <v>578</v>
      </c>
      <c r="V37" s="4" t="s">
        <v>579</v>
      </c>
      <c r="W37" s="4" t="s">
        <v>580</v>
      </c>
      <c r="X37" s="4" t="s">
        <v>581</v>
      </c>
      <c r="Y37" s="4" t="s">
        <v>582</v>
      </c>
      <c r="Z37" s="4" t="s">
        <v>583</v>
      </c>
      <c r="AA37" s="4"/>
      <c r="AB37" s="6">
        <v>46220</v>
      </c>
      <c r="AC37" s="4" t="s">
        <v>575</v>
      </c>
      <c r="AD37" s="4" t="s">
        <v>584</v>
      </c>
    </row>
    <row r="38" spans="1:30" ht="85.5">
      <c r="A38" s="3" t="s">
        <v>599</v>
      </c>
      <c r="B38" s="4" t="s">
        <v>42</v>
      </c>
      <c r="C38" s="4" t="s">
        <v>585</v>
      </c>
      <c r="D38" s="4" t="s">
        <v>586</v>
      </c>
      <c r="E38" s="4" t="s">
        <v>80</v>
      </c>
      <c r="F38" s="4" t="s">
        <v>32</v>
      </c>
      <c r="G38" s="6">
        <v>46094</v>
      </c>
      <c r="H38" s="4" t="s">
        <v>33</v>
      </c>
      <c r="I38" s="4" t="s">
        <v>70</v>
      </c>
      <c r="J38" s="4" t="s">
        <v>50</v>
      </c>
      <c r="K38" s="4" t="str">
        <f t="shared" ca="1" si="1"/>
        <v>Cerrada</v>
      </c>
      <c r="L38" s="8"/>
      <c r="M38" s="8">
        <v>10000</v>
      </c>
      <c r="N38" s="4" t="s">
        <v>36</v>
      </c>
      <c r="O38" s="4" t="s">
        <v>138</v>
      </c>
      <c r="P38" s="4" t="s">
        <v>189</v>
      </c>
      <c r="Q38" s="4" t="s">
        <v>587</v>
      </c>
      <c r="R38" s="4" t="s">
        <v>74</v>
      </c>
      <c r="S38" s="4" t="s">
        <v>187</v>
      </c>
      <c r="T38" s="4" t="s">
        <v>40</v>
      </c>
      <c r="U38" s="4" t="s">
        <v>588</v>
      </c>
      <c r="V38" s="4" t="s">
        <v>589</v>
      </c>
      <c r="W38" s="4" t="s">
        <v>590</v>
      </c>
      <c r="X38" s="4" t="s">
        <v>591</v>
      </c>
      <c r="Y38" s="4" t="s">
        <v>592</v>
      </c>
      <c r="Z38" s="4" t="s">
        <v>593</v>
      </c>
      <c r="AA38" s="4"/>
      <c r="AB38" s="6">
        <v>46220</v>
      </c>
      <c r="AC38" s="4" t="s">
        <v>594</v>
      </c>
      <c r="AD38" s="4" t="s">
        <v>601</v>
      </c>
    </row>
    <row r="39" spans="1:30" ht="128.25" customHeight="1">
      <c r="A39" s="3" t="s">
        <v>653</v>
      </c>
      <c r="B39" s="4" t="s">
        <v>42</v>
      </c>
      <c r="C39" s="4" t="s">
        <v>602</v>
      </c>
      <c r="D39" s="4" t="s">
        <v>603</v>
      </c>
      <c r="E39" s="4" t="s">
        <v>80</v>
      </c>
      <c r="F39" s="4" t="s">
        <v>136</v>
      </c>
      <c r="G39" s="6">
        <v>46142</v>
      </c>
      <c r="H39" s="4" t="s">
        <v>33</v>
      </c>
      <c r="I39" s="4" t="s">
        <v>70</v>
      </c>
      <c r="J39" s="4" t="s">
        <v>50</v>
      </c>
      <c r="K39" s="4" t="str">
        <f t="shared" ca="1" si="1"/>
        <v>Cerrada</v>
      </c>
      <c r="L39" s="8">
        <v>15000</v>
      </c>
      <c r="M39" s="8">
        <v>15000</v>
      </c>
      <c r="N39" s="4" t="s">
        <v>51</v>
      </c>
      <c r="O39" s="4" t="s">
        <v>188</v>
      </c>
      <c r="P39" s="4" t="s">
        <v>52</v>
      </c>
      <c r="Q39" s="4" t="s">
        <v>61</v>
      </c>
      <c r="R39" s="4" t="s">
        <v>74</v>
      </c>
      <c r="S39" s="4" t="s">
        <v>604</v>
      </c>
      <c r="T39" s="4" t="s">
        <v>605</v>
      </c>
      <c r="U39" s="4" t="s">
        <v>606</v>
      </c>
      <c r="V39" s="4" t="s">
        <v>607</v>
      </c>
      <c r="W39" s="4" t="s">
        <v>608</v>
      </c>
      <c r="X39" s="4" t="s">
        <v>609</v>
      </c>
      <c r="Y39" s="4" t="s">
        <v>610</v>
      </c>
      <c r="Z39" s="4" t="s">
        <v>611</v>
      </c>
      <c r="AA39" s="4"/>
      <c r="AB39" s="6">
        <v>46223</v>
      </c>
      <c r="AC39" s="4" t="s">
        <v>603</v>
      </c>
      <c r="AD39" s="4" t="s">
        <v>612</v>
      </c>
    </row>
    <row r="40" spans="1:30" ht="128.25" customHeight="1">
      <c r="A40" s="3" t="s">
        <v>654</v>
      </c>
      <c r="B40" s="4" t="s">
        <v>42</v>
      </c>
      <c r="C40" s="4" t="s">
        <v>613</v>
      </c>
      <c r="D40" s="4" t="s">
        <v>614</v>
      </c>
      <c r="E40" s="4" t="s">
        <v>80</v>
      </c>
      <c r="F40" s="4" t="s">
        <v>32</v>
      </c>
      <c r="G40" s="6">
        <v>46204</v>
      </c>
      <c r="H40" s="4" t="s">
        <v>33</v>
      </c>
      <c r="I40" s="4" t="s">
        <v>70</v>
      </c>
      <c r="J40" s="4" t="s">
        <v>50</v>
      </c>
      <c r="K40" s="4" t="str">
        <f t="shared" ca="1" si="1"/>
        <v>Cerrada</v>
      </c>
      <c r="L40" s="8"/>
      <c r="M40" s="8">
        <v>7000</v>
      </c>
      <c r="N40" s="4" t="s">
        <v>36</v>
      </c>
      <c r="O40" s="4" t="s">
        <v>188</v>
      </c>
      <c r="P40" s="4" t="s">
        <v>189</v>
      </c>
      <c r="Q40" s="4" t="s">
        <v>53</v>
      </c>
      <c r="R40" s="4" t="s">
        <v>74</v>
      </c>
      <c r="S40" s="4" t="s">
        <v>187</v>
      </c>
      <c r="T40" s="4" t="s">
        <v>615</v>
      </c>
      <c r="U40" s="4" t="s">
        <v>616</v>
      </c>
      <c r="V40" s="4" t="s">
        <v>617</v>
      </c>
      <c r="W40" s="4" t="s">
        <v>618</v>
      </c>
      <c r="X40" s="4" t="s">
        <v>619</v>
      </c>
      <c r="Y40" s="4" t="s">
        <v>620</v>
      </c>
      <c r="Z40" s="4" t="s">
        <v>621</v>
      </c>
      <c r="AA40" s="4"/>
      <c r="AB40" s="6">
        <v>46223</v>
      </c>
      <c r="AC40" s="4" t="s">
        <v>614</v>
      </c>
      <c r="AD40" s="4" t="s">
        <v>622</v>
      </c>
    </row>
    <row r="41" spans="1:30" ht="128.25" customHeight="1">
      <c r="A41" s="3" t="s">
        <v>655</v>
      </c>
      <c r="B41" s="4" t="s">
        <v>42</v>
      </c>
      <c r="C41" s="4" t="s">
        <v>623</v>
      </c>
      <c r="D41" s="4" t="s">
        <v>614</v>
      </c>
      <c r="E41" s="4" t="s">
        <v>80</v>
      </c>
      <c r="F41" s="4" t="s">
        <v>32</v>
      </c>
      <c r="G41" s="6">
        <v>46204</v>
      </c>
      <c r="H41" s="4" t="s">
        <v>33</v>
      </c>
      <c r="I41" s="4" t="s">
        <v>70</v>
      </c>
      <c r="J41" s="4" t="s">
        <v>50</v>
      </c>
      <c r="K41" s="4" t="str">
        <f t="shared" ca="1" si="1"/>
        <v>Cerrada</v>
      </c>
      <c r="L41" s="8"/>
      <c r="M41" s="8">
        <v>32500</v>
      </c>
      <c r="N41" s="4" t="s">
        <v>36</v>
      </c>
      <c r="O41" s="4" t="s">
        <v>188</v>
      </c>
      <c r="P41" s="4" t="s">
        <v>189</v>
      </c>
      <c r="Q41" s="4" t="s">
        <v>67</v>
      </c>
      <c r="R41" s="4" t="s">
        <v>46</v>
      </c>
      <c r="S41" s="4" t="s">
        <v>624</v>
      </c>
      <c r="T41" s="4" t="s">
        <v>625</v>
      </c>
      <c r="U41" s="4" t="s">
        <v>626</v>
      </c>
      <c r="V41" s="4" t="s">
        <v>627</v>
      </c>
      <c r="W41" s="4" t="s">
        <v>628</v>
      </c>
      <c r="X41" s="4" t="s">
        <v>629</v>
      </c>
      <c r="Y41" s="4" t="s">
        <v>630</v>
      </c>
      <c r="Z41" s="4" t="s">
        <v>621</v>
      </c>
      <c r="AA41" s="4"/>
      <c r="AB41" s="6">
        <v>46223</v>
      </c>
      <c r="AC41" s="4" t="s">
        <v>614</v>
      </c>
      <c r="AD41" s="4" t="s">
        <v>631</v>
      </c>
    </row>
    <row r="42" spans="1:30" ht="128.25" customHeight="1">
      <c r="A42" s="3" t="s">
        <v>656</v>
      </c>
      <c r="B42" s="4" t="s">
        <v>42</v>
      </c>
      <c r="C42" s="4" t="s">
        <v>632</v>
      </c>
      <c r="D42" s="4" t="s">
        <v>633</v>
      </c>
      <c r="E42" s="4" t="s">
        <v>31</v>
      </c>
      <c r="F42" s="4" t="s">
        <v>187</v>
      </c>
      <c r="G42" s="6">
        <v>46341</v>
      </c>
      <c r="H42" s="4" t="s">
        <v>33</v>
      </c>
      <c r="I42" s="4" t="s">
        <v>70</v>
      </c>
      <c r="J42" s="4" t="s">
        <v>35</v>
      </c>
      <c r="K42" s="4" t="str">
        <f t="shared" ca="1" si="1"/>
        <v>Abierta</v>
      </c>
      <c r="L42" s="8">
        <v>1500</v>
      </c>
      <c r="M42" s="8">
        <v>20000</v>
      </c>
      <c r="N42" s="4" t="s">
        <v>36</v>
      </c>
      <c r="O42" s="4" t="s">
        <v>634</v>
      </c>
      <c r="P42" s="4" t="s">
        <v>52</v>
      </c>
      <c r="Q42" s="4" t="s">
        <v>61</v>
      </c>
      <c r="R42" s="4" t="s">
        <v>74</v>
      </c>
      <c r="S42" s="4" t="s">
        <v>187</v>
      </c>
      <c r="T42" s="4" t="s">
        <v>635</v>
      </c>
      <c r="U42" s="4" t="s">
        <v>636</v>
      </c>
      <c r="V42" s="4" t="s">
        <v>637</v>
      </c>
      <c r="W42" s="4" t="s">
        <v>638</v>
      </c>
      <c r="X42" s="4" t="s">
        <v>639</v>
      </c>
      <c r="Y42" s="4" t="s">
        <v>640</v>
      </c>
      <c r="Z42" s="4" t="s">
        <v>641</v>
      </c>
      <c r="AA42" s="4"/>
      <c r="AB42" s="6">
        <v>46223</v>
      </c>
      <c r="AC42" s="4" t="s">
        <v>642</v>
      </c>
      <c r="AD42" s="4" t="s">
        <v>643</v>
      </c>
    </row>
    <row r="43" spans="1:30" ht="128.25" customHeight="1">
      <c r="A43" s="3" t="s">
        <v>657</v>
      </c>
      <c r="B43" s="4" t="s">
        <v>42</v>
      </c>
      <c r="C43" s="4" t="s">
        <v>644</v>
      </c>
      <c r="D43" s="4" t="s">
        <v>633</v>
      </c>
      <c r="E43" s="4" t="s">
        <v>31</v>
      </c>
      <c r="F43" s="4" t="s">
        <v>187</v>
      </c>
      <c r="G43" s="6">
        <v>46265</v>
      </c>
      <c r="H43" s="4" t="s">
        <v>33</v>
      </c>
      <c r="I43" s="4" t="s">
        <v>34</v>
      </c>
      <c r="J43" s="4" t="s">
        <v>35</v>
      </c>
      <c r="K43" s="4" t="str">
        <f t="shared" ca="1" si="1"/>
        <v>Abierta</v>
      </c>
      <c r="L43" s="8"/>
      <c r="M43" s="8">
        <v>200000</v>
      </c>
      <c r="N43" s="4" t="s">
        <v>36</v>
      </c>
      <c r="O43" s="4" t="s">
        <v>645</v>
      </c>
      <c r="P43" s="4" t="s">
        <v>189</v>
      </c>
      <c r="Q43" s="4" t="s">
        <v>67</v>
      </c>
      <c r="R43" s="4" t="s">
        <v>46</v>
      </c>
      <c r="S43" s="4" t="s">
        <v>187</v>
      </c>
      <c r="T43" s="4" t="s">
        <v>635</v>
      </c>
      <c r="U43" s="4" t="s">
        <v>646</v>
      </c>
      <c r="V43" s="4" t="s">
        <v>647</v>
      </c>
      <c r="W43" s="4" t="s">
        <v>648</v>
      </c>
      <c r="X43" s="4" t="s">
        <v>649</v>
      </c>
      <c r="Y43" s="4" t="s">
        <v>650</v>
      </c>
      <c r="Z43" s="4" t="s">
        <v>651</v>
      </c>
      <c r="AA43" s="4"/>
      <c r="AB43" s="6">
        <v>46223</v>
      </c>
      <c r="AC43" s="4" t="s">
        <v>642</v>
      </c>
      <c r="AD43" s="4" t="s">
        <v>652</v>
      </c>
    </row>
    <row r="44" spans="1:30" ht="85.5">
      <c r="A44" s="3" t="s">
        <v>747</v>
      </c>
      <c r="B44" s="4" t="s">
        <v>42</v>
      </c>
      <c r="C44" s="4" t="s">
        <v>658</v>
      </c>
      <c r="D44" s="4" t="s">
        <v>659</v>
      </c>
      <c r="E44" s="4" t="s">
        <v>47</v>
      </c>
      <c r="F44" s="4" t="s">
        <v>32</v>
      </c>
      <c r="G44" s="6">
        <v>46237</v>
      </c>
      <c r="H44" s="4" t="s">
        <v>33</v>
      </c>
      <c r="I44" s="4" t="s">
        <v>49</v>
      </c>
      <c r="J44" s="4" t="s">
        <v>35</v>
      </c>
      <c r="K44" s="4" t="str">
        <f t="shared" ca="1" si="1"/>
        <v>Próxima a vencer</v>
      </c>
      <c r="L44" s="8"/>
      <c r="M44" s="8">
        <v>800000</v>
      </c>
      <c r="N44" s="4" t="s">
        <v>36</v>
      </c>
      <c r="O44" s="4" t="s">
        <v>660</v>
      </c>
      <c r="P44" s="4" t="s">
        <v>189</v>
      </c>
      <c r="Q44" s="4" t="s">
        <v>661</v>
      </c>
      <c r="R44" s="4" t="s">
        <v>662</v>
      </c>
      <c r="S44" s="4" t="s">
        <v>663</v>
      </c>
      <c r="T44" s="4" t="s">
        <v>664</v>
      </c>
      <c r="U44" s="4" t="s">
        <v>665</v>
      </c>
      <c r="V44" s="4" t="s">
        <v>768</v>
      </c>
      <c r="W44" s="4" t="s">
        <v>666</v>
      </c>
      <c r="X44" s="4" t="s">
        <v>667</v>
      </c>
      <c r="Y44" s="4" t="s">
        <v>668</v>
      </c>
      <c r="Z44" s="4" t="s">
        <v>669</v>
      </c>
      <c r="AA44" s="4"/>
      <c r="AB44" s="6">
        <v>46223</v>
      </c>
      <c r="AC44" s="4" t="s">
        <v>670</v>
      </c>
      <c r="AD44" s="4" t="s">
        <v>761</v>
      </c>
    </row>
    <row r="45" spans="1:30" ht="85.5">
      <c r="A45" s="3" t="s">
        <v>748</v>
      </c>
      <c r="B45" s="4" t="s">
        <v>42</v>
      </c>
      <c r="C45" s="4" t="s">
        <v>671</v>
      </c>
      <c r="D45" s="4" t="s">
        <v>672</v>
      </c>
      <c r="E45" s="4" t="s">
        <v>47</v>
      </c>
      <c r="F45" s="4" t="s">
        <v>32</v>
      </c>
      <c r="G45" s="6">
        <v>46226</v>
      </c>
      <c r="H45" s="4" t="s">
        <v>33</v>
      </c>
      <c r="I45" s="4" t="s">
        <v>49</v>
      </c>
      <c r="J45" s="4" t="s">
        <v>35</v>
      </c>
      <c r="K45" s="4" t="str">
        <f t="shared" ca="1" si="1"/>
        <v>Próxima a vencer</v>
      </c>
      <c r="L45" s="8"/>
      <c r="M45" s="8">
        <v>3600000</v>
      </c>
      <c r="N45" s="4" t="s">
        <v>36</v>
      </c>
      <c r="O45" s="4" t="s">
        <v>673</v>
      </c>
      <c r="P45" s="4" t="s">
        <v>189</v>
      </c>
      <c r="Q45" s="4" t="s">
        <v>674</v>
      </c>
      <c r="R45" s="4" t="s">
        <v>662</v>
      </c>
      <c r="S45" s="4" t="s">
        <v>663</v>
      </c>
      <c r="T45" s="4" t="s">
        <v>664</v>
      </c>
      <c r="U45" s="4" t="s">
        <v>675</v>
      </c>
      <c r="V45" s="4" t="s">
        <v>767</v>
      </c>
      <c r="W45" s="4" t="s">
        <v>676</v>
      </c>
      <c r="X45" s="4" t="s">
        <v>677</v>
      </c>
      <c r="Y45" s="4" t="s">
        <v>678</v>
      </c>
      <c r="Z45" s="4" t="s">
        <v>679</v>
      </c>
      <c r="AA45" s="4"/>
      <c r="AB45" s="6">
        <v>46223</v>
      </c>
      <c r="AC45" s="4" t="s">
        <v>680</v>
      </c>
      <c r="AD45" s="4" t="s">
        <v>760</v>
      </c>
    </row>
    <row r="46" spans="1:30" ht="71.25">
      <c r="A46" s="3" t="s">
        <v>749</v>
      </c>
      <c r="B46" s="4" t="s">
        <v>42</v>
      </c>
      <c r="C46" s="4" t="s">
        <v>681</v>
      </c>
      <c r="D46" s="4" t="s">
        <v>672</v>
      </c>
      <c r="E46" s="4" t="s">
        <v>47</v>
      </c>
      <c r="F46" s="4" t="s">
        <v>32</v>
      </c>
      <c r="G46" s="6">
        <v>46226</v>
      </c>
      <c r="H46" s="4" t="s">
        <v>33</v>
      </c>
      <c r="I46" s="4" t="s">
        <v>49</v>
      </c>
      <c r="J46" s="4" t="s">
        <v>35</v>
      </c>
      <c r="K46" s="4" t="str">
        <f t="shared" ca="1" si="1"/>
        <v>Próxima a vencer</v>
      </c>
      <c r="L46" s="8"/>
      <c r="M46" s="8">
        <v>5600000</v>
      </c>
      <c r="N46" s="4" t="s">
        <v>36</v>
      </c>
      <c r="O46" s="4" t="s">
        <v>281</v>
      </c>
      <c r="P46" s="4" t="s">
        <v>189</v>
      </c>
      <c r="Q46" s="4" t="s">
        <v>682</v>
      </c>
      <c r="R46" s="4" t="s">
        <v>683</v>
      </c>
      <c r="S46" s="4" t="s">
        <v>663</v>
      </c>
      <c r="T46" s="4" t="s">
        <v>664</v>
      </c>
      <c r="U46" s="4" t="s">
        <v>675</v>
      </c>
      <c r="V46" s="4" t="s">
        <v>766</v>
      </c>
      <c r="W46" s="4" t="s">
        <v>684</v>
      </c>
      <c r="X46" s="4" t="s">
        <v>685</v>
      </c>
      <c r="Y46" s="4" t="s">
        <v>686</v>
      </c>
      <c r="Z46" s="4" t="s">
        <v>687</v>
      </c>
      <c r="AA46" s="4"/>
      <c r="AB46" s="6">
        <v>46223</v>
      </c>
      <c r="AC46" s="4" t="s">
        <v>680</v>
      </c>
      <c r="AD46" s="4" t="s">
        <v>759</v>
      </c>
    </row>
    <row r="47" spans="1:30" ht="71.25">
      <c r="A47" s="3" t="s">
        <v>750</v>
      </c>
      <c r="B47" s="4" t="s">
        <v>42</v>
      </c>
      <c r="C47" s="4" t="s">
        <v>688</v>
      </c>
      <c r="D47" s="4" t="s">
        <v>689</v>
      </c>
      <c r="E47" s="4" t="s">
        <v>31</v>
      </c>
      <c r="F47" s="4" t="s">
        <v>32</v>
      </c>
      <c r="G47" s="6">
        <v>46296</v>
      </c>
      <c r="H47" s="4" t="s">
        <v>33</v>
      </c>
      <c r="I47" s="4" t="s">
        <v>70</v>
      </c>
      <c r="J47" s="4" t="s">
        <v>35</v>
      </c>
      <c r="K47" s="4" t="str">
        <f t="shared" ca="1" si="1"/>
        <v>Abierta</v>
      </c>
      <c r="L47" s="8">
        <v>150000</v>
      </c>
      <c r="M47" s="8">
        <v>150000</v>
      </c>
      <c r="N47" s="4" t="s">
        <v>36</v>
      </c>
      <c r="O47" s="4" t="s">
        <v>188</v>
      </c>
      <c r="P47" s="4" t="s">
        <v>66</v>
      </c>
      <c r="Q47" s="4" t="s">
        <v>690</v>
      </c>
      <c r="R47" s="4" t="s">
        <v>691</v>
      </c>
      <c r="S47" s="4" t="s">
        <v>692</v>
      </c>
      <c r="T47" s="4" t="s">
        <v>693</v>
      </c>
      <c r="U47" s="4" t="s">
        <v>694</v>
      </c>
      <c r="V47" s="4" t="s">
        <v>765</v>
      </c>
      <c r="W47" s="4" t="s">
        <v>695</v>
      </c>
      <c r="X47" s="4" t="s">
        <v>696</v>
      </c>
      <c r="Y47" s="4" t="s">
        <v>697</v>
      </c>
      <c r="Z47" s="4" t="s">
        <v>698</v>
      </c>
      <c r="AA47" s="4"/>
      <c r="AB47" s="6">
        <v>46223</v>
      </c>
      <c r="AC47" s="4" t="s">
        <v>699</v>
      </c>
      <c r="AD47" s="4" t="s">
        <v>758</v>
      </c>
    </row>
    <row r="48" spans="1:30" ht="71.25">
      <c r="A48" s="3" t="s">
        <v>751</v>
      </c>
      <c r="B48" s="4" t="s">
        <v>42</v>
      </c>
      <c r="C48" s="4" t="s">
        <v>700</v>
      </c>
      <c r="D48" s="4" t="s">
        <v>701</v>
      </c>
      <c r="E48" s="4" t="s">
        <v>80</v>
      </c>
      <c r="F48" s="4" t="s">
        <v>702</v>
      </c>
      <c r="G48" s="6">
        <v>46295</v>
      </c>
      <c r="H48" s="4" t="s">
        <v>33</v>
      </c>
      <c r="I48" s="4" t="s">
        <v>34</v>
      </c>
      <c r="J48" s="4" t="s">
        <v>35</v>
      </c>
      <c r="K48" s="4" t="str">
        <f t="shared" ca="1" si="1"/>
        <v>Abierta</v>
      </c>
      <c r="L48" s="8">
        <v>20000</v>
      </c>
      <c r="M48" s="8">
        <v>20000</v>
      </c>
      <c r="N48" s="4" t="s">
        <v>71</v>
      </c>
      <c r="O48" s="4" t="s">
        <v>138</v>
      </c>
      <c r="P48" s="4" t="s">
        <v>189</v>
      </c>
      <c r="Q48" s="4" t="s">
        <v>703</v>
      </c>
      <c r="R48" s="4" t="s">
        <v>704</v>
      </c>
      <c r="S48" s="4" t="s">
        <v>187</v>
      </c>
      <c r="T48" s="4" t="s">
        <v>705</v>
      </c>
      <c r="U48" s="4" t="s">
        <v>706</v>
      </c>
      <c r="V48" s="4" t="s">
        <v>707</v>
      </c>
      <c r="W48" s="4" t="s">
        <v>708</v>
      </c>
      <c r="X48" s="4" t="s">
        <v>709</v>
      </c>
      <c r="Y48" s="4" t="s">
        <v>710</v>
      </c>
      <c r="Z48" s="4" t="s">
        <v>711</v>
      </c>
      <c r="AA48" s="4"/>
      <c r="AB48" s="6">
        <v>46223</v>
      </c>
      <c r="AC48" s="4" t="s">
        <v>701</v>
      </c>
      <c r="AD48" s="4" t="s">
        <v>757</v>
      </c>
    </row>
    <row r="49" spans="1:30" ht="71.25">
      <c r="A49" s="3" t="s">
        <v>752</v>
      </c>
      <c r="B49" s="4" t="s">
        <v>42</v>
      </c>
      <c r="C49" s="4" t="s">
        <v>712</v>
      </c>
      <c r="D49" s="4" t="s">
        <v>713</v>
      </c>
      <c r="E49" s="4" t="s">
        <v>47</v>
      </c>
      <c r="F49" s="4" t="s">
        <v>32</v>
      </c>
      <c r="G49" s="6">
        <v>46311</v>
      </c>
      <c r="H49" s="4" t="s">
        <v>33</v>
      </c>
      <c r="I49" s="4" t="s">
        <v>34</v>
      </c>
      <c r="J49" s="4" t="s">
        <v>35</v>
      </c>
      <c r="K49" s="4" t="str">
        <f t="shared" ca="1" si="1"/>
        <v>Abierta</v>
      </c>
      <c r="L49" s="8"/>
      <c r="M49" s="8">
        <v>100000</v>
      </c>
      <c r="N49" s="4" t="s">
        <v>36</v>
      </c>
      <c r="O49" s="4" t="s">
        <v>188</v>
      </c>
      <c r="P49" s="4" t="s">
        <v>37</v>
      </c>
      <c r="Q49" s="4" t="s">
        <v>714</v>
      </c>
      <c r="R49" s="4" t="s">
        <v>715</v>
      </c>
      <c r="S49" s="4" t="s">
        <v>663</v>
      </c>
      <c r="T49" s="4" t="s">
        <v>716</v>
      </c>
      <c r="U49" s="4" t="s">
        <v>717</v>
      </c>
      <c r="V49" s="4" t="s">
        <v>764</v>
      </c>
      <c r="W49" s="4" t="s">
        <v>718</v>
      </c>
      <c r="X49" s="4" t="s">
        <v>719</v>
      </c>
      <c r="Y49" s="4" t="s">
        <v>720</v>
      </c>
      <c r="Z49" s="4" t="s">
        <v>721</v>
      </c>
      <c r="AA49" s="4"/>
      <c r="AB49" s="6">
        <v>46223</v>
      </c>
      <c r="AC49" s="4" t="s">
        <v>722</v>
      </c>
      <c r="AD49" s="4" t="s">
        <v>756</v>
      </c>
    </row>
    <row r="50" spans="1:30" ht="85.5">
      <c r="A50" s="3" t="s">
        <v>753</v>
      </c>
      <c r="B50" s="4" t="s">
        <v>42</v>
      </c>
      <c r="C50" s="4" t="s">
        <v>723</v>
      </c>
      <c r="D50" s="4" t="s">
        <v>724</v>
      </c>
      <c r="E50" s="4" t="s">
        <v>31</v>
      </c>
      <c r="F50" s="4" t="s">
        <v>202</v>
      </c>
      <c r="G50" s="6">
        <v>46287</v>
      </c>
      <c r="H50" s="4" t="s">
        <v>33</v>
      </c>
      <c r="I50" s="4" t="s">
        <v>34</v>
      </c>
      <c r="J50" s="4" t="s">
        <v>35</v>
      </c>
      <c r="K50" s="4" t="str">
        <f t="shared" ca="1" si="1"/>
        <v>Abierta</v>
      </c>
      <c r="L50" s="8"/>
      <c r="M50" s="8"/>
      <c r="N50" s="4" t="s">
        <v>59</v>
      </c>
      <c r="O50" s="4" t="s">
        <v>725</v>
      </c>
      <c r="P50" s="4" t="s">
        <v>37</v>
      </c>
      <c r="Q50" s="4" t="s">
        <v>726</v>
      </c>
      <c r="R50" s="4" t="s">
        <v>727</v>
      </c>
      <c r="S50" s="4" t="s">
        <v>728</v>
      </c>
      <c r="T50" s="4" t="s">
        <v>729</v>
      </c>
      <c r="U50" s="4" t="s">
        <v>730</v>
      </c>
      <c r="V50" s="4" t="s">
        <v>763</v>
      </c>
      <c r="W50" s="4" t="s">
        <v>731</v>
      </c>
      <c r="X50" s="4" t="s">
        <v>732</v>
      </c>
      <c r="Y50" s="4" t="s">
        <v>733</v>
      </c>
      <c r="Z50" s="4" t="s">
        <v>734</v>
      </c>
      <c r="AA50" s="4"/>
      <c r="AB50" s="6">
        <v>46223</v>
      </c>
      <c r="AC50" s="4" t="s">
        <v>724</v>
      </c>
      <c r="AD50" s="4"/>
    </row>
    <row r="51" spans="1:30" ht="85.5">
      <c r="A51" s="3" t="s">
        <v>754</v>
      </c>
      <c r="B51" s="4" t="s">
        <v>42</v>
      </c>
      <c r="C51" s="4" t="s">
        <v>735</v>
      </c>
      <c r="D51" s="4" t="s">
        <v>736</v>
      </c>
      <c r="E51" s="4" t="s">
        <v>31</v>
      </c>
      <c r="F51" s="4" t="s">
        <v>737</v>
      </c>
      <c r="G51" s="6">
        <v>46418</v>
      </c>
      <c r="H51" s="4" t="s">
        <v>33</v>
      </c>
      <c r="I51" s="4" t="s">
        <v>70</v>
      </c>
      <c r="J51" s="4" t="s">
        <v>35</v>
      </c>
      <c r="K51" s="4" t="str">
        <f t="shared" ca="1" si="1"/>
        <v>Abierta</v>
      </c>
      <c r="L51" s="8">
        <v>32000</v>
      </c>
      <c r="M51" s="8">
        <v>32000</v>
      </c>
      <c r="N51" s="4" t="s">
        <v>51</v>
      </c>
      <c r="O51" s="4" t="s">
        <v>138</v>
      </c>
      <c r="P51" s="4" t="s">
        <v>66</v>
      </c>
      <c r="Q51" s="4" t="s">
        <v>738</v>
      </c>
      <c r="R51" s="4" t="s">
        <v>739</v>
      </c>
      <c r="S51" s="4" t="s">
        <v>187</v>
      </c>
      <c r="T51" s="4" t="s">
        <v>740</v>
      </c>
      <c r="U51" s="4" t="s">
        <v>741</v>
      </c>
      <c r="V51" s="4" t="s">
        <v>762</v>
      </c>
      <c r="W51" s="4" t="s">
        <v>742</v>
      </c>
      <c r="X51" s="4" t="s">
        <v>743</v>
      </c>
      <c r="Y51" s="4" t="s">
        <v>744</v>
      </c>
      <c r="Z51" s="4" t="s">
        <v>745</v>
      </c>
      <c r="AA51" s="4"/>
      <c r="AB51" s="6">
        <v>46223</v>
      </c>
      <c r="AC51" s="4" t="s">
        <v>746</v>
      </c>
      <c r="AD51" s="4" t="s">
        <v>755</v>
      </c>
    </row>
    <row r="52" spans="1:30" ht="85.5">
      <c r="A52" s="3" t="s">
        <v>817</v>
      </c>
      <c r="B52" s="4" t="s">
        <v>42</v>
      </c>
      <c r="C52" s="4" t="s">
        <v>769</v>
      </c>
      <c r="D52" s="4" t="s">
        <v>770</v>
      </c>
      <c r="E52" s="4" t="s">
        <v>47</v>
      </c>
      <c r="F52" s="4" t="s">
        <v>202</v>
      </c>
      <c r="G52" s="6">
        <v>46223</v>
      </c>
      <c r="H52" s="4" t="s">
        <v>33</v>
      </c>
      <c r="I52" s="4" t="s">
        <v>57</v>
      </c>
      <c r="J52" s="4" t="s">
        <v>35</v>
      </c>
      <c r="K52" s="4" t="str">
        <f t="shared" ca="1" si="1"/>
        <v>Vencida</v>
      </c>
      <c r="L52" s="8">
        <v>200000</v>
      </c>
      <c r="M52" s="8">
        <v>1000000</v>
      </c>
      <c r="N52" s="4" t="s">
        <v>59</v>
      </c>
      <c r="O52" s="4" t="s">
        <v>771</v>
      </c>
      <c r="P52" s="4" t="s">
        <v>37</v>
      </c>
      <c r="Q52" s="4" t="s">
        <v>772</v>
      </c>
      <c r="R52" s="4" t="s">
        <v>773</v>
      </c>
      <c r="S52" s="4" t="s">
        <v>774</v>
      </c>
      <c r="T52" s="4" t="s">
        <v>40</v>
      </c>
      <c r="U52" s="4" t="s">
        <v>775</v>
      </c>
      <c r="V52" s="4" t="s">
        <v>776</v>
      </c>
      <c r="W52" s="4" t="s">
        <v>777</v>
      </c>
      <c r="X52" s="4" t="s">
        <v>778</v>
      </c>
      <c r="Y52" s="4" t="s">
        <v>779</v>
      </c>
      <c r="Z52" s="4" t="s">
        <v>780</v>
      </c>
      <c r="AA52" s="4" t="s">
        <v>781</v>
      </c>
      <c r="AB52" s="6">
        <v>46223</v>
      </c>
      <c r="AC52" s="4" t="s">
        <v>782</v>
      </c>
      <c r="AD52" s="4" t="s">
        <v>783</v>
      </c>
    </row>
    <row r="53" spans="1:30" ht="71.25">
      <c r="A53" s="3" t="s">
        <v>818</v>
      </c>
      <c r="B53" s="4" t="s">
        <v>42</v>
      </c>
      <c r="C53" s="4" t="s">
        <v>784</v>
      </c>
      <c r="D53" s="4" t="s">
        <v>770</v>
      </c>
      <c r="E53" s="4" t="s">
        <v>47</v>
      </c>
      <c r="F53" s="4" t="s">
        <v>202</v>
      </c>
      <c r="G53" s="6">
        <v>46265</v>
      </c>
      <c r="H53" s="4" t="s">
        <v>33</v>
      </c>
      <c r="I53" s="4" t="s">
        <v>34</v>
      </c>
      <c r="J53" s="4" t="s">
        <v>35</v>
      </c>
      <c r="K53" s="4" t="str">
        <f t="shared" ca="1" si="1"/>
        <v>Abierta</v>
      </c>
      <c r="L53" s="8">
        <v>75000</v>
      </c>
      <c r="M53" s="8">
        <v>250000</v>
      </c>
      <c r="N53" s="4" t="s">
        <v>59</v>
      </c>
      <c r="O53" s="4" t="s">
        <v>533</v>
      </c>
      <c r="P53" s="4" t="s">
        <v>72</v>
      </c>
      <c r="Q53" s="4" t="s">
        <v>785</v>
      </c>
      <c r="R53" s="4" t="s">
        <v>786</v>
      </c>
      <c r="S53" s="4" t="s">
        <v>774</v>
      </c>
      <c r="T53" s="4" t="s">
        <v>40</v>
      </c>
      <c r="U53" s="4" t="s">
        <v>787</v>
      </c>
      <c r="V53" s="4" t="s">
        <v>788</v>
      </c>
      <c r="W53" s="4" t="s">
        <v>789</v>
      </c>
      <c r="X53" s="4" t="s">
        <v>790</v>
      </c>
      <c r="Y53" s="4" t="s">
        <v>791</v>
      </c>
      <c r="Z53" s="4" t="s">
        <v>792</v>
      </c>
      <c r="AA53" s="4"/>
      <c r="AB53" s="6">
        <v>46223</v>
      </c>
      <c r="AC53" s="4" t="s">
        <v>782</v>
      </c>
      <c r="AD53" s="4" t="s">
        <v>821</v>
      </c>
    </row>
    <row r="54" spans="1:30" ht="85.5">
      <c r="A54" s="3" t="s">
        <v>819</v>
      </c>
      <c r="B54" s="4" t="s">
        <v>42</v>
      </c>
      <c r="C54" s="4" t="s">
        <v>793</v>
      </c>
      <c r="D54" s="4" t="s">
        <v>794</v>
      </c>
      <c r="E54" s="4" t="s">
        <v>31</v>
      </c>
      <c r="F54" s="4" t="s">
        <v>32</v>
      </c>
      <c r="G54" s="6">
        <v>46378</v>
      </c>
      <c r="H54" s="4" t="s">
        <v>33</v>
      </c>
      <c r="I54" s="4" t="s">
        <v>49</v>
      </c>
      <c r="J54" s="4" t="s">
        <v>64</v>
      </c>
      <c r="K54" s="4" t="str">
        <f t="shared" ca="1" si="1"/>
        <v>Pendiente Apertura</v>
      </c>
      <c r="L54" s="8"/>
      <c r="M54" s="8"/>
      <c r="N54" s="4" t="s">
        <v>36</v>
      </c>
      <c r="O54" s="4" t="s">
        <v>188</v>
      </c>
      <c r="P54" s="4" t="s">
        <v>37</v>
      </c>
      <c r="Q54" s="4" t="s">
        <v>795</v>
      </c>
      <c r="R54" s="4" t="s">
        <v>796</v>
      </c>
      <c r="S54" s="4" t="s">
        <v>797</v>
      </c>
      <c r="T54" s="4" t="s">
        <v>40</v>
      </c>
      <c r="U54" s="4" t="s">
        <v>798</v>
      </c>
      <c r="V54" s="4" t="s">
        <v>799</v>
      </c>
      <c r="W54" s="4" t="s">
        <v>800</v>
      </c>
      <c r="X54" s="4" t="s">
        <v>801</v>
      </c>
      <c r="Y54" s="4" t="s">
        <v>802</v>
      </c>
      <c r="Z54" s="4" t="s">
        <v>803</v>
      </c>
      <c r="AA54" s="4"/>
      <c r="AB54" s="6">
        <v>46223</v>
      </c>
      <c r="AC54" s="4" t="s">
        <v>804</v>
      </c>
      <c r="AD54" s="4"/>
    </row>
    <row r="55" spans="1:30" ht="71.25">
      <c r="A55" s="3" t="s">
        <v>820</v>
      </c>
      <c r="B55" s="4" t="s">
        <v>42</v>
      </c>
      <c r="C55" s="4" t="s">
        <v>805</v>
      </c>
      <c r="D55" s="4" t="s">
        <v>806</v>
      </c>
      <c r="E55" s="4" t="s">
        <v>47</v>
      </c>
      <c r="F55" s="4" t="s">
        <v>32</v>
      </c>
      <c r="G55" s="6">
        <v>46295</v>
      </c>
      <c r="H55" s="4" t="s">
        <v>33</v>
      </c>
      <c r="I55" s="4" t="s">
        <v>34</v>
      </c>
      <c r="J55" s="4" t="s">
        <v>35</v>
      </c>
      <c r="K55" s="4" t="str">
        <f t="shared" ca="1" si="1"/>
        <v>Abierta</v>
      </c>
      <c r="L55" s="8"/>
      <c r="M55" s="8"/>
      <c r="N55" s="4" t="s">
        <v>36</v>
      </c>
      <c r="O55" s="4" t="s">
        <v>387</v>
      </c>
      <c r="P55" s="4" t="s">
        <v>37</v>
      </c>
      <c r="Q55" s="4" t="s">
        <v>807</v>
      </c>
      <c r="R55" s="4" t="s">
        <v>808</v>
      </c>
      <c r="S55" s="4" t="s">
        <v>663</v>
      </c>
      <c r="T55" s="4" t="s">
        <v>40</v>
      </c>
      <c r="U55" s="4" t="s">
        <v>809</v>
      </c>
      <c r="V55" s="4" t="s">
        <v>810</v>
      </c>
      <c r="W55" s="4" t="s">
        <v>811</v>
      </c>
      <c r="X55" s="4" t="s">
        <v>812</v>
      </c>
      <c r="Y55" s="4" t="s">
        <v>813</v>
      </c>
      <c r="Z55" s="4" t="s">
        <v>814</v>
      </c>
      <c r="AA55" s="4" t="s">
        <v>815</v>
      </c>
      <c r="AB55" s="6">
        <v>46223</v>
      </c>
      <c r="AC55" s="4" t="s">
        <v>816</v>
      </c>
      <c r="AD55" s="4" t="s">
        <v>822</v>
      </c>
    </row>
    <row r="56" spans="1:30" ht="114">
      <c r="A56" s="3" t="s">
        <v>887</v>
      </c>
      <c r="B56" s="4" t="s">
        <v>42</v>
      </c>
      <c r="C56" s="4" t="s">
        <v>823</v>
      </c>
      <c r="D56" s="4" t="s">
        <v>824</v>
      </c>
      <c r="E56" s="4" t="s">
        <v>31</v>
      </c>
      <c r="F56" s="4" t="s">
        <v>737</v>
      </c>
      <c r="G56" s="6"/>
      <c r="H56" s="4" t="s">
        <v>56</v>
      </c>
      <c r="I56" s="4" t="s">
        <v>49</v>
      </c>
      <c r="J56" s="4" t="s">
        <v>35</v>
      </c>
      <c r="K56" s="4" t="str">
        <f t="shared" ca="1" si="1"/>
        <v>Sin fecha</v>
      </c>
      <c r="L56" s="8"/>
      <c r="M56" s="8">
        <v>300000</v>
      </c>
      <c r="N56" s="4" t="s">
        <v>36</v>
      </c>
      <c r="O56" s="4" t="s">
        <v>533</v>
      </c>
      <c r="P56" s="4" t="s">
        <v>189</v>
      </c>
      <c r="Q56" s="4" t="s">
        <v>61</v>
      </c>
      <c r="R56" s="4" t="s">
        <v>46</v>
      </c>
      <c r="S56" s="4" t="s">
        <v>825</v>
      </c>
      <c r="T56" s="4" t="s">
        <v>40</v>
      </c>
      <c r="U56" s="4" t="s">
        <v>826</v>
      </c>
      <c r="V56" s="4" t="s">
        <v>827</v>
      </c>
      <c r="W56" s="4" t="s">
        <v>828</v>
      </c>
      <c r="X56" s="4" t="s">
        <v>829</v>
      </c>
      <c r="Y56" s="4" t="s">
        <v>830</v>
      </c>
      <c r="Z56" s="4" t="s">
        <v>831</v>
      </c>
      <c r="AA56" s="4"/>
      <c r="AB56" s="6">
        <v>46223</v>
      </c>
      <c r="AC56" s="4" t="s">
        <v>832</v>
      </c>
      <c r="AD56" s="4" t="s">
        <v>833</v>
      </c>
    </row>
    <row r="57" spans="1:30" ht="85.5">
      <c r="A57" s="3" t="s">
        <v>888</v>
      </c>
      <c r="B57" s="4" t="s">
        <v>42</v>
      </c>
      <c r="C57" s="4" t="s">
        <v>834</v>
      </c>
      <c r="D57" s="4" t="s">
        <v>835</v>
      </c>
      <c r="E57" s="4" t="s">
        <v>31</v>
      </c>
      <c r="F57" s="4" t="s">
        <v>187</v>
      </c>
      <c r="G57" s="6">
        <v>46371</v>
      </c>
      <c r="H57" s="4" t="s">
        <v>48</v>
      </c>
      <c r="I57" s="4" t="s">
        <v>70</v>
      </c>
      <c r="J57" s="4" t="s">
        <v>64</v>
      </c>
      <c r="K57" s="4" t="str">
        <f t="shared" ca="1" si="1"/>
        <v>Pendiente Apertura</v>
      </c>
      <c r="L57" s="8">
        <v>25000</v>
      </c>
      <c r="M57" s="8">
        <v>250000</v>
      </c>
      <c r="N57" s="4" t="s">
        <v>36</v>
      </c>
      <c r="O57" s="4" t="s">
        <v>836</v>
      </c>
      <c r="P57" s="4" t="s">
        <v>82</v>
      </c>
      <c r="Q57" s="4" t="s">
        <v>61</v>
      </c>
      <c r="R57" s="4" t="s">
        <v>46</v>
      </c>
      <c r="S57" s="4" t="s">
        <v>837</v>
      </c>
      <c r="T57" s="4" t="s">
        <v>40</v>
      </c>
      <c r="U57" s="4" t="s">
        <v>838</v>
      </c>
      <c r="V57" s="4" t="s">
        <v>839</v>
      </c>
      <c r="W57" s="4" t="s">
        <v>840</v>
      </c>
      <c r="X57" s="4" t="s">
        <v>841</v>
      </c>
      <c r="Y57" s="4" t="s">
        <v>842</v>
      </c>
      <c r="Z57" s="4" t="s">
        <v>843</v>
      </c>
      <c r="AA57" s="4"/>
      <c r="AB57" s="6">
        <v>46223</v>
      </c>
      <c r="AC57" s="4" t="s">
        <v>844</v>
      </c>
      <c r="AD57" s="4" t="s">
        <v>845</v>
      </c>
    </row>
    <row r="58" spans="1:30" ht="99.75">
      <c r="A58" s="3" t="s">
        <v>889</v>
      </c>
      <c r="B58" s="4" t="s">
        <v>42</v>
      </c>
      <c r="C58" s="4" t="s">
        <v>846</v>
      </c>
      <c r="D58" s="4" t="s">
        <v>847</v>
      </c>
      <c r="E58" s="4" t="s">
        <v>80</v>
      </c>
      <c r="F58" s="4" t="s">
        <v>32</v>
      </c>
      <c r="G58" s="6">
        <v>46307</v>
      </c>
      <c r="H58" s="4" t="s">
        <v>33</v>
      </c>
      <c r="I58" s="4" t="s">
        <v>70</v>
      </c>
      <c r="J58" s="4" t="s">
        <v>35</v>
      </c>
      <c r="K58" s="4" t="str">
        <f t="shared" ca="1" si="1"/>
        <v>Abierta</v>
      </c>
      <c r="L58" s="8"/>
      <c r="M58" s="8">
        <v>2500</v>
      </c>
      <c r="N58" s="4" t="s">
        <v>36</v>
      </c>
      <c r="O58" s="4" t="s">
        <v>848</v>
      </c>
      <c r="P58" s="4" t="s">
        <v>52</v>
      </c>
      <c r="Q58" s="4" t="s">
        <v>61</v>
      </c>
      <c r="R58" s="4" t="s">
        <v>74</v>
      </c>
      <c r="S58" s="4" t="s">
        <v>187</v>
      </c>
      <c r="T58" s="4" t="s">
        <v>849</v>
      </c>
      <c r="U58" s="4" t="s">
        <v>850</v>
      </c>
      <c r="V58" s="4" t="s">
        <v>851</v>
      </c>
      <c r="W58" s="4" t="s">
        <v>852</v>
      </c>
      <c r="X58" s="4" t="s">
        <v>853</v>
      </c>
      <c r="Y58" s="4" t="s">
        <v>854</v>
      </c>
      <c r="Z58" s="4" t="s">
        <v>855</v>
      </c>
      <c r="AA58" s="4" t="s">
        <v>856</v>
      </c>
      <c r="AB58" s="6">
        <v>46223</v>
      </c>
      <c r="AC58" s="4" t="s">
        <v>857</v>
      </c>
      <c r="AD58" s="4" t="s">
        <v>858</v>
      </c>
    </row>
    <row r="59" spans="1:30" ht="99.75">
      <c r="A59" s="3" t="s">
        <v>890</v>
      </c>
      <c r="B59" s="4" t="s">
        <v>42</v>
      </c>
      <c r="C59" s="4" t="s">
        <v>859</v>
      </c>
      <c r="D59" s="4" t="s">
        <v>847</v>
      </c>
      <c r="E59" s="4" t="s">
        <v>80</v>
      </c>
      <c r="F59" s="4" t="s">
        <v>32</v>
      </c>
      <c r="G59" s="6">
        <v>46307</v>
      </c>
      <c r="H59" s="4" t="s">
        <v>33</v>
      </c>
      <c r="I59" s="4" t="s">
        <v>70</v>
      </c>
      <c r="J59" s="4" t="s">
        <v>35</v>
      </c>
      <c r="K59" s="4" t="str">
        <f t="shared" ca="1" si="1"/>
        <v>Abierta</v>
      </c>
      <c r="L59" s="8"/>
      <c r="M59" s="8">
        <v>2000</v>
      </c>
      <c r="N59" s="4" t="s">
        <v>36</v>
      </c>
      <c r="O59" s="4" t="s">
        <v>387</v>
      </c>
      <c r="P59" s="4" t="s">
        <v>52</v>
      </c>
      <c r="Q59" s="4" t="s">
        <v>53</v>
      </c>
      <c r="R59" s="4" t="s">
        <v>74</v>
      </c>
      <c r="S59" s="4" t="s">
        <v>187</v>
      </c>
      <c r="T59" s="4" t="s">
        <v>849</v>
      </c>
      <c r="U59" s="4" t="s">
        <v>860</v>
      </c>
      <c r="V59" s="4" t="s">
        <v>861</v>
      </c>
      <c r="W59" s="4" t="s">
        <v>862</v>
      </c>
      <c r="X59" s="4" t="s">
        <v>863</v>
      </c>
      <c r="Y59" s="4" t="s">
        <v>864</v>
      </c>
      <c r="Z59" s="4" t="s">
        <v>865</v>
      </c>
      <c r="AA59" s="4"/>
      <c r="AB59" s="6">
        <v>46223</v>
      </c>
      <c r="AC59" s="4" t="s">
        <v>857</v>
      </c>
      <c r="AD59" s="4" t="s">
        <v>866</v>
      </c>
    </row>
    <row r="60" spans="1:30" ht="85.5">
      <c r="A60" s="3" t="s">
        <v>891</v>
      </c>
      <c r="B60" s="4" t="s">
        <v>42</v>
      </c>
      <c r="C60" s="4" t="s">
        <v>867</v>
      </c>
      <c r="D60" s="4" t="s">
        <v>868</v>
      </c>
      <c r="E60" s="4" t="s">
        <v>31</v>
      </c>
      <c r="F60" s="4" t="s">
        <v>869</v>
      </c>
      <c r="G60" s="6"/>
      <c r="H60" s="4" t="s">
        <v>56</v>
      </c>
      <c r="I60" s="4" t="s">
        <v>75</v>
      </c>
      <c r="J60" s="4" t="s">
        <v>35</v>
      </c>
      <c r="K60" s="4" t="str">
        <f t="shared" ca="1" si="1"/>
        <v>Sin fecha</v>
      </c>
      <c r="L60" s="8">
        <v>150000</v>
      </c>
      <c r="M60" s="8">
        <v>1500000</v>
      </c>
      <c r="N60" s="4" t="s">
        <v>36</v>
      </c>
      <c r="O60" s="4" t="s">
        <v>83</v>
      </c>
      <c r="P60" s="4" t="s">
        <v>60</v>
      </c>
      <c r="Q60" s="4" t="s">
        <v>83</v>
      </c>
      <c r="R60" s="4" t="s">
        <v>46</v>
      </c>
      <c r="S60" s="4" t="s">
        <v>187</v>
      </c>
      <c r="T60" s="4" t="s">
        <v>40</v>
      </c>
      <c r="U60" s="4" t="s">
        <v>870</v>
      </c>
      <c r="V60" s="4" t="s">
        <v>871</v>
      </c>
      <c r="W60" s="4" t="s">
        <v>872</v>
      </c>
      <c r="X60" s="4" t="s">
        <v>873</v>
      </c>
      <c r="Y60" s="4" t="s">
        <v>874</v>
      </c>
      <c r="Z60" s="4" t="s">
        <v>875</v>
      </c>
      <c r="AA60" s="4"/>
      <c r="AB60" s="6">
        <v>46223</v>
      </c>
      <c r="AC60" s="4" t="s">
        <v>868</v>
      </c>
      <c r="AD60" s="4" t="s">
        <v>876</v>
      </c>
    </row>
    <row r="61" spans="1:30" ht="85.5">
      <c r="A61" s="3" t="s">
        <v>892</v>
      </c>
      <c r="B61" s="4" t="s">
        <v>42</v>
      </c>
      <c r="C61" s="4" t="s">
        <v>877</v>
      </c>
      <c r="D61" s="4" t="s">
        <v>878</v>
      </c>
      <c r="E61" s="4" t="s">
        <v>80</v>
      </c>
      <c r="F61" s="4" t="s">
        <v>32</v>
      </c>
      <c r="G61" s="6">
        <v>46063</v>
      </c>
      <c r="H61" s="4" t="s">
        <v>33</v>
      </c>
      <c r="I61" s="4" t="s">
        <v>75</v>
      </c>
      <c r="J61" s="4" t="s">
        <v>50</v>
      </c>
      <c r="K61" s="4" t="str">
        <f t="shared" ca="1" si="1"/>
        <v>Cerrada</v>
      </c>
      <c r="L61" s="8"/>
      <c r="M61" s="8"/>
      <c r="N61" s="4" t="s">
        <v>36</v>
      </c>
      <c r="O61" s="4" t="s">
        <v>83</v>
      </c>
      <c r="P61" s="4" t="s">
        <v>60</v>
      </c>
      <c r="Q61" s="4" t="s">
        <v>83</v>
      </c>
      <c r="R61" s="4" t="s">
        <v>74</v>
      </c>
      <c r="S61" s="4" t="s">
        <v>187</v>
      </c>
      <c r="T61" s="4" t="s">
        <v>879</v>
      </c>
      <c r="U61" s="4" t="s">
        <v>880</v>
      </c>
      <c r="V61" s="4" t="s">
        <v>881</v>
      </c>
      <c r="W61" s="4" t="s">
        <v>882</v>
      </c>
      <c r="X61" s="4" t="s">
        <v>883</v>
      </c>
      <c r="Y61" s="4"/>
      <c r="Z61" s="4" t="s">
        <v>884</v>
      </c>
      <c r="AA61" s="4" t="s">
        <v>885</v>
      </c>
      <c r="AB61" s="6">
        <v>46223</v>
      </c>
      <c r="AC61" s="4" t="s">
        <v>878</v>
      </c>
      <c r="AD61" s="4" t="s">
        <v>886</v>
      </c>
    </row>
    <row r="62" spans="1:30" ht="71.25">
      <c r="A62" s="3" t="s">
        <v>937</v>
      </c>
      <c r="B62" s="4" t="s">
        <v>42</v>
      </c>
      <c r="C62" s="4" t="s">
        <v>893</v>
      </c>
      <c r="D62" s="4" t="s">
        <v>894</v>
      </c>
      <c r="E62" s="4" t="s">
        <v>31</v>
      </c>
      <c r="F62" s="4" t="s">
        <v>32</v>
      </c>
      <c r="G62" s="6">
        <v>46351</v>
      </c>
      <c r="H62" s="4" t="s">
        <v>33</v>
      </c>
      <c r="I62" s="4" t="s">
        <v>70</v>
      </c>
      <c r="J62" s="4" t="s">
        <v>64</v>
      </c>
      <c r="K62" s="4" t="str">
        <f t="shared" ca="1" si="1"/>
        <v>Pendiente Apertura</v>
      </c>
      <c r="L62" s="8"/>
      <c r="M62" s="8">
        <v>5500</v>
      </c>
      <c r="N62" s="4" t="s">
        <v>36</v>
      </c>
      <c r="O62" s="4" t="s">
        <v>895</v>
      </c>
      <c r="P62" s="4" t="s">
        <v>52</v>
      </c>
      <c r="Q62" s="4" t="s">
        <v>896</v>
      </c>
      <c r="R62" s="4" t="s">
        <v>897</v>
      </c>
      <c r="S62" s="4" t="s">
        <v>898</v>
      </c>
      <c r="T62" s="4" t="s">
        <v>369</v>
      </c>
      <c r="U62" s="4" t="s">
        <v>899</v>
      </c>
      <c r="V62" s="4" t="s">
        <v>900</v>
      </c>
      <c r="W62" s="4" t="s">
        <v>901</v>
      </c>
      <c r="X62" s="4" t="s">
        <v>902</v>
      </c>
      <c r="Y62" s="4" t="s">
        <v>903</v>
      </c>
      <c r="Z62" s="4" t="s">
        <v>904</v>
      </c>
      <c r="AA62" s="4"/>
      <c r="AB62" s="6">
        <v>46223</v>
      </c>
      <c r="AC62" s="4" t="s">
        <v>905</v>
      </c>
      <c r="AD62" s="4" t="s">
        <v>944</v>
      </c>
    </row>
    <row r="63" spans="1:30" ht="71.25">
      <c r="A63" s="3" t="s">
        <v>938</v>
      </c>
      <c r="B63" s="4" t="s">
        <v>42</v>
      </c>
      <c r="C63" s="4" t="s">
        <v>906</v>
      </c>
      <c r="D63" s="4" t="s">
        <v>894</v>
      </c>
      <c r="E63" s="4" t="s">
        <v>31</v>
      </c>
      <c r="F63" s="4" t="s">
        <v>32</v>
      </c>
      <c r="G63" s="6">
        <v>46295</v>
      </c>
      <c r="H63" s="4" t="s">
        <v>33</v>
      </c>
      <c r="I63" s="4" t="s">
        <v>57</v>
      </c>
      <c r="J63" s="4" t="s">
        <v>64</v>
      </c>
      <c r="K63" s="4" t="str">
        <f t="shared" ca="1" si="1"/>
        <v>Pendiente Apertura</v>
      </c>
      <c r="L63" s="8"/>
      <c r="M63" s="8"/>
      <c r="N63" s="4" t="s">
        <v>36</v>
      </c>
      <c r="O63" s="4"/>
      <c r="P63" s="4" t="s">
        <v>189</v>
      </c>
      <c r="Q63" s="4" t="s">
        <v>907</v>
      </c>
      <c r="R63" s="4" t="s">
        <v>908</v>
      </c>
      <c r="S63" s="4" t="s">
        <v>187</v>
      </c>
      <c r="T63" s="4" t="s">
        <v>909</v>
      </c>
      <c r="U63" s="4" t="s">
        <v>910</v>
      </c>
      <c r="V63" s="4" t="s">
        <v>911</v>
      </c>
      <c r="W63" s="4" t="s">
        <v>912</v>
      </c>
      <c r="X63" s="4" t="s">
        <v>913</v>
      </c>
      <c r="Y63" s="4" t="s">
        <v>914</v>
      </c>
      <c r="Z63" s="4" t="s">
        <v>915</v>
      </c>
      <c r="AA63" s="4"/>
      <c r="AB63" s="6">
        <v>46223</v>
      </c>
      <c r="AC63" s="4" t="s">
        <v>916</v>
      </c>
      <c r="AD63" s="4" t="s">
        <v>943</v>
      </c>
    </row>
    <row r="64" spans="1:30" ht="71.25">
      <c r="A64" s="3" t="s">
        <v>939</v>
      </c>
      <c r="B64" s="4" t="s">
        <v>42</v>
      </c>
      <c r="C64" s="4" t="s">
        <v>917</v>
      </c>
      <c r="D64" s="4" t="s">
        <v>918</v>
      </c>
      <c r="E64" s="4" t="s">
        <v>31</v>
      </c>
      <c r="F64" s="4" t="s">
        <v>202</v>
      </c>
      <c r="G64" s="6">
        <v>46295</v>
      </c>
      <c r="H64" s="4" t="s">
        <v>33</v>
      </c>
      <c r="I64" s="4" t="s">
        <v>70</v>
      </c>
      <c r="J64" s="4" t="s">
        <v>35</v>
      </c>
      <c r="K64" s="4" t="str">
        <f t="shared" ca="1" si="1"/>
        <v>Abierta</v>
      </c>
      <c r="L64" s="8">
        <v>100</v>
      </c>
      <c r="M64" s="8">
        <v>1000</v>
      </c>
      <c r="N64" s="4" t="s">
        <v>59</v>
      </c>
      <c r="O64" s="4" t="s">
        <v>387</v>
      </c>
      <c r="P64" s="4" t="s">
        <v>189</v>
      </c>
      <c r="Q64" s="4" t="s">
        <v>919</v>
      </c>
      <c r="R64" s="4" t="s">
        <v>74</v>
      </c>
      <c r="S64" s="4" t="s">
        <v>187</v>
      </c>
      <c r="T64" s="4" t="s">
        <v>369</v>
      </c>
      <c r="U64" s="4" t="s">
        <v>920</v>
      </c>
      <c r="V64" s="4" t="s">
        <v>921</v>
      </c>
      <c r="W64" s="4" t="s">
        <v>922</v>
      </c>
      <c r="X64" s="4" t="s">
        <v>923</v>
      </c>
      <c r="Y64" s="4" t="s">
        <v>924</v>
      </c>
      <c r="Z64" s="4" t="s">
        <v>925</v>
      </c>
      <c r="AA64" s="4"/>
      <c r="AB64" s="6">
        <v>46223</v>
      </c>
      <c r="AC64" s="4" t="s">
        <v>926</v>
      </c>
      <c r="AD64" s="4" t="s">
        <v>942</v>
      </c>
    </row>
    <row r="65" spans="1:30" ht="71.25">
      <c r="A65" s="3" t="s">
        <v>940</v>
      </c>
      <c r="B65" s="4" t="s">
        <v>42</v>
      </c>
      <c r="C65" s="4" t="s">
        <v>927</v>
      </c>
      <c r="D65" s="4" t="s">
        <v>928</v>
      </c>
      <c r="E65" s="4" t="s">
        <v>31</v>
      </c>
      <c r="F65" s="4" t="s">
        <v>32</v>
      </c>
      <c r="G65" s="6">
        <v>46255</v>
      </c>
      <c r="H65" s="4" t="s">
        <v>33</v>
      </c>
      <c r="I65" s="4" t="s">
        <v>34</v>
      </c>
      <c r="J65" s="4" t="s">
        <v>35</v>
      </c>
      <c r="K65" s="4" t="str">
        <f t="shared" ca="1" si="1"/>
        <v>Próxima a vencer</v>
      </c>
      <c r="L65" s="8"/>
      <c r="M65" s="8">
        <v>50000</v>
      </c>
      <c r="N65" s="4" t="s">
        <v>36</v>
      </c>
      <c r="O65" s="4"/>
      <c r="P65" s="4" t="s">
        <v>189</v>
      </c>
      <c r="Q65" s="4" t="s">
        <v>929</v>
      </c>
      <c r="R65" s="4" t="s">
        <v>908</v>
      </c>
      <c r="S65" s="4" t="s">
        <v>187</v>
      </c>
      <c r="T65" s="4" t="s">
        <v>369</v>
      </c>
      <c r="U65" s="4" t="s">
        <v>930</v>
      </c>
      <c r="V65" s="4" t="s">
        <v>931</v>
      </c>
      <c r="W65" s="4" t="s">
        <v>932</v>
      </c>
      <c r="X65" s="4" t="s">
        <v>933</v>
      </c>
      <c r="Y65" s="4" t="s">
        <v>934</v>
      </c>
      <c r="Z65" s="4" t="s">
        <v>935</v>
      </c>
      <c r="AA65" s="4"/>
      <c r="AB65" s="6">
        <v>46223</v>
      </c>
      <c r="AC65" s="4" t="s">
        <v>936</v>
      </c>
      <c r="AD65" s="4" t="s">
        <v>941</v>
      </c>
    </row>
    <row r="66" spans="1:30" ht="85.5" customHeight="1">
      <c r="A66" s="3" t="s">
        <v>1014</v>
      </c>
      <c r="B66" s="4" t="s">
        <v>42</v>
      </c>
      <c r="C66" s="4" t="s">
        <v>945</v>
      </c>
      <c r="D66" s="4" t="s">
        <v>946</v>
      </c>
      <c r="E66" s="4" t="s">
        <v>31</v>
      </c>
      <c r="F66" s="4" t="s">
        <v>32</v>
      </c>
      <c r="G66" s="6">
        <v>46234</v>
      </c>
      <c r="H66" s="4" t="s">
        <v>33</v>
      </c>
      <c r="I66" s="4" t="s">
        <v>49</v>
      </c>
      <c r="J66" s="4" t="s">
        <v>35</v>
      </c>
      <c r="K66" s="4" t="str">
        <f t="shared" ca="1" si="1"/>
        <v>Próxima a vencer</v>
      </c>
      <c r="L66" s="8">
        <v>15000</v>
      </c>
      <c r="M66" s="8">
        <v>75000</v>
      </c>
      <c r="N66" s="4" t="s">
        <v>36</v>
      </c>
      <c r="O66" s="4" t="s">
        <v>188</v>
      </c>
      <c r="P66" s="4" t="s">
        <v>189</v>
      </c>
      <c r="Q66" s="4" t="s">
        <v>67</v>
      </c>
      <c r="R66" s="4" t="s">
        <v>947</v>
      </c>
      <c r="S66" s="4" t="s">
        <v>187</v>
      </c>
      <c r="T66" s="4" t="s">
        <v>40</v>
      </c>
      <c r="U66" s="4" t="s">
        <v>948</v>
      </c>
      <c r="V66" s="4" t="s">
        <v>949</v>
      </c>
      <c r="W66" s="4" t="s">
        <v>950</v>
      </c>
      <c r="X66" s="4" t="s">
        <v>951</v>
      </c>
      <c r="Y66" s="4" t="s">
        <v>952</v>
      </c>
      <c r="Z66" s="4" t="s">
        <v>953</v>
      </c>
      <c r="AA66" s="4"/>
      <c r="AB66" s="6">
        <v>46224</v>
      </c>
      <c r="AC66" s="4" t="s">
        <v>946</v>
      </c>
      <c r="AD66" s="4" t="s">
        <v>954</v>
      </c>
    </row>
    <row r="67" spans="1:30" ht="85.5" customHeight="1">
      <c r="A67" s="3" t="s">
        <v>1015</v>
      </c>
      <c r="B67" s="4" t="s">
        <v>42</v>
      </c>
      <c r="C67" s="4" t="s">
        <v>955</v>
      </c>
      <c r="D67" s="4" t="s">
        <v>956</v>
      </c>
      <c r="E67" s="4" t="s">
        <v>31</v>
      </c>
      <c r="F67" s="4" t="s">
        <v>957</v>
      </c>
      <c r="G67" s="6">
        <v>46346</v>
      </c>
      <c r="H67" s="4" t="s">
        <v>33</v>
      </c>
      <c r="I67" s="4" t="s">
        <v>34</v>
      </c>
      <c r="J67" s="4" t="s">
        <v>35</v>
      </c>
      <c r="K67" s="4" t="str">
        <f t="shared" ca="1" si="1"/>
        <v>Abierta</v>
      </c>
      <c r="L67" s="8"/>
      <c r="M67" s="8">
        <v>30000</v>
      </c>
      <c r="N67" s="4" t="s">
        <v>51</v>
      </c>
      <c r="O67" s="4"/>
      <c r="P67" s="4" t="s">
        <v>37</v>
      </c>
      <c r="Q67" s="4" t="s">
        <v>958</v>
      </c>
      <c r="R67" s="4" t="s">
        <v>959</v>
      </c>
      <c r="S67" s="4" t="s">
        <v>187</v>
      </c>
      <c r="T67" s="4" t="s">
        <v>40</v>
      </c>
      <c r="U67" s="4" t="s">
        <v>960</v>
      </c>
      <c r="V67" s="4" t="s">
        <v>961</v>
      </c>
      <c r="W67" s="4" t="s">
        <v>962</v>
      </c>
      <c r="X67" s="4" t="s">
        <v>963</v>
      </c>
      <c r="Y67" s="4" t="s">
        <v>964</v>
      </c>
      <c r="Z67" s="4" t="s">
        <v>965</v>
      </c>
      <c r="AA67" s="4" t="s">
        <v>966</v>
      </c>
      <c r="AB67" s="6">
        <v>46224</v>
      </c>
      <c r="AC67" s="4" t="s">
        <v>956</v>
      </c>
      <c r="AD67" s="4" t="s">
        <v>967</v>
      </c>
    </row>
    <row r="68" spans="1:30" ht="85.5" customHeight="1">
      <c r="A68" s="3" t="s">
        <v>1016</v>
      </c>
      <c r="B68" s="4" t="s">
        <v>42</v>
      </c>
      <c r="C68" s="4" t="s">
        <v>968</v>
      </c>
      <c r="D68" s="4" t="s">
        <v>969</v>
      </c>
      <c r="E68" s="4" t="s">
        <v>43</v>
      </c>
      <c r="F68" s="4" t="s">
        <v>135</v>
      </c>
      <c r="G68" s="6">
        <v>46233</v>
      </c>
      <c r="H68" s="4" t="s">
        <v>33</v>
      </c>
      <c r="I68" s="4" t="s">
        <v>84</v>
      </c>
      <c r="J68" s="4" t="s">
        <v>35</v>
      </c>
      <c r="K68" s="4" t="str">
        <f t="shared" ca="1" si="1"/>
        <v>Próxima a vencer</v>
      </c>
      <c r="L68" s="8">
        <v>75000</v>
      </c>
      <c r="M68" s="8">
        <v>200000</v>
      </c>
      <c r="N68" s="4" t="s">
        <v>65</v>
      </c>
      <c r="O68" s="4" t="s">
        <v>83</v>
      </c>
      <c r="P68" s="4" t="s">
        <v>60</v>
      </c>
      <c r="Q68" s="4" t="s">
        <v>970</v>
      </c>
      <c r="R68" s="4" t="s">
        <v>971</v>
      </c>
      <c r="S68" s="4" t="s">
        <v>135</v>
      </c>
      <c r="T68" s="4" t="s">
        <v>972</v>
      </c>
      <c r="U68" s="4" t="s">
        <v>973</v>
      </c>
      <c r="V68" s="4" t="s">
        <v>974</v>
      </c>
      <c r="W68" s="4" t="s">
        <v>975</v>
      </c>
      <c r="X68" s="4" t="s">
        <v>976</v>
      </c>
      <c r="Y68" s="4" t="s">
        <v>977</v>
      </c>
      <c r="Z68" s="4" t="s">
        <v>978</v>
      </c>
      <c r="AA68" s="4"/>
      <c r="AB68" s="6">
        <v>46224</v>
      </c>
      <c r="AC68" s="4" t="s">
        <v>969</v>
      </c>
      <c r="AD68" s="4" t="s">
        <v>1022</v>
      </c>
    </row>
    <row r="69" spans="1:30" ht="85.5" customHeight="1">
      <c r="A69" s="3" t="s">
        <v>1017</v>
      </c>
      <c r="B69" s="4" t="s">
        <v>42</v>
      </c>
      <c r="C69" s="4" t="s">
        <v>979</v>
      </c>
      <c r="D69" s="4" t="s">
        <v>980</v>
      </c>
      <c r="E69" s="4" t="s">
        <v>80</v>
      </c>
      <c r="F69" s="4" t="s">
        <v>32</v>
      </c>
      <c r="G69" s="6">
        <v>46113</v>
      </c>
      <c r="H69" s="4" t="s">
        <v>33</v>
      </c>
      <c r="I69" s="4" t="s">
        <v>34</v>
      </c>
      <c r="J69" s="4" t="s">
        <v>50</v>
      </c>
      <c r="K69" s="4" t="str">
        <f t="shared" ca="1" si="1"/>
        <v>Cerrada</v>
      </c>
      <c r="L69" s="8"/>
      <c r="M69" s="8">
        <v>10000</v>
      </c>
      <c r="N69" s="4" t="s">
        <v>36</v>
      </c>
      <c r="O69" s="4" t="s">
        <v>138</v>
      </c>
      <c r="P69" s="4" t="s">
        <v>189</v>
      </c>
      <c r="Q69" s="4" t="s">
        <v>38</v>
      </c>
      <c r="R69" s="4" t="s">
        <v>981</v>
      </c>
      <c r="S69" s="4" t="s">
        <v>187</v>
      </c>
      <c r="T69" s="4" t="s">
        <v>982</v>
      </c>
      <c r="U69" s="4" t="s">
        <v>983</v>
      </c>
      <c r="V69" s="4" t="s">
        <v>984</v>
      </c>
      <c r="W69" s="4" t="s">
        <v>985</v>
      </c>
      <c r="X69" s="4" t="s">
        <v>986</v>
      </c>
      <c r="Y69" s="4" t="s">
        <v>987</v>
      </c>
      <c r="Z69" s="4" t="s">
        <v>988</v>
      </c>
      <c r="AA69" s="4" t="s">
        <v>989</v>
      </c>
      <c r="AB69" s="6">
        <v>46224</v>
      </c>
      <c r="AC69" s="4" t="s">
        <v>990</v>
      </c>
      <c r="AD69" s="4" t="s">
        <v>991</v>
      </c>
    </row>
    <row r="70" spans="1:30" ht="85.5" customHeight="1">
      <c r="A70" s="3" t="s">
        <v>1018</v>
      </c>
      <c r="B70" s="4" t="s">
        <v>42</v>
      </c>
      <c r="C70" s="4" t="s">
        <v>992</v>
      </c>
      <c r="D70" s="4" t="s">
        <v>993</v>
      </c>
      <c r="E70" s="4" t="s">
        <v>46</v>
      </c>
      <c r="F70" s="4" t="s">
        <v>1020</v>
      </c>
      <c r="G70" s="6">
        <v>46082</v>
      </c>
      <c r="H70" s="4" t="s">
        <v>33</v>
      </c>
      <c r="I70" s="4" t="s">
        <v>70</v>
      </c>
      <c r="J70" s="4" t="s">
        <v>50</v>
      </c>
      <c r="K70" s="4" t="str">
        <f t="shared" ca="1" si="1"/>
        <v>Cerrada</v>
      </c>
      <c r="L70" s="8"/>
      <c r="M70" s="8">
        <v>7500</v>
      </c>
      <c r="N70" s="4" t="s">
        <v>71</v>
      </c>
      <c r="O70" s="4">
        <v>7</v>
      </c>
      <c r="P70" s="4" t="s">
        <v>189</v>
      </c>
      <c r="Q70" s="4" t="s">
        <v>38</v>
      </c>
      <c r="R70" s="4" t="s">
        <v>994</v>
      </c>
      <c r="S70" s="4" t="s">
        <v>995</v>
      </c>
      <c r="T70" s="4" t="s">
        <v>996</v>
      </c>
      <c r="U70" s="4" t="s">
        <v>997</v>
      </c>
      <c r="V70" s="4" t="s">
        <v>998</v>
      </c>
      <c r="W70" s="4" t="s">
        <v>999</v>
      </c>
      <c r="X70" s="4" t="s">
        <v>1000</v>
      </c>
      <c r="Y70" s="4" t="s">
        <v>1001</v>
      </c>
      <c r="Z70" s="4" t="s">
        <v>1002</v>
      </c>
      <c r="AA70" s="4" t="s">
        <v>1003</v>
      </c>
      <c r="AB70" s="6">
        <v>46224</v>
      </c>
      <c r="AC70" s="4" t="s">
        <v>993</v>
      </c>
      <c r="AD70" s="4" t="s">
        <v>1004</v>
      </c>
    </row>
    <row r="71" spans="1:30" ht="85.5" customHeight="1">
      <c r="A71" s="3" t="s">
        <v>1019</v>
      </c>
      <c r="B71" s="4" t="s">
        <v>42</v>
      </c>
      <c r="C71" s="4" t="s">
        <v>1005</v>
      </c>
      <c r="D71" s="4" t="s">
        <v>1006</v>
      </c>
      <c r="E71" s="4" t="s">
        <v>80</v>
      </c>
      <c r="F71" s="4" t="s">
        <v>32</v>
      </c>
      <c r="G71" s="6">
        <v>46174</v>
      </c>
      <c r="H71" s="4" t="s">
        <v>33</v>
      </c>
      <c r="I71" s="4" t="s">
        <v>34</v>
      </c>
      <c r="J71" s="4" t="s">
        <v>50</v>
      </c>
      <c r="K71" s="4" t="str">
        <f t="shared" ca="1" si="1"/>
        <v>Cerrada</v>
      </c>
      <c r="L71" s="8">
        <v>2000</v>
      </c>
      <c r="M71" s="8">
        <v>2000</v>
      </c>
      <c r="N71" s="4" t="s">
        <v>36</v>
      </c>
      <c r="O71" s="4"/>
      <c r="P71" s="4" t="s">
        <v>52</v>
      </c>
      <c r="Q71" s="4" t="s">
        <v>1007</v>
      </c>
      <c r="R71" s="4" t="s">
        <v>74</v>
      </c>
      <c r="S71" s="4" t="s">
        <v>187</v>
      </c>
      <c r="T71" s="4" t="s">
        <v>635</v>
      </c>
      <c r="U71" s="4" t="s">
        <v>1008</v>
      </c>
      <c r="V71" s="4" t="s">
        <v>1009</v>
      </c>
      <c r="W71" s="4" t="s">
        <v>1010</v>
      </c>
      <c r="X71" s="4" t="s">
        <v>1011</v>
      </c>
      <c r="Y71" s="4" t="s">
        <v>1012</v>
      </c>
      <c r="Z71" s="4" t="s">
        <v>1013</v>
      </c>
      <c r="AA71" s="4"/>
      <c r="AB71" s="6">
        <v>46224</v>
      </c>
      <c r="AC71" s="4" t="s">
        <v>1006</v>
      </c>
      <c r="AD71" s="4" t="s">
        <v>1021</v>
      </c>
    </row>
    <row r="72" spans="1:30" ht="71.25">
      <c r="A72" s="3" t="s">
        <v>1111</v>
      </c>
      <c r="B72" s="4" t="s">
        <v>42</v>
      </c>
      <c r="C72" s="4" t="s">
        <v>1023</v>
      </c>
      <c r="D72" s="4" t="s">
        <v>1024</v>
      </c>
      <c r="E72" s="4" t="s">
        <v>31</v>
      </c>
      <c r="F72" s="4" t="s">
        <v>32</v>
      </c>
      <c r="G72" s="6">
        <v>46295</v>
      </c>
      <c r="H72" s="4" t="s">
        <v>33</v>
      </c>
      <c r="I72" s="4" t="s">
        <v>34</v>
      </c>
      <c r="J72" s="4" t="s">
        <v>35</v>
      </c>
      <c r="K72" s="4" t="str">
        <f t="shared" ca="1" si="1"/>
        <v>Abierta</v>
      </c>
      <c r="L72" s="8"/>
      <c r="M72" s="8">
        <v>750000</v>
      </c>
      <c r="N72" s="4" t="s">
        <v>36</v>
      </c>
      <c r="O72" s="4" t="s">
        <v>533</v>
      </c>
      <c r="P72" s="4" t="s">
        <v>189</v>
      </c>
      <c r="Q72" s="4" t="s">
        <v>1025</v>
      </c>
      <c r="R72" s="4" t="s">
        <v>46</v>
      </c>
      <c r="S72" s="4" t="s">
        <v>187</v>
      </c>
      <c r="T72" s="4" t="s">
        <v>635</v>
      </c>
      <c r="U72" s="4" t="s">
        <v>1026</v>
      </c>
      <c r="V72" s="4" t="s">
        <v>1027</v>
      </c>
      <c r="W72" s="4" t="s">
        <v>1028</v>
      </c>
      <c r="X72" s="4" t="s">
        <v>1029</v>
      </c>
      <c r="Y72" s="4" t="s">
        <v>1030</v>
      </c>
      <c r="Z72" s="4" t="s">
        <v>1031</v>
      </c>
      <c r="AA72" s="4"/>
      <c r="AB72" s="6">
        <v>46224</v>
      </c>
      <c r="AC72" s="4" t="s">
        <v>1032</v>
      </c>
      <c r="AD72" s="4" t="s">
        <v>1126</v>
      </c>
    </row>
    <row r="73" spans="1:30" ht="57">
      <c r="A73" s="3" t="s">
        <v>1112</v>
      </c>
      <c r="B73" s="4" t="s">
        <v>42</v>
      </c>
      <c r="C73" s="4" t="s">
        <v>1033</v>
      </c>
      <c r="D73" s="4" t="s">
        <v>1034</v>
      </c>
      <c r="E73" s="4" t="s">
        <v>47</v>
      </c>
      <c r="F73" s="4" t="s">
        <v>32</v>
      </c>
      <c r="G73" s="6">
        <v>46295</v>
      </c>
      <c r="H73" s="4" t="s">
        <v>33</v>
      </c>
      <c r="I73" s="4" t="s">
        <v>34</v>
      </c>
      <c r="J73" s="4" t="s">
        <v>35</v>
      </c>
      <c r="K73" s="4" t="str">
        <f t="shared" ca="1" si="1"/>
        <v>Abierta</v>
      </c>
      <c r="L73" s="8"/>
      <c r="M73" s="8"/>
      <c r="N73" s="4" t="s">
        <v>36</v>
      </c>
      <c r="O73" s="4"/>
      <c r="P73" s="4" t="s">
        <v>189</v>
      </c>
      <c r="Q73" s="4" t="s">
        <v>1035</v>
      </c>
      <c r="R73" s="4" t="s">
        <v>46</v>
      </c>
      <c r="S73" s="4" t="s">
        <v>187</v>
      </c>
      <c r="T73" s="4" t="s">
        <v>1036</v>
      </c>
      <c r="U73" s="4" t="s">
        <v>1037</v>
      </c>
      <c r="V73" s="4" t="s">
        <v>1038</v>
      </c>
      <c r="W73" s="4" t="s">
        <v>1039</v>
      </c>
      <c r="X73" s="4" t="s">
        <v>1040</v>
      </c>
      <c r="Y73" s="4" t="s">
        <v>1041</v>
      </c>
      <c r="Z73" s="4" t="s">
        <v>1042</v>
      </c>
      <c r="AA73" s="4"/>
      <c r="AB73" s="6">
        <v>46224</v>
      </c>
      <c r="AC73" s="4" t="s">
        <v>1043</v>
      </c>
      <c r="AD73" s="4" t="s">
        <v>1125</v>
      </c>
    </row>
    <row r="74" spans="1:30" ht="71.25">
      <c r="A74" s="3" t="s">
        <v>1113</v>
      </c>
      <c r="B74" s="4" t="s">
        <v>42</v>
      </c>
      <c r="C74" s="4" t="s">
        <v>1044</v>
      </c>
      <c r="D74" s="4" t="s">
        <v>1045</v>
      </c>
      <c r="E74" s="4" t="s">
        <v>55</v>
      </c>
      <c r="F74" s="4" t="s">
        <v>187</v>
      </c>
      <c r="G74" s="6">
        <v>46295</v>
      </c>
      <c r="H74" s="4" t="s">
        <v>33</v>
      </c>
      <c r="I74" s="4" t="s">
        <v>70</v>
      </c>
      <c r="J74" s="4" t="s">
        <v>35</v>
      </c>
      <c r="K74" s="4" t="str">
        <f t="shared" ca="1" si="1"/>
        <v>Abierta</v>
      </c>
      <c r="L74" s="8"/>
      <c r="M74" s="8">
        <v>5000</v>
      </c>
      <c r="N74" s="4" t="s">
        <v>51</v>
      </c>
      <c r="O74" s="4"/>
      <c r="P74" s="4" t="s">
        <v>72</v>
      </c>
      <c r="Q74" s="4" t="s">
        <v>1046</v>
      </c>
      <c r="R74" s="4" t="s">
        <v>46</v>
      </c>
      <c r="S74" s="4" t="s">
        <v>187</v>
      </c>
      <c r="T74" s="4" t="s">
        <v>1047</v>
      </c>
      <c r="U74" s="4" t="s">
        <v>1048</v>
      </c>
      <c r="V74" s="4" t="s">
        <v>1049</v>
      </c>
      <c r="W74" s="4" t="s">
        <v>1050</v>
      </c>
      <c r="X74" s="4" t="s">
        <v>1051</v>
      </c>
      <c r="Y74" s="4" t="s">
        <v>1052</v>
      </c>
      <c r="Z74" s="4" t="s">
        <v>1053</v>
      </c>
      <c r="AA74" s="4"/>
      <c r="AB74" s="6">
        <v>46224</v>
      </c>
      <c r="AC74" s="4" t="s">
        <v>1054</v>
      </c>
      <c r="AD74" s="4" t="s">
        <v>1124</v>
      </c>
    </row>
    <row r="75" spans="1:30" ht="71.25">
      <c r="A75" s="3" t="s">
        <v>1114</v>
      </c>
      <c r="B75" s="4" t="s">
        <v>42</v>
      </c>
      <c r="C75" s="4" t="s">
        <v>1055</v>
      </c>
      <c r="D75" s="4" t="s">
        <v>1045</v>
      </c>
      <c r="E75" s="4" t="s">
        <v>55</v>
      </c>
      <c r="F75" s="4" t="s">
        <v>187</v>
      </c>
      <c r="G75" s="6">
        <v>46249</v>
      </c>
      <c r="H75" s="4" t="s">
        <v>33</v>
      </c>
      <c r="I75" s="4" t="s">
        <v>70</v>
      </c>
      <c r="J75" s="4" t="s">
        <v>35</v>
      </c>
      <c r="K75" s="4" t="str">
        <f t="shared" ca="1" si="1"/>
        <v>Próxima a vencer</v>
      </c>
      <c r="L75" s="8"/>
      <c r="M75" s="8"/>
      <c r="N75" s="4"/>
      <c r="O75" s="4" t="s">
        <v>325</v>
      </c>
      <c r="P75" s="4" t="s">
        <v>52</v>
      </c>
      <c r="Q75" s="4" t="s">
        <v>1056</v>
      </c>
      <c r="R75" s="4" t="s">
        <v>74</v>
      </c>
      <c r="S75" s="4" t="s">
        <v>1057</v>
      </c>
      <c r="T75" s="4" t="s">
        <v>1058</v>
      </c>
      <c r="U75" s="4" t="s">
        <v>1059</v>
      </c>
      <c r="V75" s="4" t="s">
        <v>1060</v>
      </c>
      <c r="W75" s="4" t="s">
        <v>1061</v>
      </c>
      <c r="X75" s="4" t="s">
        <v>1062</v>
      </c>
      <c r="Y75" s="4" t="s">
        <v>1063</v>
      </c>
      <c r="Z75" s="4" t="s">
        <v>1064</v>
      </c>
      <c r="AA75" s="4"/>
      <c r="AB75" s="6">
        <v>46224</v>
      </c>
      <c r="AC75" s="4" t="s">
        <v>1065</v>
      </c>
      <c r="AD75" s="4" t="s">
        <v>1123</v>
      </c>
    </row>
    <row r="76" spans="1:30" ht="71.25">
      <c r="A76" s="3" t="s">
        <v>1115</v>
      </c>
      <c r="B76" s="4" t="s">
        <v>42</v>
      </c>
      <c r="C76" s="4" t="s">
        <v>1066</v>
      </c>
      <c r="D76" s="4" t="s">
        <v>1067</v>
      </c>
      <c r="E76" s="4" t="s">
        <v>80</v>
      </c>
      <c r="F76" s="4" t="s">
        <v>32</v>
      </c>
      <c r="G76" s="6"/>
      <c r="H76" s="4" t="s">
        <v>63</v>
      </c>
      <c r="I76" s="4" t="s">
        <v>70</v>
      </c>
      <c r="J76" s="4" t="s">
        <v>35</v>
      </c>
      <c r="K76" s="4" t="str">
        <f t="shared" ca="1" si="1"/>
        <v>Sin fecha</v>
      </c>
      <c r="L76" s="8">
        <v>200</v>
      </c>
      <c r="M76" s="8">
        <v>2000</v>
      </c>
      <c r="N76" s="4" t="s">
        <v>36</v>
      </c>
      <c r="O76" s="4"/>
      <c r="P76" s="4" t="s">
        <v>52</v>
      </c>
      <c r="Q76" s="4" t="s">
        <v>1068</v>
      </c>
      <c r="R76" s="4" t="s">
        <v>74</v>
      </c>
      <c r="S76" s="4" t="s">
        <v>1069</v>
      </c>
      <c r="T76" s="4" t="s">
        <v>1070</v>
      </c>
      <c r="U76" s="4" t="s">
        <v>1071</v>
      </c>
      <c r="V76" s="4" t="s">
        <v>1072</v>
      </c>
      <c r="W76" s="4" t="s">
        <v>1073</v>
      </c>
      <c r="X76" s="4" t="s">
        <v>1074</v>
      </c>
      <c r="Y76" s="4" t="s">
        <v>1075</v>
      </c>
      <c r="Z76" s="4" t="s">
        <v>1076</v>
      </c>
      <c r="AA76" s="4" t="s">
        <v>1077</v>
      </c>
      <c r="AB76" s="6">
        <v>46224</v>
      </c>
      <c r="AC76" s="4" t="s">
        <v>1078</v>
      </c>
      <c r="AD76" s="4" t="s">
        <v>1122</v>
      </c>
    </row>
    <row r="77" spans="1:30" ht="57">
      <c r="A77" s="3" t="s">
        <v>1116</v>
      </c>
      <c r="B77" s="4" t="s">
        <v>42</v>
      </c>
      <c r="C77" s="4" t="s">
        <v>1079</v>
      </c>
      <c r="D77" s="4" t="s">
        <v>1080</v>
      </c>
      <c r="E77" s="4" t="s">
        <v>80</v>
      </c>
      <c r="F77" s="4" t="s">
        <v>32</v>
      </c>
      <c r="G77" s="6">
        <v>46266</v>
      </c>
      <c r="H77" s="4" t="s">
        <v>33</v>
      </c>
      <c r="I77" s="4" t="s">
        <v>75</v>
      </c>
      <c r="J77" s="4" t="s">
        <v>35</v>
      </c>
      <c r="K77" s="4" t="str">
        <f t="shared" ca="1" si="1"/>
        <v>Abierta</v>
      </c>
      <c r="L77" s="8">
        <v>2500</v>
      </c>
      <c r="M77" s="8">
        <v>3000</v>
      </c>
      <c r="N77" s="4" t="s">
        <v>36</v>
      </c>
      <c r="O77" s="4"/>
      <c r="P77" s="4" t="s">
        <v>60</v>
      </c>
      <c r="Q77" s="4" t="s">
        <v>1081</v>
      </c>
      <c r="R77" s="4" t="s">
        <v>74</v>
      </c>
      <c r="S77" s="4" t="s">
        <v>187</v>
      </c>
      <c r="T77" s="4" t="s">
        <v>635</v>
      </c>
      <c r="U77" s="4" t="s">
        <v>1082</v>
      </c>
      <c r="V77" s="4" t="s">
        <v>1083</v>
      </c>
      <c r="W77" s="4" t="s">
        <v>1084</v>
      </c>
      <c r="X77" s="4" t="s">
        <v>1085</v>
      </c>
      <c r="Y77" s="4" t="s">
        <v>1086</v>
      </c>
      <c r="Z77" s="4" t="s">
        <v>1087</v>
      </c>
      <c r="AA77" s="4" t="s">
        <v>1088</v>
      </c>
      <c r="AB77" s="6">
        <v>46224</v>
      </c>
      <c r="AC77" s="4" t="s">
        <v>1080</v>
      </c>
      <c r="AD77" s="4" t="s">
        <v>1121</v>
      </c>
    </row>
    <row r="78" spans="1:30" ht="57">
      <c r="A78" s="3" t="s">
        <v>1117</v>
      </c>
      <c r="B78" s="4" t="s">
        <v>42</v>
      </c>
      <c r="C78" s="4" t="s">
        <v>1089</v>
      </c>
      <c r="D78" s="4" t="s">
        <v>1090</v>
      </c>
      <c r="E78" s="4" t="s">
        <v>80</v>
      </c>
      <c r="F78" s="4" t="s">
        <v>32</v>
      </c>
      <c r="G78" s="6">
        <v>46300</v>
      </c>
      <c r="H78" s="4" t="s">
        <v>33</v>
      </c>
      <c r="I78" s="4" t="s">
        <v>75</v>
      </c>
      <c r="J78" s="4" t="s">
        <v>35</v>
      </c>
      <c r="K78" s="4" t="str">
        <f t="shared" ca="1" si="1"/>
        <v>Abierta</v>
      </c>
      <c r="L78" s="8">
        <v>200000</v>
      </c>
      <c r="M78" s="8">
        <v>200000</v>
      </c>
      <c r="N78" s="4" t="s">
        <v>36</v>
      </c>
      <c r="O78" s="4"/>
      <c r="P78" s="4" t="s">
        <v>60</v>
      </c>
      <c r="Q78" s="4" t="s">
        <v>1091</v>
      </c>
      <c r="R78" s="4" t="s">
        <v>74</v>
      </c>
      <c r="S78" s="4" t="s">
        <v>187</v>
      </c>
      <c r="T78" s="4" t="s">
        <v>1092</v>
      </c>
      <c r="U78" s="4" t="s">
        <v>1093</v>
      </c>
      <c r="V78" s="4" t="s">
        <v>1094</v>
      </c>
      <c r="W78" s="4" t="s">
        <v>1095</v>
      </c>
      <c r="X78" s="4" t="s">
        <v>1096</v>
      </c>
      <c r="Y78" s="4" t="s">
        <v>1097</v>
      </c>
      <c r="Z78" s="4" t="s">
        <v>1098</v>
      </c>
      <c r="AA78" s="4" t="s">
        <v>1099</v>
      </c>
      <c r="AB78" s="6">
        <v>46224</v>
      </c>
      <c r="AC78" s="4" t="s">
        <v>1100</v>
      </c>
      <c r="AD78" s="4" t="s">
        <v>1120</v>
      </c>
    </row>
    <row r="79" spans="1:30" ht="57">
      <c r="A79" s="3" t="s">
        <v>1118</v>
      </c>
      <c r="B79" s="4" t="s">
        <v>42</v>
      </c>
      <c r="C79" s="4" t="s">
        <v>1101</v>
      </c>
      <c r="D79" s="4" t="s">
        <v>1080</v>
      </c>
      <c r="E79" s="4" t="s">
        <v>80</v>
      </c>
      <c r="F79" s="4" t="s">
        <v>32</v>
      </c>
      <c r="G79" s="6">
        <v>46266</v>
      </c>
      <c r="H79" s="4" t="s">
        <v>33</v>
      </c>
      <c r="I79" s="4" t="s">
        <v>75</v>
      </c>
      <c r="J79" s="4" t="s">
        <v>35</v>
      </c>
      <c r="K79" s="4" t="str">
        <f t="shared" ca="1" si="1"/>
        <v>Abierta</v>
      </c>
      <c r="L79" s="8">
        <v>2500</v>
      </c>
      <c r="M79" s="8">
        <v>4000</v>
      </c>
      <c r="N79" s="4" t="s">
        <v>36</v>
      </c>
      <c r="O79" s="4"/>
      <c r="P79" s="4" t="s">
        <v>60</v>
      </c>
      <c r="Q79" s="4" t="s">
        <v>1102</v>
      </c>
      <c r="R79" s="4" t="s">
        <v>74</v>
      </c>
      <c r="S79" s="4" t="s">
        <v>187</v>
      </c>
      <c r="T79" s="4" t="s">
        <v>1103</v>
      </c>
      <c r="U79" s="4" t="s">
        <v>1104</v>
      </c>
      <c r="V79" s="4" t="s">
        <v>1105</v>
      </c>
      <c r="W79" s="4" t="s">
        <v>1106</v>
      </c>
      <c r="X79" s="4" t="s">
        <v>1107</v>
      </c>
      <c r="Y79" s="4" t="s">
        <v>1108</v>
      </c>
      <c r="Z79" s="4" t="s">
        <v>1109</v>
      </c>
      <c r="AA79" s="4" t="s">
        <v>1110</v>
      </c>
      <c r="AB79" s="6">
        <v>46224</v>
      </c>
      <c r="AC79" s="4" t="s">
        <v>1080</v>
      </c>
      <c r="AD79" s="4" t="s">
        <v>1119</v>
      </c>
    </row>
    <row r="80" spans="1:30" ht="142.5">
      <c r="A80" s="3" t="s">
        <v>1169</v>
      </c>
      <c r="B80" s="4" t="s">
        <v>42</v>
      </c>
      <c r="C80" s="4" t="s">
        <v>1127</v>
      </c>
      <c r="D80" s="4" t="s">
        <v>1128</v>
      </c>
      <c r="E80" s="4" t="s">
        <v>69</v>
      </c>
      <c r="F80" s="4" t="s">
        <v>32</v>
      </c>
      <c r="G80" s="6"/>
      <c r="H80" s="4" t="s">
        <v>56</v>
      </c>
      <c r="I80" s="4" t="s">
        <v>70</v>
      </c>
      <c r="J80" s="4" t="s">
        <v>35</v>
      </c>
      <c r="K80" s="4" t="str">
        <f t="shared" ca="1" si="1"/>
        <v>Sin fecha</v>
      </c>
      <c r="L80" s="8"/>
      <c r="M80" s="8"/>
      <c r="N80" s="4"/>
      <c r="O80" s="4" t="s">
        <v>1129</v>
      </c>
      <c r="P80" s="4" t="s">
        <v>84</v>
      </c>
      <c r="Q80" s="4" t="s">
        <v>1130</v>
      </c>
      <c r="R80" s="4" t="s">
        <v>46</v>
      </c>
      <c r="S80" s="4" t="s">
        <v>1131</v>
      </c>
      <c r="T80" s="4" t="s">
        <v>1132</v>
      </c>
      <c r="U80" s="4" t="s">
        <v>1133</v>
      </c>
      <c r="V80" s="4" t="s">
        <v>1134</v>
      </c>
      <c r="W80" s="4" t="s">
        <v>1135</v>
      </c>
      <c r="X80" s="4" t="s">
        <v>1136</v>
      </c>
      <c r="Y80" s="4" t="s">
        <v>1137</v>
      </c>
      <c r="Z80" s="4" t="s">
        <v>1138</v>
      </c>
      <c r="AA80" s="4"/>
      <c r="AB80" s="6">
        <v>46224</v>
      </c>
      <c r="AC80" s="4" t="s">
        <v>1139</v>
      </c>
      <c r="AD80" s="4" t="s">
        <v>1140</v>
      </c>
    </row>
    <row r="81" spans="1:30" ht="128.25">
      <c r="A81" s="3" t="s">
        <v>1170</v>
      </c>
      <c r="B81" s="4" t="s">
        <v>42</v>
      </c>
      <c r="C81" s="4" t="s">
        <v>1141</v>
      </c>
      <c r="D81" s="4" t="s">
        <v>1142</v>
      </c>
      <c r="E81" s="4" t="s">
        <v>31</v>
      </c>
      <c r="F81" s="4" t="s">
        <v>32</v>
      </c>
      <c r="G81" s="6">
        <v>46357</v>
      </c>
      <c r="H81" s="4" t="s">
        <v>33</v>
      </c>
      <c r="I81" s="4" t="s">
        <v>57</v>
      </c>
      <c r="J81" s="4" t="s">
        <v>64</v>
      </c>
      <c r="K81" s="4" t="str">
        <f t="shared" ref="K81:K118" ca="1" si="2">IF(J81="En revisión","Pendiente Apertura",IF(J81="Cerrada","Cerrada",IF(J81="Suspendida","Suspendida",IF(G81="","Sin fecha",IF(G81&lt;TODAY(),"Vencida",IF(G81-TODAY()&lt;=30,"Próxima a vencer","Abierta"))))))</f>
        <v>Pendiente Apertura</v>
      </c>
      <c r="L81" s="8"/>
      <c r="M81" s="8"/>
      <c r="N81" s="4" t="s">
        <v>36</v>
      </c>
      <c r="O81" s="4" t="s">
        <v>1143</v>
      </c>
      <c r="P81" s="4" t="s">
        <v>189</v>
      </c>
      <c r="Q81" s="4" t="s">
        <v>1144</v>
      </c>
      <c r="R81" s="4" t="s">
        <v>46</v>
      </c>
      <c r="S81" s="4" t="s">
        <v>1145</v>
      </c>
      <c r="T81" s="4" t="s">
        <v>635</v>
      </c>
      <c r="U81" s="4" t="s">
        <v>1146</v>
      </c>
      <c r="V81" s="4" t="s">
        <v>1147</v>
      </c>
      <c r="W81" s="4" t="s">
        <v>1148</v>
      </c>
      <c r="X81" s="4" t="s">
        <v>1149</v>
      </c>
      <c r="Y81" s="4" t="s">
        <v>1150</v>
      </c>
      <c r="Z81" s="4" t="s">
        <v>434</v>
      </c>
      <c r="AA81" s="4"/>
      <c r="AB81" s="6">
        <v>46224</v>
      </c>
      <c r="AC81" s="4" t="s">
        <v>1151</v>
      </c>
      <c r="AD81" s="4" t="s">
        <v>1152</v>
      </c>
    </row>
    <row r="82" spans="1:30" ht="99.75">
      <c r="A82" s="3" t="s">
        <v>1171</v>
      </c>
      <c r="B82" s="4" t="s">
        <v>42</v>
      </c>
      <c r="C82" s="4" t="s">
        <v>1153</v>
      </c>
      <c r="D82" s="4" t="s">
        <v>1154</v>
      </c>
      <c r="E82" s="4" t="s">
        <v>55</v>
      </c>
      <c r="F82" s="4" t="s">
        <v>1155</v>
      </c>
      <c r="G82" s="6">
        <v>46310</v>
      </c>
      <c r="H82" s="4" t="s">
        <v>33</v>
      </c>
      <c r="I82" s="4" t="s">
        <v>70</v>
      </c>
      <c r="J82" s="4" t="s">
        <v>64</v>
      </c>
      <c r="K82" s="4" t="str">
        <f t="shared" ca="1" si="2"/>
        <v>Pendiente Apertura</v>
      </c>
      <c r="L82" s="8"/>
      <c r="M82" s="8">
        <v>1250</v>
      </c>
      <c r="N82" s="4" t="s">
        <v>36</v>
      </c>
      <c r="O82" s="4" t="s">
        <v>1156</v>
      </c>
      <c r="P82" s="4" t="s">
        <v>77</v>
      </c>
      <c r="Q82" s="4" t="s">
        <v>1157</v>
      </c>
      <c r="R82" s="4" t="s">
        <v>74</v>
      </c>
      <c r="S82" s="4" t="s">
        <v>1158</v>
      </c>
      <c r="T82" s="4" t="s">
        <v>1159</v>
      </c>
      <c r="U82" s="4" t="s">
        <v>1160</v>
      </c>
      <c r="V82" s="4" t="s">
        <v>1161</v>
      </c>
      <c r="W82" s="4" t="s">
        <v>1162</v>
      </c>
      <c r="X82" s="4" t="s">
        <v>1163</v>
      </c>
      <c r="Y82" s="4" t="s">
        <v>1164</v>
      </c>
      <c r="Z82" s="4" t="s">
        <v>1165</v>
      </c>
      <c r="AA82" s="4"/>
      <c r="AB82" s="6">
        <v>46224</v>
      </c>
      <c r="AC82" s="4" t="s">
        <v>1166</v>
      </c>
      <c r="AD82" s="4" t="s">
        <v>1167</v>
      </c>
    </row>
    <row r="83" spans="1:30" ht="213.75">
      <c r="A83" s="3" t="s">
        <v>1172</v>
      </c>
      <c r="B83" s="4" t="s">
        <v>42</v>
      </c>
      <c r="C83" s="4" t="s">
        <v>1168</v>
      </c>
      <c r="D83" s="4" t="s">
        <v>1173</v>
      </c>
      <c r="E83" s="4" t="s">
        <v>47</v>
      </c>
      <c r="F83" s="4" t="s">
        <v>202</v>
      </c>
      <c r="G83" s="6">
        <v>46275</v>
      </c>
      <c r="H83" s="4" t="s">
        <v>56</v>
      </c>
      <c r="I83" s="4" t="s">
        <v>70</v>
      </c>
      <c r="J83" s="4" t="s">
        <v>35</v>
      </c>
      <c r="K83" s="4" t="str">
        <f t="shared" ca="1" si="2"/>
        <v>Abierta</v>
      </c>
      <c r="L83" s="8"/>
      <c r="M83" s="8">
        <v>300000</v>
      </c>
      <c r="N83" s="4" t="s">
        <v>59</v>
      </c>
      <c r="O83" s="4">
        <v>36</v>
      </c>
      <c r="P83" s="4" t="s">
        <v>84</v>
      </c>
      <c r="Q83" s="4" t="s">
        <v>1174</v>
      </c>
      <c r="R83" s="4" t="s">
        <v>1175</v>
      </c>
      <c r="S83" s="14" t="s">
        <v>1176</v>
      </c>
      <c r="T83" s="4" t="s">
        <v>635</v>
      </c>
      <c r="U83" s="4" t="s">
        <v>1177</v>
      </c>
      <c r="V83" s="4" t="s">
        <v>1178</v>
      </c>
      <c r="W83" s="4" t="s">
        <v>1179</v>
      </c>
      <c r="X83" s="4" t="s">
        <v>1180</v>
      </c>
      <c r="Y83" s="4" t="s">
        <v>1181</v>
      </c>
      <c r="Z83" s="13" t="s">
        <v>1182</v>
      </c>
      <c r="AA83" s="4"/>
      <c r="AB83" s="6">
        <v>46226</v>
      </c>
      <c r="AC83" s="4" t="s">
        <v>1183</v>
      </c>
      <c r="AD83" s="4" t="s">
        <v>1184</v>
      </c>
    </row>
    <row r="84" spans="1:30" ht="114">
      <c r="A84" s="3" t="s">
        <v>1230</v>
      </c>
      <c r="B84" s="4" t="s">
        <v>42</v>
      </c>
      <c r="C84" s="4" t="s">
        <v>1185</v>
      </c>
      <c r="D84" s="4" t="s">
        <v>1186</v>
      </c>
      <c r="E84" s="4" t="s">
        <v>47</v>
      </c>
      <c r="F84" s="4" t="s">
        <v>1187</v>
      </c>
      <c r="G84" s="6">
        <v>46266</v>
      </c>
      <c r="H84" s="4" t="s">
        <v>56</v>
      </c>
      <c r="I84" s="4" t="s">
        <v>70</v>
      </c>
      <c r="J84" s="4" t="s">
        <v>64</v>
      </c>
      <c r="K84" s="4" t="str">
        <f t="shared" ca="1" si="2"/>
        <v>Pendiente Apertura</v>
      </c>
      <c r="L84" s="8"/>
      <c r="M84" s="8">
        <v>4000000</v>
      </c>
      <c r="N84" s="4" t="s">
        <v>51</v>
      </c>
      <c r="O84" s="4" t="s">
        <v>1188</v>
      </c>
      <c r="P84" s="4" t="s">
        <v>1189</v>
      </c>
      <c r="Q84" s="4" t="s">
        <v>1190</v>
      </c>
      <c r="R84" s="4" t="s">
        <v>1191</v>
      </c>
      <c r="S84" s="12" t="s">
        <v>1192</v>
      </c>
      <c r="T84" s="4" t="s">
        <v>1193</v>
      </c>
      <c r="U84" s="4" t="s">
        <v>1194</v>
      </c>
      <c r="V84" s="4" t="s">
        <v>1195</v>
      </c>
      <c r="W84" s="4" t="s">
        <v>1196</v>
      </c>
      <c r="X84" s="4" t="s">
        <v>1197</v>
      </c>
      <c r="Y84" s="4" t="s">
        <v>1198</v>
      </c>
      <c r="Z84" s="4" t="s">
        <v>1199</v>
      </c>
      <c r="AA84" s="4"/>
      <c r="AB84" s="6">
        <v>46226</v>
      </c>
      <c r="AC84" s="4" t="s">
        <v>1186</v>
      </c>
      <c r="AD84" s="4" t="s">
        <v>1200</v>
      </c>
    </row>
    <row r="85" spans="1:30" ht="99.75">
      <c r="A85" s="3" t="s">
        <v>1231</v>
      </c>
      <c r="B85" s="4" t="s">
        <v>42</v>
      </c>
      <c r="C85" s="4" t="s">
        <v>1201</v>
      </c>
      <c r="D85" s="4" t="s">
        <v>1202</v>
      </c>
      <c r="E85" s="4" t="s">
        <v>43</v>
      </c>
      <c r="F85" s="4" t="s">
        <v>135</v>
      </c>
      <c r="G85" s="6">
        <v>46171</v>
      </c>
      <c r="H85" s="4" t="s">
        <v>33</v>
      </c>
      <c r="I85" s="4" t="s">
        <v>34</v>
      </c>
      <c r="J85" s="4" t="s">
        <v>50</v>
      </c>
      <c r="K85" s="4" t="str">
        <f t="shared" ca="1" si="2"/>
        <v>Cerrada</v>
      </c>
      <c r="L85" s="8"/>
      <c r="M85" s="8">
        <v>2500000</v>
      </c>
      <c r="N85" s="4" t="s">
        <v>65</v>
      </c>
      <c r="O85" s="4" t="s">
        <v>1203</v>
      </c>
      <c r="P85" s="4" t="s">
        <v>1204</v>
      </c>
      <c r="Q85" s="4" t="s">
        <v>1205</v>
      </c>
      <c r="R85" s="4" t="s">
        <v>1206</v>
      </c>
      <c r="S85" s="4" t="s">
        <v>135</v>
      </c>
      <c r="T85" s="4" t="s">
        <v>1207</v>
      </c>
      <c r="U85" s="4" t="s">
        <v>1208</v>
      </c>
      <c r="V85" s="4" t="s">
        <v>1209</v>
      </c>
      <c r="W85" s="4" t="s">
        <v>1210</v>
      </c>
      <c r="X85" s="4" t="s">
        <v>1211</v>
      </c>
      <c r="Y85" s="4" t="s">
        <v>1212</v>
      </c>
      <c r="Z85" s="4" t="s">
        <v>1213</v>
      </c>
      <c r="AA85" s="4"/>
      <c r="AB85" s="6">
        <v>46226</v>
      </c>
      <c r="AC85" s="4" t="s">
        <v>1214</v>
      </c>
      <c r="AD85" s="4" t="s">
        <v>1215</v>
      </c>
    </row>
    <row r="86" spans="1:30" ht="99.75">
      <c r="A86" s="3" t="s">
        <v>1232</v>
      </c>
      <c r="B86" s="4" t="s">
        <v>42</v>
      </c>
      <c r="C86" s="4" t="s">
        <v>1216</v>
      </c>
      <c r="D86" s="4" t="s">
        <v>123</v>
      </c>
      <c r="E86" s="4" t="s">
        <v>31</v>
      </c>
      <c r="F86" s="4" t="s">
        <v>32</v>
      </c>
      <c r="G86" s="6">
        <v>46213</v>
      </c>
      <c r="H86" s="4" t="s">
        <v>33</v>
      </c>
      <c r="I86" s="4" t="s">
        <v>57</v>
      </c>
      <c r="J86" s="4" t="s">
        <v>50</v>
      </c>
      <c r="K86" s="4" t="str">
        <f t="shared" ca="1" si="2"/>
        <v>Cerrada</v>
      </c>
      <c r="L86" s="8"/>
      <c r="M86" s="8">
        <v>400000</v>
      </c>
      <c r="N86" s="4" t="s">
        <v>36</v>
      </c>
      <c r="O86" s="4" t="s">
        <v>1217</v>
      </c>
      <c r="P86" s="4" t="s">
        <v>1218</v>
      </c>
      <c r="Q86" s="4" t="s">
        <v>1219</v>
      </c>
      <c r="R86" s="4" t="s">
        <v>1220</v>
      </c>
      <c r="S86" s="4" t="s">
        <v>187</v>
      </c>
      <c r="T86" s="4" t="s">
        <v>1221</v>
      </c>
      <c r="U86" s="4" t="s">
        <v>1222</v>
      </c>
      <c r="V86" s="4" t="s">
        <v>1223</v>
      </c>
      <c r="W86" s="4" t="s">
        <v>1224</v>
      </c>
      <c r="X86" s="4" t="s">
        <v>1225</v>
      </c>
      <c r="Y86" s="4" t="s">
        <v>1226</v>
      </c>
      <c r="Z86" s="4" t="s">
        <v>1227</v>
      </c>
      <c r="AA86" s="4"/>
      <c r="AB86" s="6">
        <v>46226</v>
      </c>
      <c r="AC86" s="4" t="s">
        <v>1228</v>
      </c>
      <c r="AD86" s="4" t="s">
        <v>1229</v>
      </c>
    </row>
    <row r="87" spans="1:30">
      <c r="A87" s="4" t="str">
        <f t="shared" ref="A84:A128" si="3">IF(C87="","","OP-"&amp;TEXT(ROW()-1,"0000"))</f>
        <v/>
      </c>
      <c r="B87" s="4"/>
      <c r="C87" s="4"/>
      <c r="D87" s="4"/>
      <c r="E87" s="4"/>
      <c r="F87" s="4"/>
      <c r="G87" s="6"/>
      <c r="H87" s="4"/>
      <c r="I87" s="4"/>
      <c r="J87" s="4"/>
      <c r="K87" s="4" t="str">
        <f t="shared" ca="1" si="2"/>
        <v>Sin fecha</v>
      </c>
      <c r="L87" s="8"/>
      <c r="M87" s="8"/>
      <c r="N87" s="4"/>
      <c r="O87" s="4"/>
      <c r="P87" s="4"/>
      <c r="Q87" s="4"/>
      <c r="R87" s="4"/>
      <c r="S87" s="4"/>
      <c r="T87" s="4"/>
      <c r="U87" s="4"/>
      <c r="V87" s="4"/>
      <c r="W87" s="4"/>
      <c r="X87" s="4"/>
      <c r="Y87" s="4"/>
      <c r="Z87" s="4"/>
      <c r="AA87" s="4"/>
      <c r="AB87" s="6"/>
      <c r="AC87" s="4"/>
      <c r="AD87" s="4"/>
    </row>
    <row r="88" spans="1:30">
      <c r="A88" s="4" t="str">
        <f t="shared" si="3"/>
        <v/>
      </c>
      <c r="B88" s="4"/>
      <c r="C88" s="4"/>
      <c r="D88" s="4"/>
      <c r="E88" s="4"/>
      <c r="F88" s="4"/>
      <c r="G88" s="6"/>
      <c r="H88" s="4"/>
      <c r="I88" s="4"/>
      <c r="J88" s="4"/>
      <c r="K88" s="4" t="str">
        <f t="shared" ca="1" si="2"/>
        <v>Sin fecha</v>
      </c>
      <c r="L88" s="8"/>
      <c r="M88" s="8"/>
      <c r="N88" s="4"/>
      <c r="O88" s="4"/>
      <c r="P88" s="4"/>
      <c r="Q88" s="4"/>
      <c r="R88" s="4"/>
      <c r="S88" s="4"/>
      <c r="T88" s="4"/>
      <c r="U88" s="4"/>
      <c r="V88" s="4"/>
      <c r="W88" s="4"/>
      <c r="X88" s="4"/>
      <c r="Y88" s="4"/>
      <c r="Z88" s="4"/>
      <c r="AA88" s="4"/>
      <c r="AB88" s="6"/>
      <c r="AC88" s="4"/>
      <c r="AD88" s="4"/>
    </row>
    <row r="89" spans="1:30">
      <c r="A89" s="4" t="str">
        <f t="shared" si="3"/>
        <v/>
      </c>
      <c r="B89" s="4"/>
      <c r="C89" s="4"/>
      <c r="D89" s="4"/>
      <c r="E89" s="4"/>
      <c r="F89" s="4"/>
      <c r="G89" s="6"/>
      <c r="H89" s="4"/>
      <c r="I89" s="4"/>
      <c r="J89" s="4"/>
      <c r="K89" s="4" t="str">
        <f t="shared" ca="1" si="2"/>
        <v>Sin fecha</v>
      </c>
      <c r="L89" s="8"/>
      <c r="M89" s="8"/>
      <c r="N89" s="4"/>
      <c r="O89" s="4"/>
      <c r="P89" s="4"/>
      <c r="Q89" s="4"/>
      <c r="R89" s="4"/>
      <c r="S89" s="4"/>
      <c r="T89" s="4"/>
      <c r="U89" s="4"/>
      <c r="V89" s="4"/>
      <c r="W89" s="4"/>
      <c r="X89" s="4"/>
      <c r="Y89" s="4"/>
      <c r="Z89" s="4"/>
      <c r="AA89" s="4"/>
      <c r="AB89" s="6"/>
      <c r="AC89" s="4"/>
      <c r="AD89" s="4"/>
    </row>
    <row r="90" spans="1:30">
      <c r="A90" s="4" t="str">
        <f t="shared" si="3"/>
        <v/>
      </c>
      <c r="B90" s="4"/>
      <c r="C90" s="4"/>
      <c r="D90" s="4"/>
      <c r="E90" s="4"/>
      <c r="F90" s="4"/>
      <c r="G90" s="6"/>
      <c r="H90" s="4"/>
      <c r="I90" s="4"/>
      <c r="J90" s="4"/>
      <c r="K90" s="4" t="str">
        <f t="shared" ca="1" si="2"/>
        <v>Sin fecha</v>
      </c>
      <c r="L90" s="8"/>
      <c r="M90" s="8"/>
      <c r="N90" s="4"/>
      <c r="O90" s="4"/>
      <c r="P90" s="4"/>
      <c r="Q90" s="4"/>
      <c r="R90" s="4"/>
      <c r="S90" s="4"/>
      <c r="T90" s="4"/>
      <c r="U90" s="4"/>
      <c r="V90" s="4"/>
      <c r="W90" s="4"/>
      <c r="X90" s="4"/>
      <c r="Y90" s="4"/>
      <c r="Z90" s="4"/>
      <c r="AA90" s="4"/>
      <c r="AB90" s="6"/>
      <c r="AC90" s="4"/>
      <c r="AD90" s="4"/>
    </row>
    <row r="91" spans="1:30">
      <c r="A91" s="4" t="str">
        <f t="shared" si="3"/>
        <v/>
      </c>
      <c r="B91" s="4"/>
      <c r="C91" s="4"/>
      <c r="D91" s="4"/>
      <c r="E91" s="4"/>
      <c r="F91" s="4"/>
      <c r="G91" s="6"/>
      <c r="H91" s="4"/>
      <c r="I91" s="4"/>
      <c r="J91" s="4"/>
      <c r="K91" s="4" t="str">
        <f t="shared" ca="1" si="2"/>
        <v>Sin fecha</v>
      </c>
      <c r="L91" s="8"/>
      <c r="M91" s="8"/>
      <c r="N91" s="4"/>
      <c r="O91" s="4"/>
      <c r="P91" s="4"/>
      <c r="Q91" s="4"/>
      <c r="R91" s="4"/>
      <c r="S91" s="4"/>
      <c r="T91" s="4"/>
      <c r="U91" s="4"/>
      <c r="V91" s="4"/>
      <c r="W91" s="4"/>
      <c r="X91" s="4"/>
      <c r="Y91" s="4"/>
      <c r="Z91" s="4"/>
      <c r="AA91" s="4"/>
      <c r="AB91" s="6"/>
      <c r="AC91" s="4"/>
      <c r="AD91" s="4"/>
    </row>
    <row r="92" spans="1:30">
      <c r="A92" s="4" t="str">
        <f t="shared" si="3"/>
        <v/>
      </c>
      <c r="B92" s="4"/>
      <c r="C92" s="4"/>
      <c r="D92" s="4"/>
      <c r="E92" s="4"/>
      <c r="F92" s="4"/>
      <c r="G92" s="6"/>
      <c r="H92" s="4"/>
      <c r="I92" s="4"/>
      <c r="J92" s="4"/>
      <c r="K92" s="4" t="str">
        <f t="shared" ca="1" si="2"/>
        <v>Sin fecha</v>
      </c>
      <c r="L92" s="8"/>
      <c r="M92" s="8"/>
      <c r="N92" s="4"/>
      <c r="O92" s="4"/>
      <c r="P92" s="4"/>
      <c r="Q92" s="4"/>
      <c r="R92" s="4"/>
      <c r="S92" s="4"/>
      <c r="T92" s="4"/>
      <c r="U92" s="4"/>
      <c r="V92" s="4"/>
      <c r="W92" s="4"/>
      <c r="X92" s="4"/>
      <c r="Y92" s="4"/>
      <c r="Z92" s="4"/>
      <c r="AA92" s="4"/>
      <c r="AB92" s="6"/>
      <c r="AC92" s="4"/>
      <c r="AD92" s="4"/>
    </row>
    <row r="93" spans="1:30">
      <c r="A93" s="4" t="str">
        <f t="shared" si="3"/>
        <v/>
      </c>
      <c r="B93" s="4"/>
      <c r="C93" s="4"/>
      <c r="D93" s="4"/>
      <c r="E93" s="4"/>
      <c r="F93" s="4"/>
      <c r="G93" s="6"/>
      <c r="H93" s="4"/>
      <c r="I93" s="4"/>
      <c r="J93" s="4"/>
      <c r="K93" s="4" t="str">
        <f t="shared" ca="1" si="2"/>
        <v>Sin fecha</v>
      </c>
      <c r="L93" s="8"/>
      <c r="M93" s="8"/>
      <c r="N93" s="4"/>
      <c r="O93" s="4"/>
      <c r="P93" s="4"/>
      <c r="Q93" s="4"/>
      <c r="R93" s="4"/>
      <c r="S93" s="4"/>
      <c r="T93" s="4"/>
      <c r="U93" s="4"/>
      <c r="V93" s="4"/>
      <c r="W93" s="4"/>
      <c r="X93" s="4"/>
      <c r="Y93" s="4"/>
      <c r="Z93" s="4"/>
      <c r="AA93" s="4"/>
      <c r="AB93" s="6"/>
      <c r="AC93" s="4"/>
      <c r="AD93" s="4"/>
    </row>
    <row r="94" spans="1:30">
      <c r="A94" s="4" t="str">
        <f t="shared" si="3"/>
        <v/>
      </c>
      <c r="B94" s="4"/>
      <c r="C94" s="4"/>
      <c r="D94" s="4"/>
      <c r="E94" s="4"/>
      <c r="F94" s="4"/>
      <c r="G94" s="6"/>
      <c r="H94" s="4"/>
      <c r="I94" s="4"/>
      <c r="J94" s="4"/>
      <c r="K94" s="4" t="str">
        <f t="shared" ca="1" si="2"/>
        <v>Sin fecha</v>
      </c>
      <c r="L94" s="8"/>
      <c r="M94" s="8"/>
      <c r="N94" s="4"/>
      <c r="O94" s="4"/>
      <c r="P94" s="4"/>
      <c r="Q94" s="4"/>
      <c r="R94" s="4"/>
      <c r="S94" s="4"/>
      <c r="T94" s="4"/>
      <c r="U94" s="4"/>
      <c r="V94" s="4"/>
      <c r="W94" s="4"/>
      <c r="X94" s="4"/>
      <c r="Y94" s="4"/>
      <c r="Z94" s="4"/>
      <c r="AA94" s="4"/>
      <c r="AB94" s="6"/>
      <c r="AC94" s="4"/>
      <c r="AD94" s="4"/>
    </row>
    <row r="95" spans="1:30">
      <c r="A95" s="4" t="str">
        <f t="shared" si="3"/>
        <v/>
      </c>
      <c r="B95" s="4"/>
      <c r="C95" s="4"/>
      <c r="D95" s="4"/>
      <c r="E95" s="4"/>
      <c r="F95" s="4"/>
      <c r="G95" s="6"/>
      <c r="H95" s="4"/>
      <c r="I95" s="4"/>
      <c r="J95" s="4"/>
      <c r="K95" s="4" t="str">
        <f t="shared" ca="1" si="2"/>
        <v>Sin fecha</v>
      </c>
      <c r="L95" s="8"/>
      <c r="M95" s="8"/>
      <c r="N95" s="4"/>
      <c r="O95" s="4"/>
      <c r="P95" s="4"/>
      <c r="Q95" s="4"/>
      <c r="R95" s="4"/>
      <c r="S95" s="4"/>
      <c r="T95" s="4"/>
      <c r="U95" s="4"/>
      <c r="V95" s="4"/>
      <c r="W95" s="4"/>
      <c r="X95" s="4"/>
      <c r="Y95" s="4"/>
      <c r="Z95" s="4"/>
      <c r="AA95" s="4"/>
      <c r="AB95" s="6"/>
      <c r="AC95" s="4"/>
      <c r="AD95" s="4"/>
    </row>
    <row r="96" spans="1:30">
      <c r="A96" s="4" t="str">
        <f t="shared" si="3"/>
        <v/>
      </c>
      <c r="B96" s="4"/>
      <c r="C96" s="4"/>
      <c r="D96" s="4"/>
      <c r="E96" s="4"/>
      <c r="F96" s="4"/>
      <c r="G96" s="6"/>
      <c r="H96" s="4"/>
      <c r="I96" s="4"/>
      <c r="J96" s="4"/>
      <c r="K96" s="4" t="str">
        <f t="shared" ca="1" si="2"/>
        <v>Sin fecha</v>
      </c>
      <c r="L96" s="8"/>
      <c r="M96" s="8"/>
      <c r="N96" s="4"/>
      <c r="O96" s="4"/>
      <c r="P96" s="4"/>
      <c r="Q96" s="4"/>
      <c r="R96" s="4"/>
      <c r="S96" s="4"/>
      <c r="T96" s="4"/>
      <c r="U96" s="4"/>
      <c r="V96" s="4"/>
      <c r="W96" s="4"/>
      <c r="X96" s="4"/>
      <c r="Y96" s="4"/>
      <c r="Z96" s="4"/>
      <c r="AA96" s="4"/>
      <c r="AB96" s="6"/>
      <c r="AC96" s="4"/>
      <c r="AD96" s="4"/>
    </row>
    <row r="97" spans="1:30">
      <c r="A97" s="4" t="str">
        <f t="shared" si="3"/>
        <v/>
      </c>
      <c r="B97" s="4"/>
      <c r="C97" s="4"/>
      <c r="D97" s="4"/>
      <c r="E97" s="4"/>
      <c r="F97" s="4"/>
      <c r="G97" s="6"/>
      <c r="H97" s="4"/>
      <c r="I97" s="4"/>
      <c r="J97" s="4"/>
      <c r="K97" s="4" t="str">
        <f t="shared" ca="1" si="2"/>
        <v>Sin fecha</v>
      </c>
      <c r="L97" s="8"/>
      <c r="M97" s="8"/>
      <c r="N97" s="4"/>
      <c r="O97" s="4"/>
      <c r="P97" s="4"/>
      <c r="Q97" s="4"/>
      <c r="R97" s="4"/>
      <c r="S97" s="4"/>
      <c r="T97" s="4"/>
      <c r="U97" s="4"/>
      <c r="V97" s="4"/>
      <c r="W97" s="4"/>
      <c r="X97" s="4"/>
      <c r="Y97" s="4"/>
      <c r="Z97" s="4"/>
      <c r="AA97" s="4"/>
      <c r="AB97" s="6"/>
      <c r="AC97" s="4"/>
      <c r="AD97" s="4"/>
    </row>
    <row r="98" spans="1:30">
      <c r="A98" s="4" t="str">
        <f t="shared" si="3"/>
        <v/>
      </c>
      <c r="B98" s="4"/>
      <c r="C98" s="4"/>
      <c r="D98" s="4"/>
      <c r="E98" s="4"/>
      <c r="F98" s="4"/>
      <c r="G98" s="6"/>
      <c r="H98" s="4"/>
      <c r="I98" s="4"/>
      <c r="J98" s="4"/>
      <c r="K98" s="4" t="str">
        <f t="shared" ca="1" si="2"/>
        <v>Sin fecha</v>
      </c>
      <c r="L98" s="8"/>
      <c r="M98" s="8"/>
      <c r="N98" s="4"/>
      <c r="O98" s="4"/>
      <c r="P98" s="4"/>
      <c r="Q98" s="4"/>
      <c r="R98" s="4"/>
      <c r="S98" s="4"/>
      <c r="T98" s="4"/>
      <c r="U98" s="4"/>
      <c r="V98" s="4"/>
      <c r="W98" s="4"/>
      <c r="X98" s="4"/>
      <c r="Y98" s="4"/>
      <c r="Z98" s="4"/>
      <c r="AA98" s="4"/>
      <c r="AB98" s="6"/>
      <c r="AC98" s="4"/>
      <c r="AD98" s="4"/>
    </row>
    <row r="99" spans="1:30">
      <c r="A99" s="4" t="str">
        <f t="shared" si="3"/>
        <v/>
      </c>
      <c r="B99" s="4"/>
      <c r="C99" s="4"/>
      <c r="D99" s="4"/>
      <c r="E99" s="4"/>
      <c r="F99" s="4"/>
      <c r="G99" s="6"/>
      <c r="H99" s="4"/>
      <c r="I99" s="4"/>
      <c r="J99" s="4"/>
      <c r="K99" s="4" t="str">
        <f t="shared" ca="1" si="2"/>
        <v>Sin fecha</v>
      </c>
      <c r="L99" s="8"/>
      <c r="M99" s="8"/>
      <c r="N99" s="4"/>
      <c r="O99" s="4"/>
      <c r="P99" s="4"/>
      <c r="Q99" s="4"/>
      <c r="R99" s="4"/>
      <c r="S99" s="4"/>
      <c r="T99" s="4"/>
      <c r="U99" s="4"/>
      <c r="V99" s="4"/>
      <c r="W99" s="4"/>
      <c r="X99" s="4"/>
      <c r="Y99" s="4"/>
      <c r="Z99" s="4"/>
      <c r="AA99" s="4"/>
      <c r="AB99" s="6"/>
      <c r="AC99" s="4"/>
      <c r="AD99" s="4"/>
    </row>
    <row r="100" spans="1:30">
      <c r="A100" s="4" t="str">
        <f t="shared" si="3"/>
        <v/>
      </c>
      <c r="B100" s="4"/>
      <c r="C100" s="4"/>
      <c r="D100" s="4"/>
      <c r="E100" s="4"/>
      <c r="F100" s="4"/>
      <c r="G100" s="6"/>
      <c r="H100" s="4"/>
      <c r="I100" s="4"/>
      <c r="J100" s="4"/>
      <c r="K100" s="4" t="str">
        <f t="shared" ca="1" si="2"/>
        <v>Sin fecha</v>
      </c>
      <c r="L100" s="8"/>
      <c r="M100" s="8"/>
      <c r="N100" s="4"/>
      <c r="O100" s="4"/>
      <c r="P100" s="4"/>
      <c r="Q100" s="4"/>
      <c r="R100" s="4"/>
      <c r="S100" s="4"/>
      <c r="T100" s="4"/>
      <c r="U100" s="4"/>
      <c r="V100" s="4"/>
      <c r="W100" s="4"/>
      <c r="X100" s="4"/>
      <c r="Y100" s="4"/>
      <c r="Z100" s="4"/>
      <c r="AA100" s="4"/>
      <c r="AB100" s="6"/>
      <c r="AC100" s="4"/>
      <c r="AD100" s="4"/>
    </row>
    <row r="101" spans="1:30">
      <c r="A101" s="4" t="str">
        <f t="shared" si="3"/>
        <v/>
      </c>
      <c r="B101" s="4"/>
      <c r="C101" s="4"/>
      <c r="D101" s="4"/>
      <c r="E101" s="4"/>
      <c r="F101" s="4"/>
      <c r="G101" s="6"/>
      <c r="H101" s="4"/>
      <c r="I101" s="4"/>
      <c r="J101" s="4"/>
      <c r="K101" s="4" t="str">
        <f t="shared" ca="1" si="2"/>
        <v>Sin fecha</v>
      </c>
      <c r="L101" s="8"/>
      <c r="M101" s="8"/>
      <c r="N101" s="4"/>
      <c r="O101" s="4"/>
      <c r="P101" s="4"/>
      <c r="Q101" s="4"/>
      <c r="R101" s="4"/>
      <c r="S101" s="4"/>
      <c r="T101" s="4"/>
      <c r="U101" s="4"/>
      <c r="V101" s="4"/>
      <c r="W101" s="4"/>
      <c r="X101" s="4"/>
      <c r="Y101" s="4"/>
      <c r="Z101" s="4"/>
      <c r="AA101" s="4"/>
      <c r="AB101" s="6"/>
      <c r="AC101" s="4"/>
      <c r="AD101" s="4"/>
    </row>
    <row r="102" spans="1:30">
      <c r="A102" s="4" t="str">
        <f t="shared" si="3"/>
        <v/>
      </c>
      <c r="B102" s="4"/>
      <c r="C102" s="4"/>
      <c r="D102" s="4"/>
      <c r="E102" s="4"/>
      <c r="F102" s="4"/>
      <c r="G102" s="6"/>
      <c r="H102" s="4"/>
      <c r="I102" s="4"/>
      <c r="J102" s="4"/>
      <c r="K102" s="4" t="str">
        <f t="shared" ca="1" si="2"/>
        <v>Sin fecha</v>
      </c>
      <c r="L102" s="8"/>
      <c r="M102" s="8"/>
      <c r="N102" s="4"/>
      <c r="O102" s="4"/>
      <c r="P102" s="4"/>
      <c r="Q102" s="4"/>
      <c r="R102" s="4"/>
      <c r="S102" s="4"/>
      <c r="T102" s="4"/>
      <c r="U102" s="4"/>
      <c r="V102" s="4"/>
      <c r="W102" s="4"/>
      <c r="X102" s="4"/>
      <c r="Y102" s="4"/>
      <c r="Z102" s="4"/>
      <c r="AA102" s="4"/>
      <c r="AB102" s="6"/>
      <c r="AC102" s="4"/>
      <c r="AD102" s="4"/>
    </row>
    <row r="103" spans="1:30">
      <c r="A103" s="4" t="str">
        <f t="shared" si="3"/>
        <v/>
      </c>
      <c r="B103" s="4"/>
      <c r="C103" s="4"/>
      <c r="D103" s="4"/>
      <c r="E103" s="4"/>
      <c r="F103" s="4"/>
      <c r="G103" s="6"/>
      <c r="H103" s="4"/>
      <c r="I103" s="4"/>
      <c r="J103" s="4"/>
      <c r="K103" s="4" t="str">
        <f t="shared" ca="1" si="2"/>
        <v>Sin fecha</v>
      </c>
      <c r="L103" s="8"/>
      <c r="M103" s="8"/>
      <c r="N103" s="4"/>
      <c r="O103" s="4"/>
      <c r="P103" s="4"/>
      <c r="Q103" s="4"/>
      <c r="R103" s="4"/>
      <c r="S103" s="4"/>
      <c r="T103" s="4"/>
      <c r="U103" s="4"/>
      <c r="V103" s="4"/>
      <c r="W103" s="4"/>
      <c r="X103" s="4"/>
      <c r="Y103" s="4"/>
      <c r="Z103" s="4"/>
      <c r="AA103" s="4"/>
      <c r="AB103" s="6"/>
      <c r="AC103" s="4"/>
      <c r="AD103" s="4"/>
    </row>
    <row r="104" spans="1:30">
      <c r="A104" s="4" t="str">
        <f t="shared" si="3"/>
        <v/>
      </c>
      <c r="B104" s="4"/>
      <c r="C104" s="4"/>
      <c r="D104" s="4"/>
      <c r="E104" s="4"/>
      <c r="F104" s="4"/>
      <c r="G104" s="6"/>
      <c r="H104" s="4"/>
      <c r="I104" s="4"/>
      <c r="J104" s="4"/>
      <c r="K104" s="4" t="str">
        <f t="shared" ca="1" si="2"/>
        <v>Sin fecha</v>
      </c>
      <c r="L104" s="8"/>
      <c r="M104" s="8"/>
      <c r="N104" s="4"/>
      <c r="O104" s="4"/>
      <c r="P104" s="4"/>
      <c r="Q104" s="4"/>
      <c r="R104" s="4"/>
      <c r="S104" s="4"/>
      <c r="T104" s="4"/>
      <c r="U104" s="4"/>
      <c r="V104" s="4"/>
      <c r="W104" s="4"/>
      <c r="X104" s="4"/>
      <c r="Y104" s="4"/>
      <c r="Z104" s="4"/>
      <c r="AA104" s="4"/>
      <c r="AB104" s="6"/>
      <c r="AC104" s="4"/>
      <c r="AD104" s="4"/>
    </row>
    <row r="105" spans="1:30">
      <c r="A105" s="4" t="str">
        <f t="shared" si="3"/>
        <v/>
      </c>
      <c r="B105" s="4"/>
      <c r="C105" s="4"/>
      <c r="D105" s="4"/>
      <c r="E105" s="4"/>
      <c r="F105" s="4"/>
      <c r="G105" s="6"/>
      <c r="H105" s="4"/>
      <c r="I105" s="4"/>
      <c r="J105" s="4"/>
      <c r="K105" s="4" t="str">
        <f t="shared" ca="1" si="2"/>
        <v>Sin fecha</v>
      </c>
      <c r="L105" s="8"/>
      <c r="M105" s="8"/>
      <c r="N105" s="4"/>
      <c r="O105" s="4"/>
      <c r="P105" s="4"/>
      <c r="Q105" s="4"/>
      <c r="R105" s="4"/>
      <c r="S105" s="4"/>
      <c r="T105" s="4"/>
      <c r="U105" s="4"/>
      <c r="V105" s="4"/>
      <c r="W105" s="4"/>
      <c r="X105" s="4"/>
      <c r="Y105" s="4"/>
      <c r="Z105" s="4"/>
      <c r="AA105" s="4"/>
      <c r="AB105" s="6"/>
      <c r="AC105" s="4"/>
      <c r="AD105" s="4"/>
    </row>
    <row r="106" spans="1:30">
      <c r="A106" s="4" t="str">
        <f t="shared" si="3"/>
        <v/>
      </c>
      <c r="B106" s="4"/>
      <c r="C106" s="4"/>
      <c r="D106" s="4"/>
      <c r="E106" s="4"/>
      <c r="F106" s="4"/>
      <c r="G106" s="6"/>
      <c r="H106" s="4"/>
      <c r="I106" s="4"/>
      <c r="J106" s="4"/>
      <c r="K106" s="4" t="str">
        <f t="shared" ca="1" si="2"/>
        <v>Sin fecha</v>
      </c>
      <c r="L106" s="8"/>
      <c r="M106" s="8"/>
      <c r="N106" s="4"/>
      <c r="O106" s="4"/>
      <c r="P106" s="4"/>
      <c r="Q106" s="4"/>
      <c r="R106" s="4"/>
      <c r="S106" s="4"/>
      <c r="T106" s="4"/>
      <c r="U106" s="4"/>
      <c r="V106" s="4"/>
      <c r="W106" s="4"/>
      <c r="X106" s="4"/>
      <c r="Y106" s="4"/>
      <c r="Z106" s="4"/>
      <c r="AA106" s="4"/>
      <c r="AB106" s="6"/>
      <c r="AC106" s="4"/>
      <c r="AD106" s="4"/>
    </row>
    <row r="107" spans="1:30">
      <c r="A107" s="4" t="str">
        <f t="shared" si="3"/>
        <v/>
      </c>
      <c r="B107" s="4"/>
      <c r="C107" s="4"/>
      <c r="D107" s="4"/>
      <c r="E107" s="4"/>
      <c r="F107" s="4"/>
      <c r="G107" s="6"/>
      <c r="H107" s="4"/>
      <c r="I107" s="4"/>
      <c r="J107" s="4"/>
      <c r="K107" s="4" t="str">
        <f t="shared" ca="1" si="2"/>
        <v>Sin fecha</v>
      </c>
      <c r="L107" s="8"/>
      <c r="M107" s="8"/>
      <c r="N107" s="4"/>
      <c r="O107" s="4"/>
      <c r="P107" s="4"/>
      <c r="Q107" s="4"/>
      <c r="R107" s="4"/>
      <c r="S107" s="4"/>
      <c r="T107" s="4"/>
      <c r="U107" s="4"/>
      <c r="V107" s="4"/>
      <c r="W107" s="4"/>
      <c r="X107" s="4"/>
      <c r="Y107" s="4"/>
      <c r="Z107" s="4"/>
      <c r="AA107" s="4"/>
      <c r="AB107" s="6"/>
      <c r="AC107" s="4"/>
      <c r="AD107" s="4"/>
    </row>
    <row r="108" spans="1:30">
      <c r="A108" s="4" t="str">
        <f t="shared" si="3"/>
        <v/>
      </c>
      <c r="B108" s="4"/>
      <c r="C108" s="4"/>
      <c r="D108" s="4"/>
      <c r="E108" s="4"/>
      <c r="F108" s="4"/>
      <c r="G108" s="6"/>
      <c r="H108" s="4"/>
      <c r="I108" s="4"/>
      <c r="J108" s="4"/>
      <c r="K108" s="4" t="str">
        <f t="shared" ca="1" si="2"/>
        <v>Sin fecha</v>
      </c>
      <c r="L108" s="8"/>
      <c r="M108" s="8"/>
      <c r="N108" s="4"/>
      <c r="O108" s="4"/>
      <c r="P108" s="4"/>
      <c r="Q108" s="4"/>
      <c r="R108" s="4"/>
      <c r="S108" s="4"/>
      <c r="T108" s="4"/>
      <c r="U108" s="4"/>
      <c r="V108" s="4"/>
      <c r="W108" s="4"/>
      <c r="X108" s="4"/>
      <c r="Y108" s="4"/>
      <c r="Z108" s="4"/>
      <c r="AA108" s="4"/>
      <c r="AB108" s="6"/>
      <c r="AC108" s="4"/>
      <c r="AD108" s="4"/>
    </row>
    <row r="109" spans="1:30">
      <c r="A109" s="4" t="str">
        <f t="shared" si="3"/>
        <v/>
      </c>
      <c r="B109" s="4"/>
      <c r="C109" s="4"/>
      <c r="D109" s="4"/>
      <c r="E109" s="4"/>
      <c r="F109" s="4"/>
      <c r="G109" s="6"/>
      <c r="H109" s="4"/>
      <c r="I109" s="4"/>
      <c r="J109" s="4"/>
      <c r="K109" s="4" t="str">
        <f t="shared" ca="1" si="2"/>
        <v>Sin fecha</v>
      </c>
      <c r="L109" s="8"/>
      <c r="M109" s="8"/>
      <c r="N109" s="4"/>
      <c r="O109" s="4"/>
      <c r="P109" s="4"/>
      <c r="Q109" s="4"/>
      <c r="R109" s="4"/>
      <c r="S109" s="4"/>
      <c r="T109" s="4"/>
      <c r="U109" s="4"/>
      <c r="V109" s="4"/>
      <c r="W109" s="4"/>
      <c r="X109" s="4"/>
      <c r="Y109" s="4"/>
      <c r="Z109" s="4"/>
      <c r="AA109" s="4"/>
      <c r="AB109" s="6"/>
      <c r="AC109" s="4"/>
      <c r="AD109" s="4"/>
    </row>
    <row r="110" spans="1:30">
      <c r="A110" s="4" t="str">
        <f t="shared" si="3"/>
        <v/>
      </c>
      <c r="B110" s="4"/>
      <c r="C110" s="4"/>
      <c r="D110" s="4"/>
      <c r="E110" s="4"/>
      <c r="F110" s="4"/>
      <c r="G110" s="6"/>
      <c r="H110" s="4"/>
      <c r="I110" s="4"/>
      <c r="J110" s="4"/>
      <c r="K110" s="4" t="str">
        <f t="shared" ca="1" si="2"/>
        <v>Sin fecha</v>
      </c>
      <c r="L110" s="8"/>
      <c r="M110" s="8"/>
      <c r="N110" s="4"/>
      <c r="O110" s="4"/>
      <c r="P110" s="4"/>
      <c r="Q110" s="4"/>
      <c r="R110" s="4"/>
      <c r="S110" s="4"/>
      <c r="T110" s="4"/>
      <c r="U110" s="4"/>
      <c r="V110" s="4"/>
      <c r="W110" s="4"/>
      <c r="X110" s="4"/>
      <c r="Y110" s="4"/>
      <c r="Z110" s="4"/>
      <c r="AA110" s="4"/>
      <c r="AB110" s="6"/>
      <c r="AC110" s="4"/>
      <c r="AD110" s="4"/>
    </row>
    <row r="111" spans="1:30">
      <c r="A111" s="4" t="str">
        <f t="shared" si="3"/>
        <v/>
      </c>
      <c r="B111" s="4"/>
      <c r="C111" s="4"/>
      <c r="D111" s="4"/>
      <c r="E111" s="4"/>
      <c r="F111" s="4"/>
      <c r="G111" s="6"/>
      <c r="H111" s="4"/>
      <c r="I111" s="4"/>
      <c r="J111" s="4"/>
      <c r="K111" s="4" t="str">
        <f t="shared" ca="1" si="2"/>
        <v>Sin fecha</v>
      </c>
      <c r="L111" s="8"/>
      <c r="M111" s="8"/>
      <c r="N111" s="4"/>
      <c r="O111" s="4"/>
      <c r="P111" s="4"/>
      <c r="Q111" s="4"/>
      <c r="R111" s="4"/>
      <c r="S111" s="4"/>
      <c r="T111" s="4"/>
      <c r="U111" s="4"/>
      <c r="V111" s="4"/>
      <c r="W111" s="4"/>
      <c r="X111" s="4"/>
      <c r="Y111" s="4"/>
      <c r="Z111" s="4"/>
      <c r="AA111" s="4"/>
      <c r="AB111" s="6"/>
      <c r="AC111" s="4"/>
      <c r="AD111" s="4"/>
    </row>
    <row r="112" spans="1:30">
      <c r="A112" s="4" t="str">
        <f t="shared" si="3"/>
        <v/>
      </c>
      <c r="B112" s="4"/>
      <c r="C112" s="4"/>
      <c r="D112" s="4"/>
      <c r="E112" s="4"/>
      <c r="F112" s="4"/>
      <c r="G112" s="6"/>
      <c r="H112" s="4"/>
      <c r="I112" s="4"/>
      <c r="J112" s="4"/>
      <c r="K112" s="4" t="str">
        <f t="shared" ca="1" si="2"/>
        <v>Sin fecha</v>
      </c>
      <c r="L112" s="8"/>
      <c r="M112" s="8"/>
      <c r="N112" s="4"/>
      <c r="O112" s="4"/>
      <c r="P112" s="4"/>
      <c r="Q112" s="4"/>
      <c r="R112" s="4"/>
      <c r="S112" s="4"/>
      <c r="T112" s="4"/>
      <c r="U112" s="4"/>
      <c r="V112" s="4"/>
      <c r="W112" s="4"/>
      <c r="X112" s="4"/>
      <c r="Y112" s="4"/>
      <c r="Z112" s="4"/>
      <c r="AA112" s="4"/>
      <c r="AB112" s="6"/>
      <c r="AC112" s="4"/>
      <c r="AD112" s="4"/>
    </row>
    <row r="113" spans="1:30">
      <c r="A113" s="4" t="str">
        <f t="shared" si="3"/>
        <v/>
      </c>
      <c r="B113" s="4"/>
      <c r="C113" s="4"/>
      <c r="D113" s="4"/>
      <c r="E113" s="4"/>
      <c r="F113" s="4"/>
      <c r="G113" s="6"/>
      <c r="H113" s="4"/>
      <c r="I113" s="4"/>
      <c r="J113" s="4"/>
      <c r="K113" s="4" t="str">
        <f t="shared" ca="1" si="2"/>
        <v>Sin fecha</v>
      </c>
      <c r="L113" s="8"/>
      <c r="M113" s="8"/>
      <c r="N113" s="4"/>
      <c r="O113" s="4"/>
      <c r="P113" s="4"/>
      <c r="Q113" s="4"/>
      <c r="R113" s="4"/>
      <c r="S113" s="4"/>
      <c r="T113" s="4"/>
      <c r="U113" s="4"/>
      <c r="V113" s="4"/>
      <c r="W113" s="4"/>
      <c r="X113" s="4"/>
      <c r="Y113" s="4"/>
      <c r="Z113" s="4"/>
      <c r="AA113" s="4"/>
      <c r="AB113" s="6"/>
      <c r="AC113" s="4"/>
      <c r="AD113" s="4"/>
    </row>
    <row r="114" spans="1:30">
      <c r="A114" s="4" t="str">
        <f t="shared" si="3"/>
        <v/>
      </c>
      <c r="B114" s="4"/>
      <c r="C114" s="4"/>
      <c r="D114" s="4"/>
      <c r="E114" s="4"/>
      <c r="F114" s="4"/>
      <c r="G114" s="6"/>
      <c r="H114" s="4"/>
      <c r="I114" s="4"/>
      <c r="J114" s="4"/>
      <c r="K114" s="4" t="str">
        <f t="shared" ca="1" si="2"/>
        <v>Sin fecha</v>
      </c>
      <c r="L114" s="8"/>
      <c r="M114" s="8"/>
      <c r="N114" s="4"/>
      <c r="O114" s="4"/>
      <c r="P114" s="4"/>
      <c r="Q114" s="4"/>
      <c r="R114" s="4"/>
      <c r="S114" s="4"/>
      <c r="T114" s="4"/>
      <c r="U114" s="4"/>
      <c r="V114" s="4"/>
      <c r="W114" s="4"/>
      <c r="X114" s="4"/>
      <c r="Y114" s="4"/>
      <c r="Z114" s="4"/>
      <c r="AA114" s="4"/>
      <c r="AB114" s="6"/>
      <c r="AC114" s="4"/>
      <c r="AD114" s="4"/>
    </row>
    <row r="115" spans="1:30">
      <c r="A115" s="4" t="str">
        <f t="shared" si="3"/>
        <v/>
      </c>
      <c r="B115" s="4"/>
      <c r="C115" s="4"/>
      <c r="D115" s="4"/>
      <c r="E115" s="4"/>
      <c r="F115" s="4"/>
      <c r="G115" s="6"/>
      <c r="H115" s="4"/>
      <c r="I115" s="4"/>
      <c r="J115" s="4"/>
      <c r="K115" s="4" t="str">
        <f t="shared" ca="1" si="2"/>
        <v>Sin fecha</v>
      </c>
      <c r="L115" s="8"/>
      <c r="M115" s="8"/>
      <c r="N115" s="4"/>
      <c r="O115" s="4"/>
      <c r="P115" s="4"/>
      <c r="Q115" s="4"/>
      <c r="R115" s="4"/>
      <c r="S115" s="4"/>
      <c r="T115" s="4"/>
      <c r="U115" s="4"/>
      <c r="V115" s="4"/>
      <c r="W115" s="4"/>
      <c r="X115" s="4"/>
      <c r="Y115" s="4"/>
      <c r="Z115" s="4"/>
      <c r="AA115" s="4"/>
      <c r="AB115" s="6"/>
      <c r="AC115" s="4"/>
      <c r="AD115" s="4"/>
    </row>
    <row r="116" spans="1:30">
      <c r="A116" s="4" t="str">
        <f t="shared" si="3"/>
        <v/>
      </c>
      <c r="B116" s="4"/>
      <c r="C116" s="4"/>
      <c r="D116" s="4"/>
      <c r="E116" s="4"/>
      <c r="F116" s="4"/>
      <c r="G116" s="6"/>
      <c r="H116" s="4"/>
      <c r="I116" s="4"/>
      <c r="J116" s="4"/>
      <c r="K116" s="4" t="str">
        <f t="shared" ca="1" si="2"/>
        <v>Sin fecha</v>
      </c>
      <c r="L116" s="8"/>
      <c r="M116" s="8"/>
      <c r="N116" s="4"/>
      <c r="O116" s="4"/>
      <c r="P116" s="4"/>
      <c r="Q116" s="4"/>
      <c r="R116" s="4"/>
      <c r="S116" s="4"/>
      <c r="T116" s="4"/>
      <c r="U116" s="4"/>
      <c r="V116" s="4"/>
      <c r="W116" s="4"/>
      <c r="X116" s="4"/>
      <c r="Y116" s="4"/>
      <c r="Z116" s="4"/>
      <c r="AA116" s="4"/>
      <c r="AB116" s="6"/>
      <c r="AC116" s="4"/>
      <c r="AD116" s="4"/>
    </row>
    <row r="117" spans="1:30">
      <c r="A117" s="4" t="str">
        <f t="shared" si="3"/>
        <v/>
      </c>
      <c r="B117" s="4"/>
      <c r="C117" s="4"/>
      <c r="D117" s="4"/>
      <c r="E117" s="4"/>
      <c r="F117" s="4"/>
      <c r="G117" s="6"/>
      <c r="H117" s="4"/>
      <c r="I117" s="4"/>
      <c r="J117" s="4"/>
      <c r="K117" s="4" t="str">
        <f t="shared" ca="1" si="2"/>
        <v>Sin fecha</v>
      </c>
      <c r="L117" s="8"/>
      <c r="M117" s="8"/>
      <c r="N117" s="4"/>
      <c r="O117" s="4"/>
      <c r="P117" s="4"/>
      <c r="Q117" s="4"/>
      <c r="R117" s="4"/>
      <c r="S117" s="4"/>
      <c r="T117" s="4"/>
      <c r="U117" s="4"/>
      <c r="V117" s="4"/>
      <c r="W117" s="4"/>
      <c r="X117" s="4"/>
      <c r="Y117" s="4"/>
      <c r="Z117" s="4"/>
      <c r="AA117" s="4"/>
      <c r="AB117" s="6"/>
      <c r="AC117" s="4"/>
      <c r="AD117" s="4"/>
    </row>
    <row r="118" spans="1:30">
      <c r="A118" s="4" t="str">
        <f t="shared" si="3"/>
        <v/>
      </c>
      <c r="B118" s="4"/>
      <c r="C118" s="4"/>
      <c r="D118" s="4"/>
      <c r="E118" s="4"/>
      <c r="F118" s="4"/>
      <c r="G118" s="6"/>
      <c r="H118" s="4"/>
      <c r="I118" s="4"/>
      <c r="J118" s="4"/>
      <c r="K118" s="4" t="str">
        <f t="shared" ca="1" si="2"/>
        <v>Sin fecha</v>
      </c>
      <c r="L118" s="8"/>
      <c r="M118" s="8"/>
      <c r="N118" s="4"/>
      <c r="O118" s="4"/>
      <c r="P118" s="4"/>
      <c r="Q118" s="4"/>
      <c r="R118" s="4"/>
      <c r="S118" s="4"/>
      <c r="T118" s="4"/>
      <c r="U118" s="4"/>
      <c r="V118" s="4"/>
      <c r="W118" s="4"/>
      <c r="X118" s="4"/>
      <c r="Y118" s="4"/>
      <c r="Z118" s="4"/>
      <c r="AA118" s="4"/>
      <c r="AB118" s="6"/>
      <c r="AC118" s="4"/>
      <c r="AD118" s="4"/>
    </row>
    <row r="119" spans="1:30">
      <c r="A119" s="4" t="str">
        <f t="shared" si="3"/>
        <v/>
      </c>
      <c r="B119" s="4"/>
      <c r="C119" s="4"/>
      <c r="D119" s="4"/>
      <c r="E119" s="4"/>
      <c r="F119" s="4"/>
      <c r="G119" s="6"/>
      <c r="H119" s="4"/>
      <c r="I119" s="4"/>
      <c r="J119" s="4"/>
      <c r="K119" s="4" t="str">
        <f t="shared" ref="K119:K127" ca="1" si="4">IF(J119="Cerrada","Cerrada",IF(J119="Suspendida","Suspendida",IF(G119="","Sin fecha",IF(G119&lt;TODAY(),"Vencida",IF(G119-TODAY()&lt;=30,"Próxima a vencer","Abierta")))))</f>
        <v>Sin fecha</v>
      </c>
      <c r="L119" s="8"/>
      <c r="M119" s="8"/>
      <c r="N119" s="4"/>
      <c r="O119" s="4"/>
      <c r="P119" s="4"/>
      <c r="Q119" s="4"/>
      <c r="R119" s="4"/>
      <c r="S119" s="4"/>
      <c r="T119" s="4"/>
      <c r="U119" s="4"/>
      <c r="V119" s="4"/>
      <c r="W119" s="4"/>
      <c r="X119" s="4"/>
      <c r="Y119" s="4"/>
      <c r="Z119" s="4"/>
      <c r="AA119" s="4"/>
      <c r="AB119" s="6"/>
      <c r="AC119" s="4"/>
      <c r="AD119" s="4"/>
    </row>
    <row r="120" spans="1:30">
      <c r="A120" s="4" t="str">
        <f t="shared" si="3"/>
        <v/>
      </c>
      <c r="B120" s="4"/>
      <c r="C120" s="4"/>
      <c r="D120" s="4"/>
      <c r="E120" s="4"/>
      <c r="F120" s="4"/>
      <c r="G120" s="6"/>
      <c r="H120" s="4"/>
      <c r="I120" s="4"/>
      <c r="J120" s="4"/>
      <c r="K120" s="4" t="str">
        <f t="shared" ca="1" si="4"/>
        <v>Sin fecha</v>
      </c>
      <c r="L120" s="8"/>
      <c r="M120" s="8"/>
      <c r="N120" s="4"/>
      <c r="O120" s="4"/>
      <c r="P120" s="4"/>
      <c r="Q120" s="4"/>
      <c r="R120" s="4"/>
      <c r="S120" s="4"/>
      <c r="T120" s="4"/>
      <c r="U120" s="4"/>
      <c r="V120" s="4"/>
      <c r="W120" s="4"/>
      <c r="X120" s="4"/>
      <c r="Y120" s="4"/>
      <c r="Z120" s="4"/>
      <c r="AA120" s="4"/>
      <c r="AB120" s="6"/>
      <c r="AC120" s="4"/>
      <c r="AD120" s="4"/>
    </row>
    <row r="121" spans="1:30">
      <c r="A121" s="4" t="str">
        <f t="shared" si="3"/>
        <v/>
      </c>
      <c r="B121" s="4"/>
      <c r="C121" s="4"/>
      <c r="D121" s="4"/>
      <c r="E121" s="4"/>
      <c r="F121" s="4"/>
      <c r="G121" s="6"/>
      <c r="H121" s="4"/>
      <c r="I121" s="4"/>
      <c r="J121" s="4"/>
      <c r="K121" s="4" t="str">
        <f t="shared" ca="1" si="4"/>
        <v>Sin fecha</v>
      </c>
      <c r="L121" s="8"/>
      <c r="M121" s="8"/>
      <c r="N121" s="4"/>
      <c r="O121" s="4"/>
      <c r="P121" s="4"/>
      <c r="Q121" s="4"/>
      <c r="R121" s="4"/>
      <c r="S121" s="4"/>
      <c r="T121" s="4"/>
      <c r="U121" s="4"/>
      <c r="V121" s="4"/>
      <c r="W121" s="4"/>
      <c r="X121" s="4"/>
      <c r="Y121" s="4"/>
      <c r="Z121" s="4"/>
      <c r="AA121" s="4"/>
      <c r="AB121" s="6"/>
      <c r="AC121" s="4"/>
      <c r="AD121" s="4"/>
    </row>
    <row r="122" spans="1:30">
      <c r="A122" s="4" t="str">
        <f t="shared" si="3"/>
        <v/>
      </c>
      <c r="B122" s="4"/>
      <c r="C122" s="4"/>
      <c r="D122" s="4"/>
      <c r="E122" s="4"/>
      <c r="F122" s="4"/>
      <c r="G122" s="6"/>
      <c r="H122" s="4"/>
      <c r="I122" s="4"/>
      <c r="J122" s="4"/>
      <c r="K122" s="4" t="str">
        <f t="shared" ca="1" si="4"/>
        <v>Sin fecha</v>
      </c>
      <c r="L122" s="8"/>
      <c r="M122" s="8"/>
      <c r="N122" s="4"/>
      <c r="O122" s="4"/>
      <c r="P122" s="4"/>
      <c r="Q122" s="4"/>
      <c r="R122" s="4"/>
      <c r="S122" s="4"/>
      <c r="T122" s="4"/>
      <c r="U122" s="4"/>
      <c r="V122" s="4"/>
      <c r="W122" s="4"/>
      <c r="X122" s="4"/>
      <c r="Y122" s="4"/>
      <c r="Z122" s="4"/>
      <c r="AA122" s="4"/>
      <c r="AB122" s="6"/>
      <c r="AC122" s="4"/>
      <c r="AD122" s="4"/>
    </row>
    <row r="123" spans="1:30">
      <c r="A123" s="4" t="str">
        <f t="shared" si="3"/>
        <v/>
      </c>
      <c r="B123" s="4"/>
      <c r="C123" s="4"/>
      <c r="D123" s="4"/>
      <c r="E123" s="4"/>
      <c r="F123" s="4"/>
      <c r="G123" s="6"/>
      <c r="H123" s="4"/>
      <c r="I123" s="4"/>
      <c r="J123" s="4"/>
      <c r="K123" s="4" t="str">
        <f t="shared" ca="1" si="4"/>
        <v>Sin fecha</v>
      </c>
      <c r="L123" s="8"/>
      <c r="M123" s="8"/>
      <c r="N123" s="4"/>
      <c r="O123" s="4"/>
      <c r="P123" s="4"/>
      <c r="Q123" s="4"/>
      <c r="R123" s="4"/>
      <c r="S123" s="4"/>
      <c r="T123" s="4"/>
      <c r="U123" s="4"/>
      <c r="V123" s="4"/>
      <c r="W123" s="4"/>
      <c r="X123" s="4"/>
      <c r="Y123" s="4"/>
      <c r="Z123" s="4"/>
      <c r="AA123" s="4"/>
      <c r="AB123" s="6"/>
      <c r="AC123" s="4"/>
      <c r="AD123" s="4"/>
    </row>
    <row r="124" spans="1:30">
      <c r="A124" s="4" t="str">
        <f t="shared" si="3"/>
        <v/>
      </c>
      <c r="B124" s="4"/>
      <c r="C124" s="4"/>
      <c r="D124" s="4"/>
      <c r="E124" s="4"/>
      <c r="F124" s="4"/>
      <c r="G124" s="6"/>
      <c r="H124" s="4"/>
      <c r="I124" s="4"/>
      <c r="J124" s="4"/>
      <c r="K124" s="4" t="str">
        <f t="shared" ca="1" si="4"/>
        <v>Sin fecha</v>
      </c>
      <c r="L124" s="8"/>
      <c r="M124" s="8"/>
      <c r="N124" s="4"/>
      <c r="O124" s="4"/>
      <c r="P124" s="4"/>
      <c r="Q124" s="4"/>
      <c r="R124" s="4"/>
      <c r="S124" s="4"/>
      <c r="T124" s="4"/>
      <c r="U124" s="4"/>
      <c r="V124" s="4"/>
      <c r="W124" s="4"/>
      <c r="X124" s="4"/>
      <c r="Y124" s="4"/>
      <c r="Z124" s="4"/>
      <c r="AA124" s="4"/>
      <c r="AB124" s="6"/>
      <c r="AC124" s="4"/>
      <c r="AD124" s="4"/>
    </row>
    <row r="125" spans="1:30">
      <c r="A125" s="4" t="str">
        <f t="shared" si="3"/>
        <v/>
      </c>
      <c r="B125" s="4"/>
      <c r="C125" s="4"/>
      <c r="D125" s="4"/>
      <c r="E125" s="4"/>
      <c r="F125" s="4"/>
      <c r="G125" s="6"/>
      <c r="H125" s="4"/>
      <c r="I125" s="4"/>
      <c r="J125" s="4"/>
      <c r="K125" s="4" t="str">
        <f t="shared" ca="1" si="4"/>
        <v>Sin fecha</v>
      </c>
      <c r="L125" s="8"/>
      <c r="M125" s="8"/>
      <c r="N125" s="4"/>
      <c r="O125" s="4"/>
      <c r="P125" s="4"/>
      <c r="Q125" s="4"/>
      <c r="R125" s="4"/>
      <c r="S125" s="4"/>
      <c r="T125" s="4"/>
      <c r="U125" s="4"/>
      <c r="V125" s="4"/>
      <c r="W125" s="4"/>
      <c r="X125" s="4"/>
      <c r="Y125" s="4"/>
      <c r="Z125" s="4"/>
      <c r="AA125" s="4"/>
      <c r="AB125" s="6"/>
      <c r="AC125" s="4"/>
      <c r="AD125" s="4"/>
    </row>
    <row r="126" spans="1:30">
      <c r="A126" s="4" t="str">
        <f t="shared" si="3"/>
        <v/>
      </c>
      <c r="B126" s="4"/>
      <c r="C126" s="4"/>
      <c r="D126" s="4"/>
      <c r="E126" s="4"/>
      <c r="F126" s="4"/>
      <c r="G126" s="6"/>
      <c r="H126" s="4"/>
      <c r="I126" s="4"/>
      <c r="J126" s="4"/>
      <c r="K126" s="4" t="str">
        <f t="shared" ca="1" si="4"/>
        <v>Sin fecha</v>
      </c>
      <c r="L126" s="8"/>
      <c r="M126" s="8"/>
      <c r="N126" s="4"/>
      <c r="O126" s="4"/>
      <c r="P126" s="4"/>
      <c r="Q126" s="4"/>
      <c r="R126" s="4"/>
      <c r="S126" s="4"/>
      <c r="T126" s="4"/>
      <c r="U126" s="4"/>
      <c r="V126" s="4"/>
      <c r="W126" s="4"/>
      <c r="X126" s="4"/>
      <c r="Y126" s="4"/>
      <c r="Z126" s="4"/>
      <c r="AA126" s="4"/>
      <c r="AB126" s="6"/>
      <c r="AC126" s="4"/>
      <c r="AD126" s="4"/>
    </row>
    <row r="127" spans="1:30">
      <c r="A127" s="4" t="str">
        <f t="shared" si="3"/>
        <v/>
      </c>
      <c r="B127" s="4"/>
      <c r="C127" s="4"/>
      <c r="D127" s="4"/>
      <c r="E127" s="4"/>
      <c r="F127" s="4"/>
      <c r="G127" s="6"/>
      <c r="H127" s="4"/>
      <c r="I127" s="4"/>
      <c r="J127" s="4"/>
      <c r="K127" s="4" t="str">
        <f t="shared" ca="1" si="4"/>
        <v>Sin fecha</v>
      </c>
      <c r="L127" s="8"/>
      <c r="M127" s="8"/>
      <c r="N127" s="4"/>
      <c r="O127" s="4"/>
      <c r="P127" s="4"/>
      <c r="Q127" s="4"/>
      <c r="R127" s="4"/>
      <c r="S127" s="4"/>
      <c r="T127" s="4"/>
      <c r="U127" s="4"/>
      <c r="V127" s="4"/>
      <c r="W127" s="4"/>
      <c r="X127" s="4"/>
      <c r="Y127" s="4"/>
      <c r="Z127" s="4"/>
      <c r="AA127" s="4"/>
      <c r="AB127" s="6"/>
      <c r="AC127" s="4"/>
      <c r="AD127" s="4"/>
    </row>
    <row r="128" spans="1:30">
      <c r="A128" s="4" t="str">
        <f t="shared" si="3"/>
        <v/>
      </c>
      <c r="B128" s="4"/>
      <c r="C128" s="4"/>
      <c r="D128" s="4"/>
      <c r="E128" s="4"/>
      <c r="F128" s="4"/>
      <c r="G128" s="6"/>
      <c r="H128" s="4"/>
      <c r="I128" s="4"/>
      <c r="J128" s="4"/>
      <c r="K128" s="4" t="str">
        <f t="shared" ref="K128:K191" ca="1" si="5">IF(J128="Cerrada","Cerrada",IF(J128="Suspendida","Suspendida",IF(G128="","Sin fecha",IF(G128&lt;TODAY(),"Vencida",IF(G128-TODAY()&lt;=30,"Próxima a vencer","Abierta")))))</f>
        <v>Sin fecha</v>
      </c>
      <c r="L128" s="8"/>
      <c r="M128" s="8"/>
      <c r="N128" s="4"/>
      <c r="O128" s="4"/>
      <c r="P128" s="4"/>
      <c r="Q128" s="4"/>
      <c r="R128" s="4"/>
      <c r="S128" s="4"/>
      <c r="T128" s="4"/>
      <c r="U128" s="4"/>
      <c r="V128" s="4"/>
      <c r="W128" s="4"/>
      <c r="X128" s="4"/>
      <c r="Y128" s="4"/>
      <c r="Z128" s="4"/>
      <c r="AA128" s="4"/>
      <c r="AB128" s="6"/>
      <c r="AC128" s="4"/>
      <c r="AD128" s="4"/>
    </row>
    <row r="129" spans="1:30">
      <c r="A129" s="4" t="str">
        <f t="shared" ref="A129:A192" si="6">IF(C129="","","OP-"&amp;TEXT(ROW()-1,"0000"))</f>
        <v/>
      </c>
      <c r="B129" s="4"/>
      <c r="C129" s="4"/>
      <c r="D129" s="4"/>
      <c r="E129" s="4"/>
      <c r="F129" s="4"/>
      <c r="G129" s="6"/>
      <c r="H129" s="4"/>
      <c r="I129" s="4"/>
      <c r="J129" s="4"/>
      <c r="K129" s="4" t="str">
        <f t="shared" ca="1" si="5"/>
        <v>Sin fecha</v>
      </c>
      <c r="L129" s="8"/>
      <c r="M129" s="8"/>
      <c r="N129" s="4"/>
      <c r="O129" s="4"/>
      <c r="P129" s="4"/>
      <c r="Q129" s="4"/>
      <c r="R129" s="4"/>
      <c r="S129" s="4"/>
      <c r="T129" s="4"/>
      <c r="U129" s="4"/>
      <c r="V129" s="4"/>
      <c r="W129" s="4"/>
      <c r="X129" s="4"/>
      <c r="Y129" s="4"/>
      <c r="Z129" s="4"/>
      <c r="AA129" s="4"/>
      <c r="AB129" s="6"/>
      <c r="AC129" s="4"/>
      <c r="AD129" s="4"/>
    </row>
    <row r="130" spans="1:30">
      <c r="A130" s="4" t="str">
        <f t="shared" si="6"/>
        <v/>
      </c>
      <c r="B130" s="4"/>
      <c r="C130" s="4"/>
      <c r="D130" s="4"/>
      <c r="E130" s="4"/>
      <c r="F130" s="4"/>
      <c r="G130" s="6"/>
      <c r="H130" s="4"/>
      <c r="I130" s="4"/>
      <c r="J130" s="4"/>
      <c r="K130" s="4" t="str">
        <f t="shared" ca="1" si="5"/>
        <v>Sin fecha</v>
      </c>
      <c r="L130" s="8"/>
      <c r="M130" s="8"/>
      <c r="N130" s="4"/>
      <c r="O130" s="4"/>
      <c r="P130" s="4"/>
      <c r="Q130" s="4"/>
      <c r="R130" s="4"/>
      <c r="S130" s="4"/>
      <c r="T130" s="4"/>
      <c r="U130" s="4"/>
      <c r="V130" s="4"/>
      <c r="W130" s="4"/>
      <c r="X130" s="4"/>
      <c r="Y130" s="4"/>
      <c r="Z130" s="4"/>
      <c r="AA130" s="4"/>
      <c r="AB130" s="6"/>
      <c r="AC130" s="4"/>
      <c r="AD130" s="4"/>
    </row>
    <row r="131" spans="1:30">
      <c r="A131" s="4" t="str">
        <f t="shared" si="6"/>
        <v/>
      </c>
      <c r="B131" s="4"/>
      <c r="C131" s="4"/>
      <c r="D131" s="4"/>
      <c r="E131" s="4"/>
      <c r="F131" s="4"/>
      <c r="G131" s="6"/>
      <c r="H131" s="4"/>
      <c r="I131" s="4"/>
      <c r="J131" s="4"/>
      <c r="K131" s="4" t="str">
        <f t="shared" ca="1" si="5"/>
        <v>Sin fecha</v>
      </c>
      <c r="L131" s="8"/>
      <c r="M131" s="8"/>
      <c r="N131" s="4"/>
      <c r="O131" s="4"/>
      <c r="P131" s="4"/>
      <c r="Q131" s="4"/>
      <c r="R131" s="4"/>
      <c r="S131" s="4"/>
      <c r="T131" s="4"/>
      <c r="U131" s="4"/>
      <c r="V131" s="4"/>
      <c r="W131" s="4"/>
      <c r="X131" s="4"/>
      <c r="Y131" s="4"/>
      <c r="Z131" s="4"/>
      <c r="AA131" s="4"/>
      <c r="AB131" s="6"/>
      <c r="AC131" s="4"/>
      <c r="AD131" s="4"/>
    </row>
    <row r="132" spans="1:30">
      <c r="A132" s="4" t="str">
        <f t="shared" si="6"/>
        <v/>
      </c>
      <c r="B132" s="4"/>
      <c r="C132" s="4"/>
      <c r="D132" s="4"/>
      <c r="E132" s="4"/>
      <c r="F132" s="4"/>
      <c r="G132" s="6"/>
      <c r="H132" s="4"/>
      <c r="I132" s="4"/>
      <c r="J132" s="4"/>
      <c r="K132" s="4" t="str">
        <f t="shared" ca="1" si="5"/>
        <v>Sin fecha</v>
      </c>
      <c r="L132" s="8"/>
      <c r="M132" s="8"/>
      <c r="N132" s="4"/>
      <c r="O132" s="4"/>
      <c r="P132" s="4"/>
      <c r="Q132" s="4"/>
      <c r="R132" s="4"/>
      <c r="S132" s="4"/>
      <c r="T132" s="4"/>
      <c r="U132" s="4"/>
      <c r="V132" s="4"/>
      <c r="W132" s="4"/>
      <c r="X132" s="4"/>
      <c r="Y132" s="4"/>
      <c r="Z132" s="4"/>
      <c r="AA132" s="4"/>
      <c r="AB132" s="6"/>
      <c r="AC132" s="4"/>
      <c r="AD132" s="4"/>
    </row>
    <row r="133" spans="1:30">
      <c r="A133" s="4" t="str">
        <f t="shared" si="6"/>
        <v/>
      </c>
      <c r="B133" s="4"/>
      <c r="C133" s="4"/>
      <c r="D133" s="4"/>
      <c r="E133" s="4"/>
      <c r="F133" s="4"/>
      <c r="G133" s="6"/>
      <c r="H133" s="4"/>
      <c r="I133" s="4"/>
      <c r="J133" s="4"/>
      <c r="K133" s="4" t="str">
        <f t="shared" ca="1" si="5"/>
        <v>Sin fecha</v>
      </c>
      <c r="L133" s="8"/>
      <c r="M133" s="8"/>
      <c r="N133" s="4"/>
      <c r="O133" s="4"/>
      <c r="P133" s="4"/>
      <c r="Q133" s="4"/>
      <c r="R133" s="4"/>
      <c r="S133" s="4"/>
      <c r="T133" s="4"/>
      <c r="U133" s="4"/>
      <c r="V133" s="4"/>
      <c r="W133" s="4"/>
      <c r="X133" s="4"/>
      <c r="Y133" s="4"/>
      <c r="Z133" s="4"/>
      <c r="AA133" s="4"/>
      <c r="AB133" s="6"/>
      <c r="AC133" s="4"/>
      <c r="AD133" s="4"/>
    </row>
    <row r="134" spans="1:30">
      <c r="A134" s="4" t="str">
        <f t="shared" si="6"/>
        <v/>
      </c>
      <c r="B134" s="4"/>
      <c r="C134" s="4"/>
      <c r="D134" s="4"/>
      <c r="E134" s="4"/>
      <c r="F134" s="4"/>
      <c r="G134" s="6"/>
      <c r="H134" s="4"/>
      <c r="I134" s="4"/>
      <c r="J134" s="4"/>
      <c r="K134" s="4" t="str">
        <f t="shared" ca="1" si="5"/>
        <v>Sin fecha</v>
      </c>
      <c r="L134" s="8"/>
      <c r="M134" s="8"/>
      <c r="N134" s="4"/>
      <c r="O134" s="4"/>
      <c r="P134" s="4"/>
      <c r="Q134" s="4"/>
      <c r="R134" s="4"/>
      <c r="S134" s="4"/>
      <c r="T134" s="4"/>
      <c r="U134" s="4"/>
      <c r="V134" s="4"/>
      <c r="W134" s="4"/>
      <c r="X134" s="4"/>
      <c r="Y134" s="4"/>
      <c r="Z134" s="4"/>
      <c r="AA134" s="4"/>
      <c r="AB134" s="6"/>
      <c r="AC134" s="4"/>
      <c r="AD134" s="4"/>
    </row>
    <row r="135" spans="1:30">
      <c r="A135" s="4" t="str">
        <f t="shared" si="6"/>
        <v/>
      </c>
      <c r="B135" s="4"/>
      <c r="C135" s="4"/>
      <c r="D135" s="4"/>
      <c r="E135" s="4"/>
      <c r="F135" s="4"/>
      <c r="G135" s="6"/>
      <c r="H135" s="4"/>
      <c r="I135" s="4"/>
      <c r="J135" s="4"/>
      <c r="K135" s="4" t="str">
        <f t="shared" ca="1" si="5"/>
        <v>Sin fecha</v>
      </c>
      <c r="L135" s="8"/>
      <c r="M135" s="8"/>
      <c r="N135" s="4"/>
      <c r="O135" s="4"/>
      <c r="P135" s="4"/>
      <c r="Q135" s="4"/>
      <c r="R135" s="4"/>
      <c r="S135" s="4"/>
      <c r="T135" s="4"/>
      <c r="U135" s="4"/>
      <c r="V135" s="4"/>
      <c r="W135" s="4"/>
      <c r="X135" s="4"/>
      <c r="Y135" s="4"/>
      <c r="Z135" s="4"/>
      <c r="AA135" s="4"/>
      <c r="AB135" s="6"/>
      <c r="AC135" s="4"/>
      <c r="AD135" s="4"/>
    </row>
    <row r="136" spans="1:30">
      <c r="A136" s="4" t="str">
        <f t="shared" si="6"/>
        <v/>
      </c>
      <c r="B136" s="4"/>
      <c r="C136" s="4"/>
      <c r="D136" s="4"/>
      <c r="E136" s="4"/>
      <c r="F136" s="4"/>
      <c r="G136" s="6"/>
      <c r="H136" s="4"/>
      <c r="I136" s="4"/>
      <c r="J136" s="4"/>
      <c r="K136" s="4" t="str">
        <f t="shared" ca="1" si="5"/>
        <v>Sin fecha</v>
      </c>
      <c r="L136" s="8"/>
      <c r="M136" s="8"/>
      <c r="N136" s="4"/>
      <c r="O136" s="4"/>
      <c r="P136" s="4"/>
      <c r="Q136" s="4"/>
      <c r="R136" s="4"/>
      <c r="S136" s="4"/>
      <c r="T136" s="4"/>
      <c r="U136" s="4"/>
      <c r="V136" s="4"/>
      <c r="W136" s="4"/>
      <c r="X136" s="4"/>
      <c r="Y136" s="4"/>
      <c r="Z136" s="4"/>
      <c r="AA136" s="4"/>
      <c r="AB136" s="6"/>
      <c r="AC136" s="4"/>
      <c r="AD136" s="4"/>
    </row>
    <row r="137" spans="1:30">
      <c r="A137" s="4" t="str">
        <f t="shared" si="6"/>
        <v/>
      </c>
      <c r="B137" s="4"/>
      <c r="C137" s="4"/>
      <c r="D137" s="4"/>
      <c r="E137" s="4"/>
      <c r="F137" s="4"/>
      <c r="G137" s="6"/>
      <c r="H137" s="4"/>
      <c r="I137" s="4"/>
      <c r="J137" s="4"/>
      <c r="K137" s="4" t="str">
        <f t="shared" ca="1" si="5"/>
        <v>Sin fecha</v>
      </c>
      <c r="L137" s="8"/>
      <c r="M137" s="8"/>
      <c r="N137" s="4"/>
      <c r="O137" s="4"/>
      <c r="P137" s="4"/>
      <c r="Q137" s="4"/>
      <c r="R137" s="4"/>
      <c r="S137" s="4"/>
      <c r="T137" s="4"/>
      <c r="U137" s="4"/>
      <c r="V137" s="4"/>
      <c r="W137" s="4"/>
      <c r="X137" s="4"/>
      <c r="Y137" s="4"/>
      <c r="Z137" s="4"/>
      <c r="AA137" s="4"/>
      <c r="AB137" s="6"/>
      <c r="AC137" s="4"/>
      <c r="AD137" s="4"/>
    </row>
    <row r="138" spans="1:30">
      <c r="A138" s="4" t="str">
        <f t="shared" si="6"/>
        <v/>
      </c>
      <c r="B138" s="4"/>
      <c r="C138" s="4"/>
      <c r="D138" s="4"/>
      <c r="E138" s="4"/>
      <c r="F138" s="4"/>
      <c r="G138" s="6"/>
      <c r="H138" s="4"/>
      <c r="I138" s="4"/>
      <c r="J138" s="4"/>
      <c r="K138" s="4" t="str">
        <f t="shared" ca="1" si="5"/>
        <v>Sin fecha</v>
      </c>
      <c r="L138" s="8"/>
      <c r="M138" s="8"/>
      <c r="N138" s="4"/>
      <c r="O138" s="4"/>
      <c r="P138" s="4"/>
      <c r="Q138" s="4"/>
      <c r="R138" s="4"/>
      <c r="S138" s="4"/>
      <c r="T138" s="4"/>
      <c r="U138" s="4"/>
      <c r="V138" s="4"/>
      <c r="W138" s="4"/>
      <c r="X138" s="4"/>
      <c r="Y138" s="4"/>
      <c r="Z138" s="4"/>
      <c r="AA138" s="4"/>
      <c r="AB138" s="6"/>
      <c r="AC138" s="4"/>
      <c r="AD138" s="4"/>
    </row>
    <row r="139" spans="1:30">
      <c r="A139" s="4" t="str">
        <f t="shared" si="6"/>
        <v/>
      </c>
      <c r="B139" s="4"/>
      <c r="C139" s="4"/>
      <c r="D139" s="4"/>
      <c r="E139" s="4"/>
      <c r="F139" s="4"/>
      <c r="G139" s="6"/>
      <c r="H139" s="4"/>
      <c r="I139" s="4"/>
      <c r="J139" s="4"/>
      <c r="K139" s="4" t="str">
        <f t="shared" ca="1" si="5"/>
        <v>Sin fecha</v>
      </c>
      <c r="L139" s="8"/>
      <c r="M139" s="8"/>
      <c r="N139" s="4"/>
      <c r="O139" s="4"/>
      <c r="P139" s="4"/>
      <c r="Q139" s="4"/>
      <c r="R139" s="4"/>
      <c r="S139" s="4"/>
      <c r="T139" s="4"/>
      <c r="U139" s="4"/>
      <c r="V139" s="4"/>
      <c r="W139" s="4"/>
      <c r="X139" s="4"/>
      <c r="Y139" s="4"/>
      <c r="Z139" s="4"/>
      <c r="AA139" s="4"/>
      <c r="AB139" s="6"/>
      <c r="AC139" s="4"/>
      <c r="AD139" s="4"/>
    </row>
    <row r="140" spans="1:30">
      <c r="A140" s="4" t="str">
        <f t="shared" si="6"/>
        <v/>
      </c>
      <c r="B140" s="4"/>
      <c r="C140" s="4"/>
      <c r="D140" s="4"/>
      <c r="E140" s="4"/>
      <c r="F140" s="4"/>
      <c r="G140" s="6"/>
      <c r="H140" s="4"/>
      <c r="I140" s="4"/>
      <c r="J140" s="4"/>
      <c r="K140" s="4" t="str">
        <f t="shared" ca="1" si="5"/>
        <v>Sin fecha</v>
      </c>
      <c r="L140" s="8"/>
      <c r="M140" s="8"/>
      <c r="N140" s="4"/>
      <c r="O140" s="4"/>
      <c r="P140" s="4"/>
      <c r="Q140" s="4"/>
      <c r="R140" s="4"/>
      <c r="S140" s="4"/>
      <c r="T140" s="4"/>
      <c r="U140" s="4"/>
      <c r="V140" s="4"/>
      <c r="W140" s="4"/>
      <c r="X140" s="4"/>
      <c r="Y140" s="4"/>
      <c r="Z140" s="4"/>
      <c r="AA140" s="4"/>
      <c r="AB140" s="6"/>
      <c r="AC140" s="4"/>
      <c r="AD140" s="4"/>
    </row>
    <row r="141" spans="1:30">
      <c r="A141" s="4" t="str">
        <f t="shared" si="6"/>
        <v/>
      </c>
      <c r="B141" s="4"/>
      <c r="C141" s="4"/>
      <c r="D141" s="4"/>
      <c r="E141" s="4"/>
      <c r="F141" s="4"/>
      <c r="G141" s="6"/>
      <c r="H141" s="4"/>
      <c r="I141" s="4"/>
      <c r="J141" s="4"/>
      <c r="K141" s="4" t="str">
        <f t="shared" ca="1" si="5"/>
        <v>Sin fecha</v>
      </c>
      <c r="L141" s="8"/>
      <c r="M141" s="8"/>
      <c r="N141" s="4"/>
      <c r="O141" s="4"/>
      <c r="P141" s="4"/>
      <c r="Q141" s="4"/>
      <c r="R141" s="4"/>
      <c r="S141" s="4"/>
      <c r="T141" s="4"/>
      <c r="U141" s="4"/>
      <c r="V141" s="4"/>
      <c r="W141" s="4"/>
      <c r="X141" s="4"/>
      <c r="Y141" s="4"/>
      <c r="Z141" s="4"/>
      <c r="AA141" s="4"/>
      <c r="AB141" s="6"/>
      <c r="AC141" s="4"/>
      <c r="AD141" s="4"/>
    </row>
    <row r="142" spans="1:30">
      <c r="A142" s="4" t="str">
        <f t="shared" si="6"/>
        <v/>
      </c>
      <c r="B142" s="4"/>
      <c r="C142" s="4"/>
      <c r="D142" s="4"/>
      <c r="E142" s="4"/>
      <c r="F142" s="4"/>
      <c r="G142" s="6"/>
      <c r="H142" s="4"/>
      <c r="I142" s="4"/>
      <c r="J142" s="4"/>
      <c r="K142" s="4" t="str">
        <f t="shared" ca="1" si="5"/>
        <v>Sin fecha</v>
      </c>
      <c r="L142" s="8"/>
      <c r="M142" s="8"/>
      <c r="N142" s="4"/>
      <c r="O142" s="4"/>
      <c r="P142" s="4"/>
      <c r="Q142" s="4"/>
      <c r="R142" s="4"/>
      <c r="S142" s="4"/>
      <c r="T142" s="4"/>
      <c r="U142" s="4"/>
      <c r="V142" s="4"/>
      <c r="W142" s="4"/>
      <c r="X142" s="4"/>
      <c r="Y142" s="4"/>
      <c r="Z142" s="4"/>
      <c r="AA142" s="4"/>
      <c r="AB142" s="6"/>
      <c r="AC142" s="4"/>
      <c r="AD142" s="4"/>
    </row>
    <row r="143" spans="1:30">
      <c r="A143" s="4" t="str">
        <f t="shared" si="6"/>
        <v/>
      </c>
      <c r="B143" s="4"/>
      <c r="C143" s="4"/>
      <c r="D143" s="4"/>
      <c r="E143" s="4"/>
      <c r="F143" s="4"/>
      <c r="G143" s="6"/>
      <c r="H143" s="4"/>
      <c r="I143" s="4"/>
      <c r="J143" s="4"/>
      <c r="K143" s="4" t="str">
        <f t="shared" ca="1" si="5"/>
        <v>Sin fecha</v>
      </c>
      <c r="L143" s="8"/>
      <c r="M143" s="8"/>
      <c r="N143" s="4"/>
      <c r="O143" s="4"/>
      <c r="P143" s="4"/>
      <c r="Q143" s="4"/>
      <c r="R143" s="4"/>
      <c r="S143" s="4"/>
      <c r="T143" s="4"/>
      <c r="U143" s="4"/>
      <c r="V143" s="4"/>
      <c r="W143" s="4"/>
      <c r="X143" s="4"/>
      <c r="Y143" s="4"/>
      <c r="Z143" s="4"/>
      <c r="AA143" s="4"/>
      <c r="AB143" s="6"/>
      <c r="AC143" s="4"/>
      <c r="AD143" s="4"/>
    </row>
    <row r="144" spans="1:30">
      <c r="A144" s="4" t="str">
        <f t="shared" si="6"/>
        <v/>
      </c>
      <c r="B144" s="4"/>
      <c r="C144" s="4"/>
      <c r="D144" s="4"/>
      <c r="E144" s="4"/>
      <c r="F144" s="4"/>
      <c r="G144" s="6"/>
      <c r="H144" s="4"/>
      <c r="I144" s="4"/>
      <c r="J144" s="4"/>
      <c r="K144" s="4" t="str">
        <f t="shared" ca="1" si="5"/>
        <v>Sin fecha</v>
      </c>
      <c r="L144" s="8"/>
      <c r="M144" s="8"/>
      <c r="N144" s="4"/>
      <c r="O144" s="4"/>
      <c r="P144" s="4"/>
      <c r="Q144" s="4"/>
      <c r="R144" s="4"/>
      <c r="S144" s="4"/>
      <c r="T144" s="4"/>
      <c r="U144" s="4"/>
      <c r="V144" s="4"/>
      <c r="W144" s="4"/>
      <c r="X144" s="4"/>
      <c r="Y144" s="4"/>
      <c r="Z144" s="4"/>
      <c r="AA144" s="4"/>
      <c r="AB144" s="6"/>
      <c r="AC144" s="4"/>
      <c r="AD144" s="4"/>
    </row>
    <row r="145" spans="1:30">
      <c r="A145" s="4" t="str">
        <f t="shared" si="6"/>
        <v/>
      </c>
      <c r="B145" s="4"/>
      <c r="C145" s="4"/>
      <c r="D145" s="4"/>
      <c r="E145" s="4"/>
      <c r="F145" s="4"/>
      <c r="G145" s="6"/>
      <c r="H145" s="4"/>
      <c r="I145" s="4"/>
      <c r="J145" s="4"/>
      <c r="K145" s="4" t="str">
        <f t="shared" ca="1" si="5"/>
        <v>Sin fecha</v>
      </c>
      <c r="L145" s="8"/>
      <c r="M145" s="8"/>
      <c r="N145" s="4"/>
      <c r="O145" s="4"/>
      <c r="P145" s="4"/>
      <c r="Q145" s="4"/>
      <c r="R145" s="4"/>
      <c r="S145" s="4"/>
      <c r="T145" s="4"/>
      <c r="U145" s="4"/>
      <c r="V145" s="4"/>
      <c r="W145" s="4"/>
      <c r="X145" s="4"/>
      <c r="Y145" s="4"/>
      <c r="Z145" s="4"/>
      <c r="AA145" s="4"/>
      <c r="AB145" s="6"/>
      <c r="AC145" s="4"/>
      <c r="AD145" s="4"/>
    </row>
    <row r="146" spans="1:30">
      <c r="A146" s="4" t="str">
        <f t="shared" si="6"/>
        <v/>
      </c>
      <c r="B146" s="4"/>
      <c r="C146" s="4"/>
      <c r="D146" s="4"/>
      <c r="E146" s="4"/>
      <c r="F146" s="4"/>
      <c r="G146" s="6"/>
      <c r="H146" s="4"/>
      <c r="I146" s="4"/>
      <c r="J146" s="4"/>
      <c r="K146" s="4" t="str">
        <f t="shared" ca="1" si="5"/>
        <v>Sin fecha</v>
      </c>
      <c r="L146" s="8"/>
      <c r="M146" s="8"/>
      <c r="N146" s="4"/>
      <c r="O146" s="4"/>
      <c r="P146" s="4"/>
      <c r="Q146" s="4"/>
      <c r="R146" s="4"/>
      <c r="S146" s="4"/>
      <c r="T146" s="4"/>
      <c r="U146" s="4"/>
      <c r="V146" s="4"/>
      <c r="W146" s="4"/>
      <c r="X146" s="4"/>
      <c r="Y146" s="4"/>
      <c r="Z146" s="4"/>
      <c r="AA146" s="4"/>
      <c r="AB146" s="6"/>
      <c r="AC146" s="4"/>
      <c r="AD146" s="4"/>
    </row>
    <row r="147" spans="1:30">
      <c r="A147" s="4" t="str">
        <f t="shared" si="6"/>
        <v/>
      </c>
      <c r="B147" s="4"/>
      <c r="C147" s="4"/>
      <c r="D147" s="4"/>
      <c r="E147" s="4"/>
      <c r="F147" s="4"/>
      <c r="G147" s="6"/>
      <c r="H147" s="4"/>
      <c r="I147" s="4"/>
      <c r="J147" s="4"/>
      <c r="K147" s="4" t="str">
        <f t="shared" ca="1" si="5"/>
        <v>Sin fecha</v>
      </c>
      <c r="L147" s="8"/>
      <c r="M147" s="8"/>
      <c r="N147" s="4"/>
      <c r="O147" s="4"/>
      <c r="P147" s="4"/>
      <c r="Q147" s="4"/>
      <c r="R147" s="4"/>
      <c r="S147" s="4"/>
      <c r="T147" s="4"/>
      <c r="U147" s="4"/>
      <c r="V147" s="4"/>
      <c r="W147" s="4"/>
      <c r="X147" s="4"/>
      <c r="Y147" s="4"/>
      <c r="Z147" s="4"/>
      <c r="AA147" s="4"/>
      <c r="AB147" s="6"/>
      <c r="AC147" s="4"/>
      <c r="AD147" s="4"/>
    </row>
    <row r="148" spans="1:30">
      <c r="A148" s="4" t="str">
        <f t="shared" si="6"/>
        <v/>
      </c>
      <c r="B148" s="4"/>
      <c r="C148" s="4"/>
      <c r="D148" s="4"/>
      <c r="E148" s="4"/>
      <c r="F148" s="4"/>
      <c r="G148" s="6"/>
      <c r="H148" s="4"/>
      <c r="I148" s="4"/>
      <c r="J148" s="4"/>
      <c r="K148" s="4" t="str">
        <f t="shared" ca="1" si="5"/>
        <v>Sin fecha</v>
      </c>
      <c r="L148" s="8"/>
      <c r="M148" s="8"/>
      <c r="N148" s="4"/>
      <c r="O148" s="4"/>
      <c r="P148" s="4"/>
      <c r="Q148" s="4"/>
      <c r="R148" s="4"/>
      <c r="S148" s="4"/>
      <c r="T148" s="4"/>
      <c r="U148" s="4"/>
      <c r="V148" s="4"/>
      <c r="W148" s="4"/>
      <c r="X148" s="4"/>
      <c r="Y148" s="4"/>
      <c r="Z148" s="4"/>
      <c r="AA148" s="4"/>
      <c r="AB148" s="6"/>
      <c r="AC148" s="4"/>
      <c r="AD148" s="4"/>
    </row>
    <row r="149" spans="1:30">
      <c r="A149" s="4" t="str">
        <f t="shared" si="6"/>
        <v/>
      </c>
      <c r="B149" s="4"/>
      <c r="C149" s="4"/>
      <c r="D149" s="4"/>
      <c r="E149" s="4"/>
      <c r="F149" s="4"/>
      <c r="G149" s="6"/>
      <c r="H149" s="4"/>
      <c r="I149" s="4"/>
      <c r="J149" s="4"/>
      <c r="K149" s="4" t="str">
        <f t="shared" ca="1" si="5"/>
        <v>Sin fecha</v>
      </c>
      <c r="L149" s="8"/>
      <c r="M149" s="8"/>
      <c r="N149" s="4"/>
      <c r="O149" s="4"/>
      <c r="P149" s="4"/>
      <c r="Q149" s="4"/>
      <c r="R149" s="4"/>
      <c r="S149" s="4"/>
      <c r="T149" s="4"/>
      <c r="U149" s="4"/>
      <c r="V149" s="4"/>
      <c r="W149" s="4"/>
      <c r="X149" s="4"/>
      <c r="Y149" s="4"/>
      <c r="Z149" s="4"/>
      <c r="AA149" s="4"/>
      <c r="AB149" s="6"/>
      <c r="AC149" s="4"/>
      <c r="AD149" s="4"/>
    </row>
    <row r="150" spans="1:30">
      <c r="A150" s="4" t="str">
        <f t="shared" si="6"/>
        <v/>
      </c>
      <c r="B150" s="4"/>
      <c r="C150" s="4"/>
      <c r="D150" s="4"/>
      <c r="E150" s="4"/>
      <c r="F150" s="4"/>
      <c r="G150" s="6"/>
      <c r="H150" s="4"/>
      <c r="I150" s="4"/>
      <c r="J150" s="4"/>
      <c r="K150" s="4" t="str">
        <f t="shared" ca="1" si="5"/>
        <v>Sin fecha</v>
      </c>
      <c r="L150" s="8"/>
      <c r="M150" s="8"/>
      <c r="N150" s="4"/>
      <c r="O150" s="4"/>
      <c r="P150" s="4"/>
      <c r="Q150" s="4"/>
      <c r="R150" s="4"/>
      <c r="S150" s="4"/>
      <c r="T150" s="4"/>
      <c r="U150" s="4"/>
      <c r="V150" s="4"/>
      <c r="W150" s="4"/>
      <c r="X150" s="4"/>
      <c r="Y150" s="4"/>
      <c r="Z150" s="4"/>
      <c r="AA150" s="4"/>
      <c r="AB150" s="6"/>
      <c r="AC150" s="4"/>
      <c r="AD150" s="4"/>
    </row>
    <row r="151" spans="1:30">
      <c r="A151" s="4" t="str">
        <f t="shared" si="6"/>
        <v/>
      </c>
      <c r="B151" s="4"/>
      <c r="C151" s="4"/>
      <c r="D151" s="4"/>
      <c r="E151" s="4"/>
      <c r="F151" s="4"/>
      <c r="G151" s="6"/>
      <c r="H151" s="4"/>
      <c r="I151" s="4"/>
      <c r="J151" s="4"/>
      <c r="K151" s="4" t="str">
        <f t="shared" ca="1" si="5"/>
        <v>Sin fecha</v>
      </c>
      <c r="L151" s="8"/>
      <c r="M151" s="8"/>
      <c r="N151" s="4"/>
      <c r="O151" s="4"/>
      <c r="P151" s="4"/>
      <c r="Q151" s="4"/>
      <c r="R151" s="4"/>
      <c r="S151" s="4"/>
      <c r="T151" s="4"/>
      <c r="U151" s="4"/>
      <c r="V151" s="4"/>
      <c r="W151" s="4"/>
      <c r="X151" s="4"/>
      <c r="Y151" s="4"/>
      <c r="Z151" s="4"/>
      <c r="AA151" s="4"/>
      <c r="AB151" s="6"/>
      <c r="AC151" s="4"/>
      <c r="AD151" s="4"/>
    </row>
    <row r="152" spans="1:30">
      <c r="A152" s="4" t="str">
        <f t="shared" si="6"/>
        <v/>
      </c>
      <c r="B152" s="4"/>
      <c r="C152" s="4"/>
      <c r="D152" s="4"/>
      <c r="E152" s="4"/>
      <c r="F152" s="4"/>
      <c r="G152" s="6"/>
      <c r="H152" s="4"/>
      <c r="I152" s="4"/>
      <c r="J152" s="4"/>
      <c r="K152" s="4" t="str">
        <f t="shared" ca="1" si="5"/>
        <v>Sin fecha</v>
      </c>
      <c r="L152" s="8"/>
      <c r="M152" s="8"/>
      <c r="N152" s="4"/>
      <c r="O152" s="4"/>
      <c r="P152" s="4"/>
      <c r="Q152" s="4"/>
      <c r="R152" s="4"/>
      <c r="S152" s="4"/>
      <c r="T152" s="4"/>
      <c r="U152" s="4"/>
      <c r="V152" s="4"/>
      <c r="W152" s="4"/>
      <c r="X152" s="4"/>
      <c r="Y152" s="4"/>
      <c r="Z152" s="4"/>
      <c r="AA152" s="4"/>
      <c r="AB152" s="6"/>
      <c r="AC152" s="4"/>
      <c r="AD152" s="4"/>
    </row>
    <row r="153" spans="1:30">
      <c r="A153" s="4" t="str">
        <f t="shared" si="6"/>
        <v/>
      </c>
      <c r="B153" s="4"/>
      <c r="C153" s="4"/>
      <c r="D153" s="4"/>
      <c r="E153" s="4"/>
      <c r="F153" s="4"/>
      <c r="G153" s="6"/>
      <c r="H153" s="4"/>
      <c r="I153" s="4"/>
      <c r="J153" s="4"/>
      <c r="K153" s="4" t="str">
        <f t="shared" ca="1" si="5"/>
        <v>Sin fecha</v>
      </c>
      <c r="L153" s="8"/>
      <c r="M153" s="8"/>
      <c r="N153" s="4"/>
      <c r="O153" s="4"/>
      <c r="P153" s="4"/>
      <c r="Q153" s="4"/>
      <c r="R153" s="4"/>
      <c r="S153" s="4"/>
      <c r="T153" s="4"/>
      <c r="U153" s="4"/>
      <c r="V153" s="4"/>
      <c r="W153" s="4"/>
      <c r="X153" s="4"/>
      <c r="Y153" s="4"/>
      <c r="Z153" s="4"/>
      <c r="AA153" s="4"/>
      <c r="AB153" s="6"/>
      <c r="AC153" s="4"/>
      <c r="AD153" s="4"/>
    </row>
    <row r="154" spans="1:30">
      <c r="A154" s="4" t="str">
        <f t="shared" si="6"/>
        <v/>
      </c>
      <c r="B154" s="4"/>
      <c r="C154" s="4"/>
      <c r="D154" s="4"/>
      <c r="E154" s="4"/>
      <c r="F154" s="4"/>
      <c r="G154" s="6"/>
      <c r="H154" s="4"/>
      <c r="I154" s="4"/>
      <c r="J154" s="4"/>
      <c r="K154" s="4" t="str">
        <f t="shared" ca="1" si="5"/>
        <v>Sin fecha</v>
      </c>
      <c r="L154" s="8"/>
      <c r="M154" s="8"/>
      <c r="N154" s="4"/>
      <c r="O154" s="4"/>
      <c r="P154" s="4"/>
      <c r="Q154" s="4"/>
      <c r="R154" s="4"/>
      <c r="S154" s="4"/>
      <c r="T154" s="4"/>
      <c r="U154" s="4"/>
      <c r="V154" s="4"/>
      <c r="W154" s="4"/>
      <c r="X154" s="4"/>
      <c r="Y154" s="4"/>
      <c r="Z154" s="4"/>
      <c r="AA154" s="4"/>
      <c r="AB154" s="6"/>
      <c r="AC154" s="4"/>
      <c r="AD154" s="4"/>
    </row>
    <row r="155" spans="1:30">
      <c r="A155" s="4" t="str">
        <f t="shared" si="6"/>
        <v/>
      </c>
      <c r="B155" s="4"/>
      <c r="C155" s="4"/>
      <c r="D155" s="4"/>
      <c r="E155" s="4"/>
      <c r="F155" s="4"/>
      <c r="G155" s="6"/>
      <c r="H155" s="4"/>
      <c r="I155" s="4"/>
      <c r="J155" s="4"/>
      <c r="K155" s="4" t="str">
        <f t="shared" ca="1" si="5"/>
        <v>Sin fecha</v>
      </c>
      <c r="L155" s="8"/>
      <c r="M155" s="8"/>
      <c r="N155" s="4"/>
      <c r="O155" s="4"/>
      <c r="P155" s="4"/>
      <c r="Q155" s="4"/>
      <c r="R155" s="4"/>
      <c r="S155" s="4"/>
      <c r="T155" s="4"/>
      <c r="U155" s="4"/>
      <c r="V155" s="4"/>
      <c r="W155" s="4"/>
      <c r="X155" s="4"/>
      <c r="Y155" s="4"/>
      <c r="Z155" s="4"/>
      <c r="AA155" s="4"/>
      <c r="AB155" s="6"/>
      <c r="AC155" s="4"/>
      <c r="AD155" s="4"/>
    </row>
    <row r="156" spans="1:30">
      <c r="A156" s="4" t="str">
        <f t="shared" si="6"/>
        <v/>
      </c>
      <c r="B156" s="4"/>
      <c r="C156" s="4"/>
      <c r="D156" s="4"/>
      <c r="E156" s="4"/>
      <c r="F156" s="4"/>
      <c r="G156" s="6"/>
      <c r="H156" s="4"/>
      <c r="I156" s="4"/>
      <c r="J156" s="4"/>
      <c r="K156" s="4" t="str">
        <f t="shared" ca="1" si="5"/>
        <v>Sin fecha</v>
      </c>
      <c r="L156" s="8"/>
      <c r="M156" s="8"/>
      <c r="N156" s="4"/>
      <c r="O156" s="4"/>
      <c r="P156" s="4"/>
      <c r="Q156" s="4"/>
      <c r="R156" s="4"/>
      <c r="S156" s="4"/>
      <c r="T156" s="4"/>
      <c r="U156" s="4"/>
      <c r="V156" s="4"/>
      <c r="W156" s="4"/>
      <c r="X156" s="4"/>
      <c r="Y156" s="4"/>
      <c r="Z156" s="4"/>
      <c r="AA156" s="4"/>
      <c r="AB156" s="6"/>
      <c r="AC156" s="4"/>
      <c r="AD156" s="4"/>
    </row>
    <row r="157" spans="1:30">
      <c r="A157" s="4" t="str">
        <f t="shared" si="6"/>
        <v/>
      </c>
      <c r="B157" s="4"/>
      <c r="C157" s="4"/>
      <c r="D157" s="4"/>
      <c r="E157" s="4"/>
      <c r="F157" s="4"/>
      <c r="G157" s="6"/>
      <c r="H157" s="4"/>
      <c r="I157" s="4"/>
      <c r="J157" s="4"/>
      <c r="K157" s="4" t="str">
        <f t="shared" ca="1" si="5"/>
        <v>Sin fecha</v>
      </c>
      <c r="L157" s="8"/>
      <c r="M157" s="8"/>
      <c r="N157" s="4"/>
      <c r="O157" s="4"/>
      <c r="P157" s="4"/>
      <c r="Q157" s="4"/>
      <c r="R157" s="4"/>
      <c r="S157" s="4"/>
      <c r="T157" s="4"/>
      <c r="U157" s="4"/>
      <c r="V157" s="4"/>
      <c r="W157" s="4"/>
      <c r="X157" s="4"/>
      <c r="Y157" s="4"/>
      <c r="Z157" s="4"/>
      <c r="AA157" s="4"/>
      <c r="AB157" s="6"/>
      <c r="AC157" s="4"/>
      <c r="AD157" s="4"/>
    </row>
    <row r="158" spans="1:30">
      <c r="A158" s="4" t="str">
        <f t="shared" si="6"/>
        <v/>
      </c>
      <c r="B158" s="4"/>
      <c r="C158" s="4"/>
      <c r="D158" s="4"/>
      <c r="E158" s="4"/>
      <c r="F158" s="4"/>
      <c r="G158" s="6"/>
      <c r="H158" s="4"/>
      <c r="I158" s="4"/>
      <c r="J158" s="4"/>
      <c r="K158" s="4" t="str">
        <f t="shared" ca="1" si="5"/>
        <v>Sin fecha</v>
      </c>
      <c r="L158" s="8"/>
      <c r="M158" s="8"/>
      <c r="N158" s="4"/>
      <c r="O158" s="4"/>
      <c r="P158" s="4"/>
      <c r="Q158" s="4"/>
      <c r="R158" s="4"/>
      <c r="S158" s="4"/>
      <c r="T158" s="4"/>
      <c r="U158" s="4"/>
      <c r="V158" s="4"/>
      <c r="W158" s="4"/>
      <c r="X158" s="4"/>
      <c r="Y158" s="4"/>
      <c r="Z158" s="4"/>
      <c r="AA158" s="4"/>
      <c r="AB158" s="6"/>
      <c r="AC158" s="4"/>
      <c r="AD158" s="4"/>
    </row>
    <row r="159" spans="1:30">
      <c r="A159" s="4" t="str">
        <f t="shared" si="6"/>
        <v/>
      </c>
      <c r="B159" s="4"/>
      <c r="C159" s="4"/>
      <c r="D159" s="4"/>
      <c r="E159" s="4"/>
      <c r="F159" s="4"/>
      <c r="G159" s="6"/>
      <c r="H159" s="4"/>
      <c r="I159" s="4"/>
      <c r="J159" s="4"/>
      <c r="K159" s="4" t="str">
        <f t="shared" ca="1" si="5"/>
        <v>Sin fecha</v>
      </c>
      <c r="L159" s="8"/>
      <c r="M159" s="8"/>
      <c r="N159" s="4"/>
      <c r="O159" s="4"/>
      <c r="P159" s="4"/>
      <c r="Q159" s="4"/>
      <c r="R159" s="4"/>
      <c r="S159" s="4"/>
      <c r="T159" s="4"/>
      <c r="U159" s="4"/>
      <c r="V159" s="4"/>
      <c r="W159" s="4"/>
      <c r="X159" s="4"/>
      <c r="Y159" s="4"/>
      <c r="Z159" s="4"/>
      <c r="AA159" s="4"/>
      <c r="AB159" s="6"/>
      <c r="AC159" s="4"/>
      <c r="AD159" s="4"/>
    </row>
    <row r="160" spans="1:30">
      <c r="A160" s="4" t="str">
        <f t="shared" si="6"/>
        <v/>
      </c>
      <c r="B160" s="4"/>
      <c r="C160" s="4"/>
      <c r="D160" s="4"/>
      <c r="E160" s="4"/>
      <c r="F160" s="4"/>
      <c r="G160" s="6"/>
      <c r="H160" s="4"/>
      <c r="I160" s="4"/>
      <c r="J160" s="4"/>
      <c r="K160" s="4" t="str">
        <f t="shared" ca="1" si="5"/>
        <v>Sin fecha</v>
      </c>
      <c r="L160" s="8"/>
      <c r="M160" s="8"/>
      <c r="N160" s="4"/>
      <c r="O160" s="4"/>
      <c r="P160" s="4"/>
      <c r="Q160" s="4"/>
      <c r="R160" s="4"/>
      <c r="S160" s="4"/>
      <c r="T160" s="4"/>
      <c r="U160" s="4"/>
      <c r="V160" s="4"/>
      <c r="W160" s="4"/>
      <c r="X160" s="4"/>
      <c r="Y160" s="4"/>
      <c r="Z160" s="4"/>
      <c r="AA160" s="4"/>
      <c r="AB160" s="6"/>
      <c r="AC160" s="4"/>
      <c r="AD160" s="4"/>
    </row>
    <row r="161" spans="1:30">
      <c r="A161" s="4" t="str">
        <f t="shared" si="6"/>
        <v/>
      </c>
      <c r="B161" s="4"/>
      <c r="C161" s="4"/>
      <c r="D161" s="4"/>
      <c r="E161" s="4"/>
      <c r="F161" s="4"/>
      <c r="G161" s="6"/>
      <c r="H161" s="4"/>
      <c r="I161" s="4"/>
      <c r="J161" s="4"/>
      <c r="K161" s="4" t="str">
        <f t="shared" ca="1" si="5"/>
        <v>Sin fecha</v>
      </c>
      <c r="L161" s="8"/>
      <c r="M161" s="8"/>
      <c r="N161" s="4"/>
      <c r="O161" s="4"/>
      <c r="P161" s="4"/>
      <c r="Q161" s="4"/>
      <c r="R161" s="4"/>
      <c r="S161" s="4"/>
      <c r="T161" s="4"/>
      <c r="U161" s="4"/>
      <c r="V161" s="4"/>
      <c r="W161" s="4"/>
      <c r="X161" s="4"/>
      <c r="Y161" s="4"/>
      <c r="Z161" s="4"/>
      <c r="AA161" s="4"/>
      <c r="AB161" s="6"/>
      <c r="AC161" s="4"/>
      <c r="AD161" s="4"/>
    </row>
    <row r="162" spans="1:30">
      <c r="A162" s="4" t="str">
        <f t="shared" si="6"/>
        <v/>
      </c>
      <c r="B162" s="4"/>
      <c r="C162" s="4"/>
      <c r="D162" s="4"/>
      <c r="E162" s="4"/>
      <c r="F162" s="4"/>
      <c r="G162" s="6"/>
      <c r="H162" s="4"/>
      <c r="I162" s="4"/>
      <c r="J162" s="4"/>
      <c r="K162" s="4" t="str">
        <f t="shared" ca="1" si="5"/>
        <v>Sin fecha</v>
      </c>
      <c r="L162" s="8"/>
      <c r="M162" s="8"/>
      <c r="N162" s="4"/>
      <c r="O162" s="4"/>
      <c r="P162" s="4"/>
      <c r="Q162" s="4"/>
      <c r="R162" s="4"/>
      <c r="S162" s="4"/>
      <c r="T162" s="4"/>
      <c r="U162" s="4"/>
      <c r="V162" s="4"/>
      <c r="W162" s="4"/>
      <c r="X162" s="4"/>
      <c r="Y162" s="4"/>
      <c r="Z162" s="4"/>
      <c r="AA162" s="4"/>
      <c r="AB162" s="6"/>
      <c r="AC162" s="4"/>
      <c r="AD162" s="4"/>
    </row>
    <row r="163" spans="1:30">
      <c r="A163" s="4" t="str">
        <f t="shared" si="6"/>
        <v/>
      </c>
      <c r="B163" s="4"/>
      <c r="C163" s="4"/>
      <c r="D163" s="4"/>
      <c r="E163" s="4"/>
      <c r="F163" s="4"/>
      <c r="G163" s="6"/>
      <c r="H163" s="4"/>
      <c r="I163" s="4"/>
      <c r="J163" s="4"/>
      <c r="K163" s="4" t="str">
        <f t="shared" ca="1" si="5"/>
        <v>Sin fecha</v>
      </c>
      <c r="L163" s="8"/>
      <c r="M163" s="8"/>
      <c r="N163" s="4"/>
      <c r="O163" s="4"/>
      <c r="P163" s="4"/>
      <c r="Q163" s="4"/>
      <c r="R163" s="4"/>
      <c r="S163" s="4"/>
      <c r="T163" s="4"/>
      <c r="U163" s="4"/>
      <c r="V163" s="4"/>
      <c r="W163" s="4"/>
      <c r="X163" s="4"/>
      <c r="Y163" s="4"/>
      <c r="Z163" s="4"/>
      <c r="AA163" s="4"/>
      <c r="AB163" s="6"/>
      <c r="AC163" s="4"/>
      <c r="AD163" s="4"/>
    </row>
    <row r="164" spans="1:30">
      <c r="A164" s="4" t="str">
        <f t="shared" si="6"/>
        <v/>
      </c>
      <c r="B164" s="4"/>
      <c r="C164" s="4"/>
      <c r="D164" s="4"/>
      <c r="E164" s="4"/>
      <c r="F164" s="4"/>
      <c r="G164" s="6"/>
      <c r="H164" s="4"/>
      <c r="I164" s="4"/>
      <c r="J164" s="4"/>
      <c r="K164" s="4" t="str">
        <f t="shared" ca="1" si="5"/>
        <v>Sin fecha</v>
      </c>
      <c r="L164" s="8"/>
      <c r="M164" s="8"/>
      <c r="N164" s="4"/>
      <c r="O164" s="4"/>
      <c r="P164" s="4"/>
      <c r="Q164" s="4"/>
      <c r="R164" s="4"/>
      <c r="S164" s="4"/>
      <c r="T164" s="4"/>
      <c r="U164" s="4"/>
      <c r="V164" s="4"/>
      <c r="W164" s="4"/>
      <c r="X164" s="4"/>
      <c r="Y164" s="4"/>
      <c r="Z164" s="4"/>
      <c r="AA164" s="4"/>
      <c r="AB164" s="6"/>
      <c r="AC164" s="4"/>
      <c r="AD164" s="4"/>
    </row>
    <row r="165" spans="1:30">
      <c r="A165" s="4" t="str">
        <f t="shared" si="6"/>
        <v/>
      </c>
      <c r="B165" s="4"/>
      <c r="C165" s="4"/>
      <c r="D165" s="4"/>
      <c r="E165" s="4"/>
      <c r="F165" s="4"/>
      <c r="G165" s="6"/>
      <c r="H165" s="4"/>
      <c r="I165" s="4"/>
      <c r="J165" s="4"/>
      <c r="K165" s="4" t="str">
        <f t="shared" ca="1" si="5"/>
        <v>Sin fecha</v>
      </c>
      <c r="L165" s="8"/>
      <c r="M165" s="8"/>
      <c r="N165" s="4"/>
      <c r="O165" s="4"/>
      <c r="P165" s="4"/>
      <c r="Q165" s="4"/>
      <c r="R165" s="4"/>
      <c r="S165" s="4"/>
      <c r="T165" s="4"/>
      <c r="U165" s="4"/>
      <c r="V165" s="4"/>
      <c r="W165" s="4"/>
      <c r="X165" s="4"/>
      <c r="Y165" s="4"/>
      <c r="Z165" s="4"/>
      <c r="AA165" s="4"/>
      <c r="AB165" s="6"/>
      <c r="AC165" s="4"/>
      <c r="AD165" s="4"/>
    </row>
    <row r="166" spans="1:30">
      <c r="A166" s="4" t="str">
        <f t="shared" si="6"/>
        <v/>
      </c>
      <c r="B166" s="4"/>
      <c r="C166" s="4"/>
      <c r="D166" s="4"/>
      <c r="E166" s="4"/>
      <c r="F166" s="4"/>
      <c r="G166" s="6"/>
      <c r="H166" s="4"/>
      <c r="I166" s="4"/>
      <c r="J166" s="4"/>
      <c r="K166" s="4" t="str">
        <f t="shared" ca="1" si="5"/>
        <v>Sin fecha</v>
      </c>
      <c r="L166" s="8"/>
      <c r="M166" s="8"/>
      <c r="N166" s="4"/>
      <c r="O166" s="4"/>
      <c r="P166" s="4"/>
      <c r="Q166" s="4"/>
      <c r="R166" s="4"/>
      <c r="S166" s="4"/>
      <c r="T166" s="4"/>
      <c r="U166" s="4"/>
      <c r="V166" s="4"/>
      <c r="W166" s="4"/>
      <c r="X166" s="4"/>
      <c r="Y166" s="4"/>
      <c r="Z166" s="4"/>
      <c r="AA166" s="4"/>
      <c r="AB166" s="6"/>
      <c r="AC166" s="4"/>
      <c r="AD166" s="4"/>
    </row>
    <row r="167" spans="1:30">
      <c r="A167" s="4" t="str">
        <f t="shared" si="6"/>
        <v/>
      </c>
      <c r="B167" s="4"/>
      <c r="C167" s="4"/>
      <c r="D167" s="4"/>
      <c r="E167" s="4"/>
      <c r="F167" s="4"/>
      <c r="G167" s="6"/>
      <c r="H167" s="4"/>
      <c r="I167" s="4"/>
      <c r="J167" s="4"/>
      <c r="K167" s="4" t="str">
        <f t="shared" ca="1" si="5"/>
        <v>Sin fecha</v>
      </c>
      <c r="L167" s="8"/>
      <c r="M167" s="8"/>
      <c r="N167" s="4"/>
      <c r="O167" s="4"/>
      <c r="P167" s="4"/>
      <c r="Q167" s="4"/>
      <c r="R167" s="4"/>
      <c r="S167" s="4"/>
      <c r="T167" s="4"/>
      <c r="U167" s="4"/>
      <c r="V167" s="4"/>
      <c r="W167" s="4"/>
      <c r="X167" s="4"/>
      <c r="Y167" s="4"/>
      <c r="Z167" s="4"/>
      <c r="AA167" s="4"/>
      <c r="AB167" s="6"/>
      <c r="AC167" s="4"/>
      <c r="AD167" s="4"/>
    </row>
    <row r="168" spans="1:30">
      <c r="A168" s="4" t="str">
        <f t="shared" si="6"/>
        <v/>
      </c>
      <c r="B168" s="4"/>
      <c r="C168" s="4"/>
      <c r="D168" s="4"/>
      <c r="E168" s="4"/>
      <c r="F168" s="4"/>
      <c r="G168" s="6"/>
      <c r="H168" s="4"/>
      <c r="I168" s="4"/>
      <c r="J168" s="4"/>
      <c r="K168" s="4" t="str">
        <f t="shared" ca="1" si="5"/>
        <v>Sin fecha</v>
      </c>
      <c r="L168" s="8"/>
      <c r="M168" s="8"/>
      <c r="N168" s="4"/>
      <c r="O168" s="4"/>
      <c r="P168" s="4"/>
      <c r="Q168" s="4"/>
      <c r="R168" s="4"/>
      <c r="S168" s="4"/>
      <c r="T168" s="4"/>
      <c r="U168" s="4"/>
      <c r="V168" s="4"/>
      <c r="W168" s="4"/>
      <c r="X168" s="4"/>
      <c r="Y168" s="4"/>
      <c r="Z168" s="4"/>
      <c r="AA168" s="4"/>
      <c r="AB168" s="6"/>
      <c r="AC168" s="4"/>
      <c r="AD168" s="4"/>
    </row>
    <row r="169" spans="1:30">
      <c r="A169" s="4" t="str">
        <f t="shared" si="6"/>
        <v/>
      </c>
      <c r="B169" s="4"/>
      <c r="C169" s="4"/>
      <c r="D169" s="4"/>
      <c r="E169" s="4"/>
      <c r="F169" s="4"/>
      <c r="G169" s="6"/>
      <c r="H169" s="4"/>
      <c r="I169" s="4"/>
      <c r="J169" s="4"/>
      <c r="K169" s="4" t="str">
        <f t="shared" ca="1" si="5"/>
        <v>Sin fecha</v>
      </c>
      <c r="L169" s="8"/>
      <c r="M169" s="8"/>
      <c r="N169" s="4"/>
      <c r="O169" s="4"/>
      <c r="P169" s="4"/>
      <c r="Q169" s="4"/>
      <c r="R169" s="4"/>
      <c r="S169" s="4"/>
      <c r="T169" s="4"/>
      <c r="U169" s="4"/>
      <c r="V169" s="4"/>
      <c r="W169" s="4"/>
      <c r="X169" s="4"/>
      <c r="Y169" s="4"/>
      <c r="Z169" s="4"/>
      <c r="AA169" s="4"/>
      <c r="AB169" s="6"/>
      <c r="AC169" s="4"/>
      <c r="AD169" s="4"/>
    </row>
    <row r="170" spans="1:30">
      <c r="A170" s="4" t="str">
        <f t="shared" si="6"/>
        <v/>
      </c>
      <c r="B170" s="4"/>
      <c r="C170" s="4"/>
      <c r="D170" s="4"/>
      <c r="E170" s="4"/>
      <c r="F170" s="4"/>
      <c r="G170" s="6"/>
      <c r="H170" s="4"/>
      <c r="I170" s="4"/>
      <c r="J170" s="4"/>
      <c r="K170" s="4" t="str">
        <f t="shared" ca="1" si="5"/>
        <v>Sin fecha</v>
      </c>
      <c r="L170" s="8"/>
      <c r="M170" s="8"/>
      <c r="N170" s="4"/>
      <c r="O170" s="4"/>
      <c r="P170" s="4"/>
      <c r="Q170" s="4"/>
      <c r="R170" s="4"/>
      <c r="S170" s="4"/>
      <c r="T170" s="4"/>
      <c r="U170" s="4"/>
      <c r="V170" s="4"/>
      <c r="W170" s="4"/>
      <c r="X170" s="4"/>
      <c r="Y170" s="4"/>
      <c r="Z170" s="4"/>
      <c r="AA170" s="4"/>
      <c r="AB170" s="6"/>
      <c r="AC170" s="4"/>
      <c r="AD170" s="4"/>
    </row>
    <row r="171" spans="1:30">
      <c r="A171" s="4" t="str">
        <f t="shared" si="6"/>
        <v/>
      </c>
      <c r="B171" s="4"/>
      <c r="C171" s="4"/>
      <c r="D171" s="4"/>
      <c r="E171" s="4"/>
      <c r="F171" s="4"/>
      <c r="G171" s="6"/>
      <c r="H171" s="4"/>
      <c r="I171" s="4"/>
      <c r="J171" s="4"/>
      <c r="K171" s="4" t="str">
        <f t="shared" ca="1" si="5"/>
        <v>Sin fecha</v>
      </c>
      <c r="L171" s="8"/>
      <c r="M171" s="8"/>
      <c r="N171" s="4"/>
      <c r="O171" s="4"/>
      <c r="P171" s="4"/>
      <c r="Q171" s="4"/>
      <c r="R171" s="4"/>
      <c r="S171" s="4"/>
      <c r="T171" s="4"/>
      <c r="U171" s="4"/>
      <c r="V171" s="4"/>
      <c r="W171" s="4"/>
      <c r="X171" s="4"/>
      <c r="Y171" s="4"/>
      <c r="Z171" s="4"/>
      <c r="AA171" s="4"/>
      <c r="AB171" s="6"/>
      <c r="AC171" s="4"/>
      <c r="AD171" s="4"/>
    </row>
    <row r="172" spans="1:30">
      <c r="A172" s="4" t="str">
        <f t="shared" si="6"/>
        <v/>
      </c>
      <c r="B172" s="4"/>
      <c r="C172" s="4"/>
      <c r="D172" s="4"/>
      <c r="E172" s="4"/>
      <c r="F172" s="4"/>
      <c r="G172" s="6"/>
      <c r="H172" s="4"/>
      <c r="I172" s="4"/>
      <c r="J172" s="4"/>
      <c r="K172" s="4" t="str">
        <f t="shared" ca="1" si="5"/>
        <v>Sin fecha</v>
      </c>
      <c r="L172" s="8"/>
      <c r="M172" s="8"/>
      <c r="N172" s="4"/>
      <c r="O172" s="4"/>
      <c r="P172" s="4"/>
      <c r="Q172" s="4"/>
      <c r="R172" s="4"/>
      <c r="S172" s="4"/>
      <c r="T172" s="4"/>
      <c r="U172" s="4"/>
      <c r="V172" s="4"/>
      <c r="W172" s="4"/>
      <c r="X172" s="4"/>
      <c r="Y172" s="4"/>
      <c r="Z172" s="4"/>
      <c r="AA172" s="4"/>
      <c r="AB172" s="6"/>
      <c r="AC172" s="4"/>
      <c r="AD172" s="4"/>
    </row>
    <row r="173" spans="1:30">
      <c r="A173" s="4" t="str">
        <f t="shared" si="6"/>
        <v/>
      </c>
      <c r="B173" s="4"/>
      <c r="C173" s="4"/>
      <c r="D173" s="4"/>
      <c r="E173" s="4"/>
      <c r="F173" s="4"/>
      <c r="G173" s="6"/>
      <c r="H173" s="4"/>
      <c r="I173" s="4"/>
      <c r="J173" s="4"/>
      <c r="K173" s="4" t="str">
        <f t="shared" ca="1" si="5"/>
        <v>Sin fecha</v>
      </c>
      <c r="L173" s="8"/>
      <c r="M173" s="8"/>
      <c r="N173" s="4"/>
      <c r="O173" s="4"/>
      <c r="P173" s="4"/>
      <c r="Q173" s="4"/>
      <c r="R173" s="4"/>
      <c r="S173" s="4"/>
      <c r="T173" s="4"/>
      <c r="U173" s="4"/>
      <c r="V173" s="4"/>
      <c r="W173" s="4"/>
      <c r="X173" s="4"/>
      <c r="Y173" s="4"/>
      <c r="Z173" s="4"/>
      <c r="AA173" s="4"/>
      <c r="AB173" s="6"/>
      <c r="AC173" s="4"/>
      <c r="AD173" s="4"/>
    </row>
    <row r="174" spans="1:30">
      <c r="A174" s="4" t="str">
        <f t="shared" si="6"/>
        <v/>
      </c>
      <c r="B174" s="4"/>
      <c r="C174" s="4"/>
      <c r="D174" s="4"/>
      <c r="E174" s="4"/>
      <c r="F174" s="4"/>
      <c r="G174" s="6"/>
      <c r="H174" s="4"/>
      <c r="I174" s="4"/>
      <c r="J174" s="4"/>
      <c r="K174" s="4" t="str">
        <f t="shared" ca="1" si="5"/>
        <v>Sin fecha</v>
      </c>
      <c r="L174" s="8"/>
      <c r="M174" s="8"/>
      <c r="N174" s="4"/>
      <c r="O174" s="4"/>
      <c r="P174" s="4"/>
      <c r="Q174" s="4"/>
      <c r="R174" s="4"/>
      <c r="S174" s="4"/>
      <c r="T174" s="4"/>
      <c r="U174" s="4"/>
      <c r="V174" s="4"/>
      <c r="W174" s="4"/>
      <c r="X174" s="4"/>
      <c r="Y174" s="4"/>
      <c r="Z174" s="4"/>
      <c r="AA174" s="4"/>
      <c r="AB174" s="6"/>
      <c r="AC174" s="4"/>
      <c r="AD174" s="4"/>
    </row>
    <row r="175" spans="1:30">
      <c r="A175" s="4" t="str">
        <f t="shared" si="6"/>
        <v/>
      </c>
      <c r="B175" s="4"/>
      <c r="C175" s="4"/>
      <c r="D175" s="4"/>
      <c r="E175" s="4"/>
      <c r="F175" s="4"/>
      <c r="G175" s="6"/>
      <c r="H175" s="4"/>
      <c r="I175" s="4"/>
      <c r="J175" s="4"/>
      <c r="K175" s="4" t="str">
        <f t="shared" ca="1" si="5"/>
        <v>Sin fecha</v>
      </c>
      <c r="L175" s="8"/>
      <c r="M175" s="8"/>
      <c r="N175" s="4"/>
      <c r="O175" s="4"/>
      <c r="P175" s="4"/>
      <c r="Q175" s="4"/>
      <c r="R175" s="4"/>
      <c r="S175" s="4"/>
      <c r="T175" s="4"/>
      <c r="U175" s="4"/>
      <c r="V175" s="4"/>
      <c r="W175" s="4"/>
      <c r="X175" s="4"/>
      <c r="Y175" s="4"/>
      <c r="Z175" s="4"/>
      <c r="AA175" s="4"/>
      <c r="AB175" s="6"/>
      <c r="AC175" s="4"/>
      <c r="AD175" s="4"/>
    </row>
    <row r="176" spans="1:30">
      <c r="A176" s="4" t="str">
        <f t="shared" si="6"/>
        <v/>
      </c>
      <c r="B176" s="4"/>
      <c r="C176" s="4"/>
      <c r="D176" s="4"/>
      <c r="E176" s="4"/>
      <c r="F176" s="4"/>
      <c r="G176" s="6"/>
      <c r="H176" s="4"/>
      <c r="I176" s="4"/>
      <c r="J176" s="4"/>
      <c r="K176" s="4" t="str">
        <f t="shared" ca="1" si="5"/>
        <v>Sin fecha</v>
      </c>
      <c r="L176" s="8"/>
      <c r="M176" s="8"/>
      <c r="N176" s="4"/>
      <c r="O176" s="4"/>
      <c r="P176" s="4"/>
      <c r="Q176" s="4"/>
      <c r="R176" s="4"/>
      <c r="S176" s="4"/>
      <c r="T176" s="4"/>
      <c r="U176" s="4"/>
      <c r="V176" s="4"/>
      <c r="W176" s="4"/>
      <c r="X176" s="4"/>
      <c r="Y176" s="4"/>
      <c r="Z176" s="4"/>
      <c r="AA176" s="4"/>
      <c r="AB176" s="6"/>
      <c r="AC176" s="4"/>
      <c r="AD176" s="4"/>
    </row>
    <row r="177" spans="1:30">
      <c r="A177" s="4" t="str">
        <f t="shared" si="6"/>
        <v/>
      </c>
      <c r="B177" s="4"/>
      <c r="C177" s="4"/>
      <c r="D177" s="4"/>
      <c r="E177" s="4"/>
      <c r="F177" s="4"/>
      <c r="G177" s="6"/>
      <c r="H177" s="4"/>
      <c r="I177" s="4"/>
      <c r="J177" s="4"/>
      <c r="K177" s="4" t="str">
        <f t="shared" ca="1" si="5"/>
        <v>Sin fecha</v>
      </c>
      <c r="L177" s="8"/>
      <c r="M177" s="8"/>
      <c r="N177" s="4"/>
      <c r="O177" s="4"/>
      <c r="P177" s="4"/>
      <c r="Q177" s="4"/>
      <c r="R177" s="4"/>
      <c r="S177" s="4"/>
      <c r="T177" s="4"/>
      <c r="U177" s="4"/>
      <c r="V177" s="4"/>
      <c r="W177" s="4"/>
      <c r="X177" s="4"/>
      <c r="Y177" s="4"/>
      <c r="Z177" s="4"/>
      <c r="AA177" s="4"/>
      <c r="AB177" s="6"/>
      <c r="AC177" s="4"/>
      <c r="AD177" s="4"/>
    </row>
    <row r="178" spans="1:30">
      <c r="A178" s="4" t="str">
        <f t="shared" si="6"/>
        <v/>
      </c>
      <c r="B178" s="4"/>
      <c r="C178" s="4"/>
      <c r="D178" s="4"/>
      <c r="E178" s="4"/>
      <c r="F178" s="4"/>
      <c r="G178" s="6"/>
      <c r="H178" s="4"/>
      <c r="I178" s="4"/>
      <c r="J178" s="4"/>
      <c r="K178" s="4" t="str">
        <f t="shared" ca="1" si="5"/>
        <v>Sin fecha</v>
      </c>
      <c r="L178" s="8"/>
      <c r="M178" s="8"/>
      <c r="N178" s="4"/>
      <c r="O178" s="4"/>
      <c r="P178" s="4"/>
      <c r="Q178" s="4"/>
      <c r="R178" s="4"/>
      <c r="S178" s="4"/>
      <c r="T178" s="4"/>
      <c r="U178" s="4"/>
      <c r="V178" s="4"/>
      <c r="W178" s="4"/>
      <c r="X178" s="4"/>
      <c r="Y178" s="4"/>
      <c r="Z178" s="4"/>
      <c r="AA178" s="4"/>
      <c r="AB178" s="6"/>
      <c r="AC178" s="4"/>
      <c r="AD178" s="4"/>
    </row>
    <row r="179" spans="1:30">
      <c r="A179" s="4" t="str">
        <f t="shared" si="6"/>
        <v/>
      </c>
      <c r="B179" s="4"/>
      <c r="C179" s="4"/>
      <c r="D179" s="4"/>
      <c r="E179" s="4"/>
      <c r="F179" s="4"/>
      <c r="G179" s="6"/>
      <c r="H179" s="4"/>
      <c r="I179" s="4"/>
      <c r="J179" s="4"/>
      <c r="K179" s="4" t="str">
        <f t="shared" ca="1" si="5"/>
        <v>Sin fecha</v>
      </c>
      <c r="L179" s="8"/>
      <c r="M179" s="8"/>
      <c r="N179" s="4"/>
      <c r="O179" s="4"/>
      <c r="P179" s="4"/>
      <c r="Q179" s="4"/>
      <c r="R179" s="4"/>
      <c r="S179" s="4"/>
      <c r="T179" s="4"/>
      <c r="U179" s="4"/>
      <c r="V179" s="4"/>
      <c r="W179" s="4"/>
      <c r="X179" s="4"/>
      <c r="Y179" s="4"/>
      <c r="Z179" s="4"/>
      <c r="AA179" s="4"/>
      <c r="AB179" s="6"/>
      <c r="AC179" s="4"/>
      <c r="AD179" s="4"/>
    </row>
    <row r="180" spans="1:30">
      <c r="A180" s="4" t="str">
        <f t="shared" si="6"/>
        <v/>
      </c>
      <c r="B180" s="4"/>
      <c r="C180" s="4"/>
      <c r="D180" s="4"/>
      <c r="E180" s="4"/>
      <c r="F180" s="4"/>
      <c r="G180" s="6"/>
      <c r="H180" s="4"/>
      <c r="I180" s="4"/>
      <c r="J180" s="4"/>
      <c r="K180" s="4" t="str">
        <f t="shared" ca="1" si="5"/>
        <v>Sin fecha</v>
      </c>
      <c r="L180" s="8"/>
      <c r="M180" s="8"/>
      <c r="N180" s="4"/>
      <c r="O180" s="4"/>
      <c r="P180" s="4"/>
      <c r="Q180" s="4"/>
      <c r="R180" s="4"/>
      <c r="S180" s="4"/>
      <c r="T180" s="4"/>
      <c r="U180" s="4"/>
      <c r="V180" s="4"/>
      <c r="W180" s="4"/>
      <c r="X180" s="4"/>
      <c r="Y180" s="4"/>
      <c r="Z180" s="4"/>
      <c r="AA180" s="4"/>
      <c r="AB180" s="6"/>
      <c r="AC180" s="4"/>
      <c r="AD180" s="4"/>
    </row>
    <row r="181" spans="1:30">
      <c r="A181" s="4" t="str">
        <f t="shared" si="6"/>
        <v/>
      </c>
      <c r="B181" s="4"/>
      <c r="C181" s="4"/>
      <c r="D181" s="4"/>
      <c r="E181" s="4"/>
      <c r="F181" s="4"/>
      <c r="G181" s="6"/>
      <c r="H181" s="4"/>
      <c r="I181" s="4"/>
      <c r="J181" s="4"/>
      <c r="K181" s="4" t="str">
        <f t="shared" ca="1" si="5"/>
        <v>Sin fecha</v>
      </c>
      <c r="L181" s="8"/>
      <c r="M181" s="8"/>
      <c r="N181" s="4"/>
      <c r="O181" s="4"/>
      <c r="P181" s="4"/>
      <c r="Q181" s="4"/>
      <c r="R181" s="4"/>
      <c r="S181" s="4"/>
      <c r="T181" s="4"/>
      <c r="U181" s="4"/>
      <c r="V181" s="4"/>
      <c r="W181" s="4"/>
      <c r="X181" s="4"/>
      <c r="Y181" s="4"/>
      <c r="Z181" s="4"/>
      <c r="AA181" s="4"/>
      <c r="AB181" s="6"/>
      <c r="AC181" s="4"/>
      <c r="AD181" s="4"/>
    </row>
    <row r="182" spans="1:30">
      <c r="A182" s="4" t="str">
        <f t="shared" si="6"/>
        <v/>
      </c>
      <c r="B182" s="4"/>
      <c r="C182" s="4"/>
      <c r="D182" s="4"/>
      <c r="E182" s="4"/>
      <c r="F182" s="4"/>
      <c r="G182" s="6"/>
      <c r="H182" s="4"/>
      <c r="I182" s="4"/>
      <c r="J182" s="4"/>
      <c r="K182" s="4" t="str">
        <f t="shared" ca="1" si="5"/>
        <v>Sin fecha</v>
      </c>
      <c r="L182" s="8"/>
      <c r="M182" s="8"/>
      <c r="N182" s="4"/>
      <c r="O182" s="4"/>
      <c r="P182" s="4"/>
      <c r="Q182" s="4"/>
      <c r="R182" s="4"/>
      <c r="S182" s="4"/>
      <c r="T182" s="4"/>
      <c r="U182" s="4"/>
      <c r="V182" s="4"/>
      <c r="W182" s="4"/>
      <c r="X182" s="4"/>
      <c r="Y182" s="4"/>
      <c r="Z182" s="4"/>
      <c r="AA182" s="4"/>
      <c r="AB182" s="6"/>
      <c r="AC182" s="4"/>
      <c r="AD182" s="4"/>
    </row>
    <row r="183" spans="1:30">
      <c r="A183" s="4" t="str">
        <f t="shared" si="6"/>
        <v/>
      </c>
      <c r="B183" s="4"/>
      <c r="C183" s="4"/>
      <c r="D183" s="4"/>
      <c r="E183" s="4"/>
      <c r="F183" s="4"/>
      <c r="G183" s="6"/>
      <c r="H183" s="4"/>
      <c r="I183" s="4"/>
      <c r="J183" s="4"/>
      <c r="K183" s="4" t="str">
        <f t="shared" ca="1" si="5"/>
        <v>Sin fecha</v>
      </c>
      <c r="L183" s="8"/>
      <c r="M183" s="8"/>
      <c r="N183" s="4"/>
      <c r="O183" s="4"/>
      <c r="P183" s="4"/>
      <c r="Q183" s="4"/>
      <c r="R183" s="4"/>
      <c r="S183" s="4"/>
      <c r="T183" s="4"/>
      <c r="U183" s="4"/>
      <c r="V183" s="4"/>
      <c r="W183" s="4"/>
      <c r="X183" s="4"/>
      <c r="Y183" s="4"/>
      <c r="Z183" s="4"/>
      <c r="AA183" s="4"/>
      <c r="AB183" s="6"/>
      <c r="AC183" s="4"/>
      <c r="AD183" s="4"/>
    </row>
    <row r="184" spans="1:30">
      <c r="A184" s="4" t="str">
        <f t="shared" si="6"/>
        <v/>
      </c>
      <c r="B184" s="4"/>
      <c r="C184" s="4"/>
      <c r="D184" s="4"/>
      <c r="E184" s="4"/>
      <c r="F184" s="4"/>
      <c r="G184" s="6"/>
      <c r="H184" s="4"/>
      <c r="I184" s="4"/>
      <c r="J184" s="4"/>
      <c r="K184" s="4" t="str">
        <f t="shared" ca="1" si="5"/>
        <v>Sin fecha</v>
      </c>
      <c r="L184" s="8"/>
      <c r="M184" s="8"/>
      <c r="N184" s="4"/>
      <c r="O184" s="4"/>
      <c r="P184" s="4"/>
      <c r="Q184" s="4"/>
      <c r="R184" s="4"/>
      <c r="S184" s="4"/>
      <c r="T184" s="4"/>
      <c r="U184" s="4"/>
      <c r="V184" s="4"/>
      <c r="W184" s="4"/>
      <c r="X184" s="4"/>
      <c r="Y184" s="4"/>
      <c r="Z184" s="4"/>
      <c r="AA184" s="4"/>
      <c r="AB184" s="6"/>
      <c r="AC184" s="4"/>
      <c r="AD184" s="4"/>
    </row>
    <row r="185" spans="1:30">
      <c r="A185" s="4" t="str">
        <f t="shared" si="6"/>
        <v/>
      </c>
      <c r="B185" s="4"/>
      <c r="C185" s="4"/>
      <c r="D185" s="4"/>
      <c r="E185" s="4"/>
      <c r="F185" s="4"/>
      <c r="G185" s="6"/>
      <c r="H185" s="4"/>
      <c r="I185" s="4"/>
      <c r="J185" s="4"/>
      <c r="K185" s="4" t="str">
        <f t="shared" ca="1" si="5"/>
        <v>Sin fecha</v>
      </c>
      <c r="L185" s="8"/>
      <c r="M185" s="8"/>
      <c r="N185" s="4"/>
      <c r="O185" s="4"/>
      <c r="P185" s="4"/>
      <c r="Q185" s="4"/>
      <c r="R185" s="4"/>
      <c r="S185" s="4"/>
      <c r="T185" s="4"/>
      <c r="U185" s="4"/>
      <c r="V185" s="4"/>
      <c r="W185" s="4"/>
      <c r="X185" s="4"/>
      <c r="Y185" s="4"/>
      <c r="Z185" s="4"/>
      <c r="AA185" s="4"/>
      <c r="AB185" s="6"/>
      <c r="AC185" s="4"/>
      <c r="AD185" s="4"/>
    </row>
    <row r="186" spans="1:30">
      <c r="A186" s="4" t="str">
        <f t="shared" si="6"/>
        <v/>
      </c>
      <c r="B186" s="4"/>
      <c r="C186" s="4"/>
      <c r="D186" s="4"/>
      <c r="E186" s="4"/>
      <c r="F186" s="4"/>
      <c r="G186" s="6"/>
      <c r="H186" s="4"/>
      <c r="I186" s="4"/>
      <c r="J186" s="4"/>
      <c r="K186" s="4" t="str">
        <f t="shared" ca="1" si="5"/>
        <v>Sin fecha</v>
      </c>
      <c r="L186" s="8"/>
      <c r="M186" s="8"/>
      <c r="N186" s="4"/>
      <c r="O186" s="4"/>
      <c r="P186" s="4"/>
      <c r="Q186" s="4"/>
      <c r="R186" s="4"/>
      <c r="S186" s="4"/>
      <c r="T186" s="4"/>
      <c r="U186" s="4"/>
      <c r="V186" s="4"/>
      <c r="W186" s="4"/>
      <c r="X186" s="4"/>
      <c r="Y186" s="4"/>
      <c r="Z186" s="4"/>
      <c r="AA186" s="4"/>
      <c r="AB186" s="6"/>
      <c r="AC186" s="4"/>
      <c r="AD186" s="4"/>
    </row>
    <row r="187" spans="1:30">
      <c r="A187" s="4" t="str">
        <f t="shared" si="6"/>
        <v/>
      </c>
      <c r="B187" s="4"/>
      <c r="C187" s="4"/>
      <c r="D187" s="4"/>
      <c r="E187" s="4"/>
      <c r="F187" s="4"/>
      <c r="G187" s="6"/>
      <c r="H187" s="4"/>
      <c r="I187" s="4"/>
      <c r="J187" s="4"/>
      <c r="K187" s="4" t="str">
        <f t="shared" ca="1" si="5"/>
        <v>Sin fecha</v>
      </c>
      <c r="L187" s="8"/>
      <c r="M187" s="8"/>
      <c r="N187" s="4"/>
      <c r="O187" s="4"/>
      <c r="P187" s="4"/>
      <c r="Q187" s="4"/>
      <c r="R187" s="4"/>
      <c r="S187" s="4"/>
      <c r="T187" s="4"/>
      <c r="U187" s="4"/>
      <c r="V187" s="4"/>
      <c r="W187" s="4"/>
      <c r="X187" s="4"/>
      <c r="Y187" s="4"/>
      <c r="Z187" s="4"/>
      <c r="AA187" s="4"/>
      <c r="AB187" s="6"/>
      <c r="AC187" s="4"/>
      <c r="AD187" s="4"/>
    </row>
    <row r="188" spans="1:30">
      <c r="A188" s="4" t="str">
        <f t="shared" si="6"/>
        <v/>
      </c>
      <c r="B188" s="4"/>
      <c r="C188" s="4"/>
      <c r="D188" s="4"/>
      <c r="E188" s="4"/>
      <c r="F188" s="4"/>
      <c r="G188" s="6"/>
      <c r="H188" s="4"/>
      <c r="I188" s="4"/>
      <c r="J188" s="4"/>
      <c r="K188" s="4" t="str">
        <f t="shared" ca="1" si="5"/>
        <v>Sin fecha</v>
      </c>
      <c r="L188" s="8"/>
      <c r="M188" s="8"/>
      <c r="N188" s="4"/>
      <c r="O188" s="4"/>
      <c r="P188" s="4"/>
      <c r="Q188" s="4"/>
      <c r="R188" s="4"/>
      <c r="S188" s="4"/>
      <c r="T188" s="4"/>
      <c r="U188" s="4"/>
      <c r="V188" s="4"/>
      <c r="W188" s="4"/>
      <c r="X188" s="4"/>
      <c r="Y188" s="4"/>
      <c r="Z188" s="4"/>
      <c r="AA188" s="4"/>
      <c r="AB188" s="6"/>
      <c r="AC188" s="4"/>
      <c r="AD188" s="4"/>
    </row>
    <row r="189" spans="1:30">
      <c r="A189" s="4" t="str">
        <f t="shared" si="6"/>
        <v/>
      </c>
      <c r="B189" s="4"/>
      <c r="C189" s="4"/>
      <c r="D189" s="4"/>
      <c r="E189" s="4"/>
      <c r="F189" s="4"/>
      <c r="G189" s="6"/>
      <c r="H189" s="4"/>
      <c r="I189" s="4"/>
      <c r="J189" s="4"/>
      <c r="K189" s="4" t="str">
        <f t="shared" ca="1" si="5"/>
        <v>Sin fecha</v>
      </c>
      <c r="L189" s="8"/>
      <c r="M189" s="8"/>
      <c r="N189" s="4"/>
      <c r="O189" s="4"/>
      <c r="P189" s="4"/>
      <c r="Q189" s="4"/>
      <c r="R189" s="4"/>
      <c r="S189" s="4"/>
      <c r="T189" s="4"/>
      <c r="U189" s="4"/>
      <c r="V189" s="4"/>
      <c r="W189" s="4"/>
      <c r="X189" s="4"/>
      <c r="Y189" s="4"/>
      <c r="Z189" s="4"/>
      <c r="AA189" s="4"/>
      <c r="AB189" s="6"/>
      <c r="AC189" s="4"/>
      <c r="AD189" s="4"/>
    </row>
    <row r="190" spans="1:30">
      <c r="A190" s="4" t="str">
        <f t="shared" si="6"/>
        <v/>
      </c>
      <c r="B190" s="4"/>
      <c r="C190" s="4"/>
      <c r="D190" s="4"/>
      <c r="E190" s="4"/>
      <c r="F190" s="4"/>
      <c r="G190" s="6"/>
      <c r="H190" s="4"/>
      <c r="I190" s="4"/>
      <c r="J190" s="4"/>
      <c r="K190" s="4" t="str">
        <f t="shared" ca="1" si="5"/>
        <v>Sin fecha</v>
      </c>
      <c r="L190" s="8"/>
      <c r="M190" s="8"/>
      <c r="N190" s="4"/>
      <c r="O190" s="4"/>
      <c r="P190" s="4"/>
      <c r="Q190" s="4"/>
      <c r="R190" s="4"/>
      <c r="S190" s="4"/>
      <c r="T190" s="4"/>
      <c r="U190" s="4"/>
      <c r="V190" s="4"/>
      <c r="W190" s="4"/>
      <c r="X190" s="4"/>
      <c r="Y190" s="4"/>
      <c r="Z190" s="4"/>
      <c r="AA190" s="4"/>
      <c r="AB190" s="6"/>
      <c r="AC190" s="4"/>
      <c r="AD190" s="4"/>
    </row>
    <row r="191" spans="1:30">
      <c r="A191" s="4" t="str">
        <f t="shared" si="6"/>
        <v/>
      </c>
      <c r="B191" s="4"/>
      <c r="C191" s="4"/>
      <c r="D191" s="4"/>
      <c r="E191" s="4"/>
      <c r="F191" s="4"/>
      <c r="G191" s="6"/>
      <c r="H191" s="4"/>
      <c r="I191" s="4"/>
      <c r="J191" s="4"/>
      <c r="K191" s="4" t="str">
        <f t="shared" ca="1" si="5"/>
        <v>Sin fecha</v>
      </c>
      <c r="L191" s="8"/>
      <c r="M191" s="8"/>
      <c r="N191" s="4"/>
      <c r="O191" s="4"/>
      <c r="P191" s="4"/>
      <c r="Q191" s="4"/>
      <c r="R191" s="4"/>
      <c r="S191" s="4"/>
      <c r="T191" s="4"/>
      <c r="U191" s="4"/>
      <c r="V191" s="4"/>
      <c r="W191" s="4"/>
      <c r="X191" s="4"/>
      <c r="Y191" s="4"/>
      <c r="Z191" s="4"/>
      <c r="AA191" s="4"/>
      <c r="AB191" s="6"/>
      <c r="AC191" s="4"/>
      <c r="AD191" s="4"/>
    </row>
    <row r="192" spans="1:30">
      <c r="A192" s="4" t="str">
        <f t="shared" si="6"/>
        <v/>
      </c>
      <c r="B192" s="4"/>
      <c r="C192" s="4"/>
      <c r="D192" s="4"/>
      <c r="E192" s="4"/>
      <c r="F192" s="4"/>
      <c r="G192" s="6"/>
      <c r="H192" s="4"/>
      <c r="I192" s="4"/>
      <c r="J192" s="4"/>
      <c r="K192" s="4" t="str">
        <f t="shared" ref="K192:K255" ca="1" si="7">IF(J192="Cerrada","Cerrada",IF(J192="Suspendida","Suspendida",IF(G192="","Sin fecha",IF(G192&lt;TODAY(),"Vencida",IF(G192-TODAY()&lt;=30,"Próxima a vencer","Abierta")))))</f>
        <v>Sin fecha</v>
      </c>
      <c r="L192" s="8"/>
      <c r="M192" s="8"/>
      <c r="N192" s="4"/>
      <c r="O192" s="4"/>
      <c r="P192" s="4"/>
      <c r="Q192" s="4"/>
      <c r="R192" s="4"/>
      <c r="S192" s="4"/>
      <c r="T192" s="4"/>
      <c r="U192" s="4"/>
      <c r="V192" s="4"/>
      <c r="W192" s="4"/>
      <c r="X192" s="4"/>
      <c r="Y192" s="4"/>
      <c r="Z192" s="4"/>
      <c r="AA192" s="4"/>
      <c r="AB192" s="6"/>
      <c r="AC192" s="4"/>
      <c r="AD192" s="4"/>
    </row>
    <row r="193" spans="1:30">
      <c r="A193" s="4" t="str">
        <f t="shared" ref="A193:A256" si="8">IF(C193="","","OP-"&amp;TEXT(ROW()-1,"0000"))</f>
        <v/>
      </c>
      <c r="B193" s="4"/>
      <c r="C193" s="4"/>
      <c r="D193" s="4"/>
      <c r="E193" s="4"/>
      <c r="F193" s="4"/>
      <c r="G193" s="6"/>
      <c r="H193" s="4"/>
      <c r="I193" s="4"/>
      <c r="J193" s="4"/>
      <c r="K193" s="4" t="str">
        <f t="shared" ca="1" si="7"/>
        <v>Sin fecha</v>
      </c>
      <c r="L193" s="8"/>
      <c r="M193" s="8"/>
      <c r="N193" s="4"/>
      <c r="O193" s="4"/>
      <c r="P193" s="4"/>
      <c r="Q193" s="4"/>
      <c r="R193" s="4"/>
      <c r="S193" s="4"/>
      <c r="T193" s="4"/>
      <c r="U193" s="4"/>
      <c r="V193" s="4"/>
      <c r="W193" s="4"/>
      <c r="X193" s="4"/>
      <c r="Y193" s="4"/>
      <c r="Z193" s="4"/>
      <c r="AA193" s="4"/>
      <c r="AB193" s="6"/>
      <c r="AC193" s="4"/>
      <c r="AD193" s="4"/>
    </row>
    <row r="194" spans="1:30">
      <c r="A194" s="4" t="str">
        <f t="shared" si="8"/>
        <v/>
      </c>
      <c r="B194" s="4"/>
      <c r="C194" s="4"/>
      <c r="D194" s="4"/>
      <c r="E194" s="4"/>
      <c r="F194" s="4"/>
      <c r="G194" s="6"/>
      <c r="H194" s="4"/>
      <c r="I194" s="4"/>
      <c r="J194" s="4"/>
      <c r="K194" s="4" t="str">
        <f t="shared" ca="1" si="7"/>
        <v>Sin fecha</v>
      </c>
      <c r="L194" s="8"/>
      <c r="M194" s="8"/>
      <c r="N194" s="4"/>
      <c r="O194" s="4"/>
      <c r="P194" s="4"/>
      <c r="Q194" s="4"/>
      <c r="R194" s="4"/>
      <c r="S194" s="4"/>
      <c r="T194" s="4"/>
      <c r="U194" s="4"/>
      <c r="V194" s="4"/>
      <c r="W194" s="4"/>
      <c r="X194" s="4"/>
      <c r="Y194" s="4"/>
      <c r="Z194" s="4"/>
      <c r="AA194" s="4"/>
      <c r="AB194" s="6"/>
      <c r="AC194" s="4"/>
      <c r="AD194" s="4"/>
    </row>
    <row r="195" spans="1:30">
      <c r="A195" s="4" t="str">
        <f t="shared" si="8"/>
        <v/>
      </c>
      <c r="B195" s="4"/>
      <c r="C195" s="4"/>
      <c r="D195" s="4"/>
      <c r="E195" s="4"/>
      <c r="F195" s="4"/>
      <c r="G195" s="6"/>
      <c r="H195" s="4"/>
      <c r="I195" s="4"/>
      <c r="J195" s="4"/>
      <c r="K195" s="4" t="str">
        <f t="shared" ca="1" si="7"/>
        <v>Sin fecha</v>
      </c>
      <c r="L195" s="8"/>
      <c r="M195" s="8"/>
      <c r="N195" s="4"/>
      <c r="O195" s="4"/>
      <c r="P195" s="4"/>
      <c r="Q195" s="4"/>
      <c r="R195" s="4"/>
      <c r="S195" s="4"/>
      <c r="T195" s="4"/>
      <c r="U195" s="4"/>
      <c r="V195" s="4"/>
      <c r="W195" s="4"/>
      <c r="X195" s="4"/>
      <c r="Y195" s="4"/>
      <c r="Z195" s="4"/>
      <c r="AA195" s="4"/>
      <c r="AB195" s="6"/>
      <c r="AC195" s="4"/>
      <c r="AD195" s="4"/>
    </row>
    <row r="196" spans="1:30">
      <c r="A196" s="4" t="str">
        <f t="shared" si="8"/>
        <v/>
      </c>
      <c r="B196" s="4"/>
      <c r="C196" s="4"/>
      <c r="D196" s="4"/>
      <c r="E196" s="4"/>
      <c r="F196" s="4"/>
      <c r="G196" s="6"/>
      <c r="H196" s="4"/>
      <c r="I196" s="4"/>
      <c r="J196" s="4"/>
      <c r="K196" s="4" t="str">
        <f t="shared" ca="1" si="7"/>
        <v>Sin fecha</v>
      </c>
      <c r="L196" s="8"/>
      <c r="M196" s="8"/>
      <c r="N196" s="4"/>
      <c r="O196" s="4"/>
      <c r="P196" s="4"/>
      <c r="Q196" s="4"/>
      <c r="R196" s="4"/>
      <c r="S196" s="4"/>
      <c r="T196" s="4"/>
      <c r="U196" s="4"/>
      <c r="V196" s="4"/>
      <c r="W196" s="4"/>
      <c r="X196" s="4"/>
      <c r="Y196" s="4"/>
      <c r="Z196" s="4"/>
      <c r="AA196" s="4"/>
      <c r="AB196" s="6"/>
      <c r="AC196" s="4"/>
      <c r="AD196" s="4"/>
    </row>
    <row r="197" spans="1:30">
      <c r="A197" s="4" t="str">
        <f t="shared" si="8"/>
        <v/>
      </c>
      <c r="B197" s="4"/>
      <c r="C197" s="4"/>
      <c r="D197" s="4"/>
      <c r="E197" s="4"/>
      <c r="F197" s="4"/>
      <c r="G197" s="6"/>
      <c r="H197" s="4"/>
      <c r="I197" s="4"/>
      <c r="J197" s="4"/>
      <c r="K197" s="4" t="str">
        <f t="shared" ca="1" si="7"/>
        <v>Sin fecha</v>
      </c>
      <c r="L197" s="8"/>
      <c r="M197" s="8"/>
      <c r="N197" s="4"/>
      <c r="O197" s="4"/>
      <c r="P197" s="4"/>
      <c r="Q197" s="4"/>
      <c r="R197" s="4"/>
      <c r="S197" s="4"/>
      <c r="T197" s="4"/>
      <c r="U197" s="4"/>
      <c r="V197" s="4"/>
      <c r="W197" s="4"/>
      <c r="X197" s="4"/>
      <c r="Y197" s="4"/>
      <c r="Z197" s="4"/>
      <c r="AA197" s="4"/>
      <c r="AB197" s="6"/>
      <c r="AC197" s="4"/>
      <c r="AD197" s="4"/>
    </row>
    <row r="198" spans="1:30">
      <c r="A198" s="4" t="str">
        <f t="shared" si="8"/>
        <v/>
      </c>
      <c r="B198" s="4"/>
      <c r="C198" s="4"/>
      <c r="D198" s="4"/>
      <c r="E198" s="4"/>
      <c r="F198" s="4"/>
      <c r="G198" s="6"/>
      <c r="H198" s="4"/>
      <c r="I198" s="4"/>
      <c r="J198" s="4"/>
      <c r="K198" s="4" t="str">
        <f t="shared" ca="1" si="7"/>
        <v>Sin fecha</v>
      </c>
      <c r="L198" s="8"/>
      <c r="M198" s="8"/>
      <c r="N198" s="4"/>
      <c r="O198" s="4"/>
      <c r="P198" s="4"/>
      <c r="Q198" s="4"/>
      <c r="R198" s="4"/>
      <c r="S198" s="4"/>
      <c r="T198" s="4"/>
      <c r="U198" s="4"/>
      <c r="V198" s="4"/>
      <c r="W198" s="4"/>
      <c r="X198" s="4"/>
      <c r="Y198" s="4"/>
      <c r="Z198" s="4"/>
      <c r="AA198" s="4"/>
      <c r="AB198" s="6"/>
      <c r="AC198" s="4"/>
      <c r="AD198" s="4"/>
    </row>
    <row r="199" spans="1:30">
      <c r="A199" s="4" t="str">
        <f t="shared" si="8"/>
        <v/>
      </c>
      <c r="B199" s="4"/>
      <c r="C199" s="4"/>
      <c r="D199" s="4"/>
      <c r="E199" s="4"/>
      <c r="F199" s="4"/>
      <c r="G199" s="6"/>
      <c r="H199" s="4"/>
      <c r="I199" s="4"/>
      <c r="J199" s="4"/>
      <c r="K199" s="4" t="str">
        <f t="shared" ca="1" si="7"/>
        <v>Sin fecha</v>
      </c>
      <c r="L199" s="8"/>
      <c r="M199" s="8"/>
      <c r="N199" s="4"/>
      <c r="O199" s="4"/>
      <c r="P199" s="4"/>
      <c r="Q199" s="4"/>
      <c r="R199" s="4"/>
      <c r="S199" s="4"/>
      <c r="T199" s="4"/>
      <c r="U199" s="4"/>
      <c r="V199" s="4"/>
      <c r="W199" s="4"/>
      <c r="X199" s="4"/>
      <c r="Y199" s="4"/>
      <c r="Z199" s="4"/>
      <c r="AA199" s="4"/>
      <c r="AB199" s="6"/>
      <c r="AC199" s="4"/>
      <c r="AD199" s="4"/>
    </row>
    <row r="200" spans="1:30">
      <c r="A200" s="4" t="str">
        <f t="shared" si="8"/>
        <v/>
      </c>
      <c r="B200" s="4"/>
      <c r="C200" s="4"/>
      <c r="D200" s="4"/>
      <c r="E200" s="4"/>
      <c r="F200" s="4"/>
      <c r="G200" s="6"/>
      <c r="H200" s="4"/>
      <c r="I200" s="4"/>
      <c r="J200" s="4"/>
      <c r="K200" s="4" t="str">
        <f t="shared" ca="1" si="7"/>
        <v>Sin fecha</v>
      </c>
      <c r="L200" s="8"/>
      <c r="M200" s="8"/>
      <c r="N200" s="4"/>
      <c r="O200" s="4"/>
      <c r="P200" s="4"/>
      <c r="Q200" s="4"/>
      <c r="R200" s="4"/>
      <c r="S200" s="4"/>
      <c r="T200" s="4"/>
      <c r="U200" s="4"/>
      <c r="V200" s="4"/>
      <c r="W200" s="4"/>
      <c r="X200" s="4"/>
      <c r="Y200" s="4"/>
      <c r="Z200" s="4"/>
      <c r="AA200" s="4"/>
      <c r="AB200" s="6"/>
      <c r="AC200" s="4"/>
      <c r="AD200" s="4"/>
    </row>
    <row r="201" spans="1:30">
      <c r="A201" s="4" t="str">
        <f t="shared" si="8"/>
        <v/>
      </c>
      <c r="B201" s="4"/>
      <c r="C201" s="4"/>
      <c r="D201" s="4"/>
      <c r="E201" s="4"/>
      <c r="F201" s="4"/>
      <c r="G201" s="6"/>
      <c r="H201" s="4"/>
      <c r="I201" s="4"/>
      <c r="J201" s="4"/>
      <c r="K201" s="4" t="str">
        <f t="shared" ca="1" si="7"/>
        <v>Sin fecha</v>
      </c>
      <c r="L201" s="8"/>
      <c r="M201" s="8"/>
      <c r="N201" s="4"/>
      <c r="O201" s="4"/>
      <c r="P201" s="4"/>
      <c r="Q201" s="4"/>
      <c r="R201" s="4"/>
      <c r="S201" s="4"/>
      <c r="T201" s="4"/>
      <c r="U201" s="4"/>
      <c r="V201" s="4"/>
      <c r="W201" s="4"/>
      <c r="X201" s="4"/>
      <c r="Y201" s="4"/>
      <c r="Z201" s="4"/>
      <c r="AA201" s="4"/>
      <c r="AB201" s="6"/>
      <c r="AC201" s="4"/>
      <c r="AD201" s="4"/>
    </row>
    <row r="202" spans="1:30">
      <c r="A202" s="4" t="str">
        <f t="shared" si="8"/>
        <v/>
      </c>
      <c r="B202" s="4"/>
      <c r="C202" s="4"/>
      <c r="D202" s="4"/>
      <c r="E202" s="4"/>
      <c r="F202" s="4"/>
      <c r="G202" s="6"/>
      <c r="H202" s="4"/>
      <c r="I202" s="4"/>
      <c r="J202" s="4"/>
      <c r="K202" s="4" t="str">
        <f t="shared" ca="1" si="7"/>
        <v>Sin fecha</v>
      </c>
      <c r="L202" s="8"/>
      <c r="M202" s="8"/>
      <c r="N202" s="4"/>
      <c r="O202" s="4"/>
      <c r="P202" s="4"/>
      <c r="Q202" s="4"/>
      <c r="R202" s="4"/>
      <c r="S202" s="4"/>
      <c r="T202" s="4"/>
      <c r="U202" s="4"/>
      <c r="V202" s="4"/>
      <c r="W202" s="4"/>
      <c r="X202" s="4"/>
      <c r="Y202" s="4"/>
      <c r="Z202" s="4"/>
      <c r="AA202" s="4"/>
      <c r="AB202" s="6"/>
      <c r="AC202" s="4"/>
      <c r="AD202" s="4"/>
    </row>
    <row r="203" spans="1:30">
      <c r="A203" s="4" t="str">
        <f t="shared" si="8"/>
        <v/>
      </c>
      <c r="B203" s="4"/>
      <c r="C203" s="4"/>
      <c r="D203" s="4"/>
      <c r="E203" s="4"/>
      <c r="F203" s="4"/>
      <c r="G203" s="6"/>
      <c r="H203" s="4"/>
      <c r="I203" s="4"/>
      <c r="J203" s="4"/>
      <c r="K203" s="4" t="str">
        <f t="shared" ca="1" si="7"/>
        <v>Sin fecha</v>
      </c>
      <c r="L203" s="8"/>
      <c r="M203" s="8"/>
      <c r="N203" s="4"/>
      <c r="O203" s="4"/>
      <c r="P203" s="4"/>
      <c r="Q203" s="4"/>
      <c r="R203" s="4"/>
      <c r="S203" s="4"/>
      <c r="T203" s="4"/>
      <c r="U203" s="4"/>
      <c r="V203" s="4"/>
      <c r="W203" s="4"/>
      <c r="X203" s="4"/>
      <c r="Y203" s="4"/>
      <c r="Z203" s="4"/>
      <c r="AA203" s="4"/>
      <c r="AB203" s="6"/>
      <c r="AC203" s="4"/>
      <c r="AD203" s="4"/>
    </row>
    <row r="204" spans="1:30">
      <c r="A204" s="4" t="str">
        <f t="shared" si="8"/>
        <v/>
      </c>
      <c r="B204" s="4"/>
      <c r="C204" s="4"/>
      <c r="D204" s="4"/>
      <c r="E204" s="4"/>
      <c r="F204" s="4"/>
      <c r="G204" s="6"/>
      <c r="H204" s="4"/>
      <c r="I204" s="4"/>
      <c r="J204" s="4"/>
      <c r="K204" s="4" t="str">
        <f t="shared" ca="1" si="7"/>
        <v>Sin fecha</v>
      </c>
      <c r="L204" s="8"/>
      <c r="M204" s="8"/>
      <c r="N204" s="4"/>
      <c r="O204" s="4"/>
      <c r="P204" s="4"/>
      <c r="Q204" s="4"/>
      <c r="R204" s="4"/>
      <c r="S204" s="4"/>
      <c r="T204" s="4"/>
      <c r="U204" s="4"/>
      <c r="V204" s="4"/>
      <c r="W204" s="4"/>
      <c r="X204" s="4"/>
      <c r="Y204" s="4"/>
      <c r="Z204" s="4"/>
      <c r="AA204" s="4"/>
      <c r="AB204" s="6"/>
      <c r="AC204" s="4"/>
      <c r="AD204" s="4"/>
    </row>
    <row r="205" spans="1:30">
      <c r="A205" s="4" t="str">
        <f t="shared" si="8"/>
        <v/>
      </c>
      <c r="B205" s="4"/>
      <c r="C205" s="4"/>
      <c r="D205" s="4"/>
      <c r="E205" s="4"/>
      <c r="F205" s="4"/>
      <c r="G205" s="6"/>
      <c r="H205" s="4"/>
      <c r="I205" s="4"/>
      <c r="J205" s="4"/>
      <c r="K205" s="4" t="str">
        <f t="shared" ca="1" si="7"/>
        <v>Sin fecha</v>
      </c>
      <c r="L205" s="8"/>
      <c r="M205" s="8"/>
      <c r="N205" s="4"/>
      <c r="O205" s="4"/>
      <c r="P205" s="4"/>
      <c r="Q205" s="4"/>
      <c r="R205" s="4"/>
      <c r="S205" s="4"/>
      <c r="T205" s="4"/>
      <c r="U205" s="4"/>
      <c r="V205" s="4"/>
      <c r="W205" s="4"/>
      <c r="X205" s="4"/>
      <c r="Y205" s="4"/>
      <c r="Z205" s="4"/>
      <c r="AA205" s="4"/>
      <c r="AB205" s="6"/>
      <c r="AC205" s="4"/>
      <c r="AD205" s="4"/>
    </row>
    <row r="206" spans="1:30">
      <c r="A206" s="4" t="str">
        <f t="shared" si="8"/>
        <v/>
      </c>
      <c r="B206" s="4"/>
      <c r="C206" s="4"/>
      <c r="D206" s="4"/>
      <c r="E206" s="4"/>
      <c r="F206" s="4"/>
      <c r="G206" s="6"/>
      <c r="H206" s="4"/>
      <c r="I206" s="4"/>
      <c r="J206" s="4"/>
      <c r="K206" s="4" t="str">
        <f t="shared" ca="1" si="7"/>
        <v>Sin fecha</v>
      </c>
      <c r="L206" s="8"/>
      <c r="M206" s="8"/>
      <c r="N206" s="4"/>
      <c r="O206" s="4"/>
      <c r="P206" s="4"/>
      <c r="Q206" s="4"/>
      <c r="R206" s="4"/>
      <c r="S206" s="4"/>
      <c r="T206" s="4"/>
      <c r="U206" s="4"/>
      <c r="V206" s="4"/>
      <c r="W206" s="4"/>
      <c r="X206" s="4"/>
      <c r="Y206" s="4"/>
      <c r="Z206" s="4"/>
      <c r="AA206" s="4"/>
      <c r="AB206" s="6"/>
      <c r="AC206" s="4"/>
      <c r="AD206" s="4"/>
    </row>
    <row r="207" spans="1:30">
      <c r="A207" s="4" t="str">
        <f t="shared" si="8"/>
        <v/>
      </c>
      <c r="B207" s="4"/>
      <c r="C207" s="4"/>
      <c r="D207" s="4"/>
      <c r="E207" s="4"/>
      <c r="F207" s="4"/>
      <c r="G207" s="6"/>
      <c r="H207" s="4"/>
      <c r="I207" s="4"/>
      <c r="J207" s="4"/>
      <c r="K207" s="4" t="str">
        <f t="shared" ca="1" si="7"/>
        <v>Sin fecha</v>
      </c>
      <c r="L207" s="8"/>
      <c r="M207" s="8"/>
      <c r="N207" s="4"/>
      <c r="O207" s="4"/>
      <c r="P207" s="4"/>
      <c r="Q207" s="4"/>
      <c r="R207" s="4"/>
      <c r="S207" s="4"/>
      <c r="T207" s="4"/>
      <c r="U207" s="4"/>
      <c r="V207" s="4"/>
      <c r="W207" s="4"/>
      <c r="X207" s="4"/>
      <c r="Y207" s="4"/>
      <c r="Z207" s="4"/>
      <c r="AA207" s="4"/>
      <c r="AB207" s="6"/>
      <c r="AC207" s="4"/>
      <c r="AD207" s="4"/>
    </row>
    <row r="208" spans="1:30">
      <c r="A208" s="4" t="str">
        <f t="shared" si="8"/>
        <v/>
      </c>
      <c r="B208" s="4"/>
      <c r="C208" s="4"/>
      <c r="D208" s="4"/>
      <c r="E208" s="4"/>
      <c r="F208" s="4"/>
      <c r="G208" s="6"/>
      <c r="H208" s="4"/>
      <c r="I208" s="4"/>
      <c r="J208" s="4"/>
      <c r="K208" s="4" t="str">
        <f t="shared" ca="1" si="7"/>
        <v>Sin fecha</v>
      </c>
      <c r="L208" s="8"/>
      <c r="M208" s="8"/>
      <c r="N208" s="4"/>
      <c r="O208" s="4"/>
      <c r="P208" s="4"/>
      <c r="Q208" s="4"/>
      <c r="R208" s="4"/>
      <c r="S208" s="4"/>
      <c r="T208" s="4"/>
      <c r="U208" s="4"/>
      <c r="V208" s="4"/>
      <c r="W208" s="4"/>
      <c r="X208" s="4"/>
      <c r="Y208" s="4"/>
      <c r="Z208" s="4"/>
      <c r="AA208" s="4"/>
      <c r="AB208" s="6"/>
      <c r="AC208" s="4"/>
      <c r="AD208" s="4"/>
    </row>
    <row r="209" spans="1:30">
      <c r="A209" s="4" t="str">
        <f t="shared" si="8"/>
        <v/>
      </c>
      <c r="B209" s="4"/>
      <c r="C209" s="4"/>
      <c r="D209" s="4"/>
      <c r="E209" s="4"/>
      <c r="F209" s="4"/>
      <c r="G209" s="6"/>
      <c r="H209" s="4"/>
      <c r="I209" s="4"/>
      <c r="J209" s="4"/>
      <c r="K209" s="4" t="str">
        <f t="shared" ca="1" si="7"/>
        <v>Sin fecha</v>
      </c>
      <c r="L209" s="8"/>
      <c r="M209" s="8"/>
      <c r="N209" s="4"/>
      <c r="O209" s="4"/>
      <c r="P209" s="4"/>
      <c r="Q209" s="4"/>
      <c r="R209" s="4"/>
      <c r="S209" s="4"/>
      <c r="T209" s="4"/>
      <c r="U209" s="4"/>
      <c r="V209" s="4"/>
      <c r="W209" s="4"/>
      <c r="X209" s="4"/>
      <c r="Y209" s="4"/>
      <c r="Z209" s="4"/>
      <c r="AA209" s="4"/>
      <c r="AB209" s="6"/>
      <c r="AC209" s="4"/>
      <c r="AD209" s="4"/>
    </row>
    <row r="210" spans="1:30">
      <c r="A210" s="4" t="str">
        <f t="shared" si="8"/>
        <v/>
      </c>
      <c r="B210" s="4"/>
      <c r="C210" s="4"/>
      <c r="D210" s="4"/>
      <c r="E210" s="4"/>
      <c r="F210" s="4"/>
      <c r="G210" s="6"/>
      <c r="H210" s="4"/>
      <c r="I210" s="4"/>
      <c r="J210" s="4"/>
      <c r="K210" s="4" t="str">
        <f t="shared" ca="1" si="7"/>
        <v>Sin fecha</v>
      </c>
      <c r="L210" s="8"/>
      <c r="M210" s="8"/>
      <c r="N210" s="4"/>
      <c r="O210" s="4"/>
      <c r="P210" s="4"/>
      <c r="Q210" s="4"/>
      <c r="R210" s="4"/>
      <c r="S210" s="4"/>
      <c r="T210" s="4"/>
      <c r="U210" s="4"/>
      <c r="V210" s="4"/>
      <c r="W210" s="4"/>
      <c r="X210" s="4"/>
      <c r="Y210" s="4"/>
      <c r="Z210" s="4"/>
      <c r="AA210" s="4"/>
      <c r="AB210" s="6"/>
      <c r="AC210" s="4"/>
      <c r="AD210" s="4"/>
    </row>
    <row r="211" spans="1:30">
      <c r="A211" s="4" t="str">
        <f t="shared" si="8"/>
        <v/>
      </c>
      <c r="B211" s="4"/>
      <c r="C211" s="4"/>
      <c r="D211" s="4"/>
      <c r="E211" s="4"/>
      <c r="F211" s="4"/>
      <c r="G211" s="6"/>
      <c r="H211" s="4"/>
      <c r="I211" s="4"/>
      <c r="J211" s="4"/>
      <c r="K211" s="4" t="str">
        <f t="shared" ca="1" si="7"/>
        <v>Sin fecha</v>
      </c>
      <c r="L211" s="8"/>
      <c r="M211" s="8"/>
      <c r="N211" s="4"/>
      <c r="O211" s="4"/>
      <c r="P211" s="4"/>
      <c r="Q211" s="4"/>
      <c r="R211" s="4"/>
      <c r="S211" s="4"/>
      <c r="T211" s="4"/>
      <c r="U211" s="4"/>
      <c r="V211" s="4"/>
      <c r="W211" s="4"/>
      <c r="X211" s="4"/>
      <c r="Y211" s="4"/>
      <c r="Z211" s="4"/>
      <c r="AA211" s="4"/>
      <c r="AB211" s="6"/>
      <c r="AC211" s="4"/>
      <c r="AD211" s="4"/>
    </row>
    <row r="212" spans="1:30">
      <c r="A212" s="4" t="str">
        <f t="shared" si="8"/>
        <v/>
      </c>
      <c r="B212" s="4"/>
      <c r="C212" s="4"/>
      <c r="D212" s="4"/>
      <c r="E212" s="4"/>
      <c r="F212" s="4"/>
      <c r="G212" s="6"/>
      <c r="H212" s="4"/>
      <c r="I212" s="4"/>
      <c r="J212" s="4"/>
      <c r="K212" s="4" t="str">
        <f t="shared" ca="1" si="7"/>
        <v>Sin fecha</v>
      </c>
      <c r="L212" s="8"/>
      <c r="M212" s="8"/>
      <c r="N212" s="4"/>
      <c r="O212" s="4"/>
      <c r="P212" s="4"/>
      <c r="Q212" s="4"/>
      <c r="R212" s="4"/>
      <c r="S212" s="4"/>
      <c r="T212" s="4"/>
      <c r="U212" s="4"/>
      <c r="V212" s="4"/>
      <c r="W212" s="4"/>
      <c r="X212" s="4"/>
      <c r="Y212" s="4"/>
      <c r="Z212" s="4"/>
      <c r="AA212" s="4"/>
      <c r="AB212" s="6"/>
      <c r="AC212" s="4"/>
      <c r="AD212" s="4"/>
    </row>
    <row r="213" spans="1:30">
      <c r="A213" s="4" t="str">
        <f t="shared" si="8"/>
        <v/>
      </c>
      <c r="B213" s="4"/>
      <c r="C213" s="4"/>
      <c r="D213" s="4"/>
      <c r="E213" s="4"/>
      <c r="F213" s="4"/>
      <c r="G213" s="6"/>
      <c r="H213" s="4"/>
      <c r="I213" s="4"/>
      <c r="J213" s="4"/>
      <c r="K213" s="4" t="str">
        <f t="shared" ca="1" si="7"/>
        <v>Sin fecha</v>
      </c>
      <c r="L213" s="8"/>
      <c r="M213" s="8"/>
      <c r="N213" s="4"/>
      <c r="O213" s="4"/>
      <c r="P213" s="4"/>
      <c r="Q213" s="4"/>
      <c r="R213" s="4"/>
      <c r="S213" s="4"/>
      <c r="T213" s="4"/>
      <c r="U213" s="4"/>
      <c r="V213" s="4"/>
      <c r="W213" s="4"/>
      <c r="X213" s="4"/>
      <c r="Y213" s="4"/>
      <c r="Z213" s="4"/>
      <c r="AA213" s="4"/>
      <c r="AB213" s="6"/>
      <c r="AC213" s="4"/>
      <c r="AD213" s="4"/>
    </row>
    <row r="214" spans="1:30">
      <c r="A214" s="4" t="str">
        <f t="shared" si="8"/>
        <v/>
      </c>
      <c r="B214" s="4"/>
      <c r="C214" s="4"/>
      <c r="D214" s="4"/>
      <c r="E214" s="4"/>
      <c r="F214" s="4"/>
      <c r="G214" s="6"/>
      <c r="H214" s="4"/>
      <c r="I214" s="4"/>
      <c r="J214" s="4"/>
      <c r="K214" s="4" t="str">
        <f t="shared" ca="1" si="7"/>
        <v>Sin fecha</v>
      </c>
      <c r="L214" s="8"/>
      <c r="M214" s="8"/>
      <c r="N214" s="4"/>
      <c r="O214" s="4"/>
      <c r="P214" s="4"/>
      <c r="Q214" s="4"/>
      <c r="R214" s="4"/>
      <c r="S214" s="4"/>
      <c r="T214" s="4"/>
      <c r="U214" s="4"/>
      <c r="V214" s="4"/>
      <c r="W214" s="4"/>
      <c r="X214" s="4"/>
      <c r="Y214" s="4"/>
      <c r="Z214" s="4"/>
      <c r="AA214" s="4"/>
      <c r="AB214" s="6"/>
      <c r="AC214" s="4"/>
      <c r="AD214" s="4"/>
    </row>
    <row r="215" spans="1:30">
      <c r="A215" s="4" t="str">
        <f t="shared" si="8"/>
        <v/>
      </c>
      <c r="B215" s="4"/>
      <c r="C215" s="4"/>
      <c r="D215" s="4"/>
      <c r="E215" s="4"/>
      <c r="F215" s="4"/>
      <c r="G215" s="6"/>
      <c r="H215" s="4"/>
      <c r="I215" s="4"/>
      <c r="J215" s="4"/>
      <c r="K215" s="4" t="str">
        <f t="shared" ca="1" si="7"/>
        <v>Sin fecha</v>
      </c>
      <c r="L215" s="8"/>
      <c r="M215" s="8"/>
      <c r="N215" s="4"/>
      <c r="O215" s="4"/>
      <c r="P215" s="4"/>
      <c r="Q215" s="4"/>
      <c r="R215" s="4"/>
      <c r="S215" s="4"/>
      <c r="T215" s="4"/>
      <c r="U215" s="4"/>
      <c r="V215" s="4"/>
      <c r="W215" s="4"/>
      <c r="X215" s="4"/>
      <c r="Y215" s="4"/>
      <c r="Z215" s="4"/>
      <c r="AA215" s="4"/>
      <c r="AB215" s="6"/>
      <c r="AC215" s="4"/>
      <c r="AD215" s="4"/>
    </row>
    <row r="216" spans="1:30">
      <c r="A216" s="4" t="str">
        <f t="shared" si="8"/>
        <v/>
      </c>
      <c r="B216" s="4"/>
      <c r="C216" s="4"/>
      <c r="D216" s="4"/>
      <c r="E216" s="4"/>
      <c r="F216" s="4"/>
      <c r="G216" s="6"/>
      <c r="H216" s="4"/>
      <c r="I216" s="4"/>
      <c r="J216" s="4"/>
      <c r="K216" s="4" t="str">
        <f t="shared" ca="1" si="7"/>
        <v>Sin fecha</v>
      </c>
      <c r="L216" s="8"/>
      <c r="M216" s="8"/>
      <c r="N216" s="4"/>
      <c r="O216" s="4"/>
      <c r="P216" s="4"/>
      <c r="Q216" s="4"/>
      <c r="R216" s="4"/>
      <c r="S216" s="4"/>
      <c r="T216" s="4"/>
      <c r="U216" s="4"/>
      <c r="V216" s="4"/>
      <c r="W216" s="4"/>
      <c r="X216" s="4"/>
      <c r="Y216" s="4"/>
      <c r="Z216" s="4"/>
      <c r="AA216" s="4"/>
      <c r="AB216" s="6"/>
      <c r="AC216" s="4"/>
      <c r="AD216" s="4"/>
    </row>
    <row r="217" spans="1:30">
      <c r="A217" s="4" t="str">
        <f t="shared" si="8"/>
        <v/>
      </c>
      <c r="B217" s="4"/>
      <c r="C217" s="4"/>
      <c r="D217" s="4"/>
      <c r="E217" s="4"/>
      <c r="F217" s="4"/>
      <c r="G217" s="6"/>
      <c r="H217" s="4"/>
      <c r="I217" s="4"/>
      <c r="J217" s="4"/>
      <c r="K217" s="4" t="str">
        <f t="shared" ca="1" si="7"/>
        <v>Sin fecha</v>
      </c>
      <c r="L217" s="8"/>
      <c r="M217" s="8"/>
      <c r="N217" s="4"/>
      <c r="O217" s="4"/>
      <c r="P217" s="4"/>
      <c r="Q217" s="4"/>
      <c r="R217" s="4"/>
      <c r="S217" s="4"/>
      <c r="T217" s="4"/>
      <c r="U217" s="4"/>
      <c r="V217" s="4"/>
      <c r="W217" s="4"/>
      <c r="X217" s="4"/>
      <c r="Y217" s="4"/>
      <c r="Z217" s="4"/>
      <c r="AA217" s="4"/>
      <c r="AB217" s="6"/>
      <c r="AC217" s="4"/>
      <c r="AD217" s="4"/>
    </row>
    <row r="218" spans="1:30">
      <c r="A218" s="4" t="str">
        <f t="shared" si="8"/>
        <v/>
      </c>
      <c r="B218" s="4"/>
      <c r="C218" s="4"/>
      <c r="D218" s="4"/>
      <c r="E218" s="4"/>
      <c r="F218" s="4"/>
      <c r="G218" s="6"/>
      <c r="H218" s="4"/>
      <c r="I218" s="4"/>
      <c r="J218" s="4"/>
      <c r="K218" s="4" t="str">
        <f t="shared" ca="1" si="7"/>
        <v>Sin fecha</v>
      </c>
      <c r="L218" s="8"/>
      <c r="M218" s="8"/>
      <c r="N218" s="4"/>
      <c r="O218" s="4"/>
      <c r="P218" s="4"/>
      <c r="Q218" s="4"/>
      <c r="R218" s="4"/>
      <c r="S218" s="4"/>
      <c r="T218" s="4"/>
      <c r="U218" s="4"/>
      <c r="V218" s="4"/>
      <c r="W218" s="4"/>
      <c r="X218" s="4"/>
      <c r="Y218" s="4"/>
      <c r="Z218" s="4"/>
      <c r="AA218" s="4"/>
      <c r="AB218" s="6"/>
      <c r="AC218" s="4"/>
      <c r="AD218" s="4"/>
    </row>
    <row r="219" spans="1:30">
      <c r="A219" s="4" t="str">
        <f t="shared" si="8"/>
        <v/>
      </c>
      <c r="B219" s="4"/>
      <c r="C219" s="4"/>
      <c r="D219" s="4"/>
      <c r="E219" s="4"/>
      <c r="F219" s="4"/>
      <c r="G219" s="6"/>
      <c r="H219" s="4"/>
      <c r="I219" s="4"/>
      <c r="J219" s="4"/>
      <c r="K219" s="4" t="str">
        <f t="shared" ca="1" si="7"/>
        <v>Sin fecha</v>
      </c>
      <c r="L219" s="8"/>
      <c r="M219" s="8"/>
      <c r="N219" s="4"/>
      <c r="O219" s="4"/>
      <c r="P219" s="4"/>
      <c r="Q219" s="4"/>
      <c r="R219" s="4"/>
      <c r="S219" s="4"/>
      <c r="T219" s="4"/>
      <c r="U219" s="4"/>
      <c r="V219" s="4"/>
      <c r="W219" s="4"/>
      <c r="X219" s="4"/>
      <c r="Y219" s="4"/>
      <c r="Z219" s="4"/>
      <c r="AA219" s="4"/>
      <c r="AB219" s="6"/>
      <c r="AC219" s="4"/>
      <c r="AD219" s="4"/>
    </row>
    <row r="220" spans="1:30">
      <c r="A220" s="4" t="str">
        <f t="shared" si="8"/>
        <v/>
      </c>
      <c r="B220" s="4"/>
      <c r="C220" s="4"/>
      <c r="D220" s="4"/>
      <c r="E220" s="4"/>
      <c r="F220" s="4"/>
      <c r="G220" s="6"/>
      <c r="H220" s="4"/>
      <c r="I220" s="4"/>
      <c r="J220" s="4"/>
      <c r="K220" s="4" t="str">
        <f t="shared" ca="1" si="7"/>
        <v>Sin fecha</v>
      </c>
      <c r="L220" s="8"/>
      <c r="M220" s="8"/>
      <c r="N220" s="4"/>
      <c r="O220" s="4"/>
      <c r="P220" s="4"/>
      <c r="Q220" s="4"/>
      <c r="R220" s="4"/>
      <c r="S220" s="4"/>
      <c r="T220" s="4"/>
      <c r="U220" s="4"/>
      <c r="V220" s="4"/>
      <c r="W220" s="4"/>
      <c r="X220" s="4"/>
      <c r="Y220" s="4"/>
      <c r="Z220" s="4"/>
      <c r="AA220" s="4"/>
      <c r="AB220" s="6"/>
      <c r="AC220" s="4"/>
      <c r="AD220" s="4"/>
    </row>
    <row r="221" spans="1:30">
      <c r="A221" s="4" t="str">
        <f t="shared" si="8"/>
        <v/>
      </c>
      <c r="B221" s="4"/>
      <c r="C221" s="4"/>
      <c r="D221" s="4"/>
      <c r="E221" s="4"/>
      <c r="F221" s="4"/>
      <c r="G221" s="6"/>
      <c r="H221" s="4"/>
      <c r="I221" s="4"/>
      <c r="J221" s="4"/>
      <c r="K221" s="4" t="str">
        <f t="shared" ca="1" si="7"/>
        <v>Sin fecha</v>
      </c>
      <c r="L221" s="8"/>
      <c r="M221" s="8"/>
      <c r="N221" s="4"/>
      <c r="O221" s="4"/>
      <c r="P221" s="4"/>
      <c r="Q221" s="4"/>
      <c r="R221" s="4"/>
      <c r="S221" s="4"/>
      <c r="T221" s="4"/>
      <c r="U221" s="4"/>
      <c r="V221" s="4"/>
      <c r="W221" s="4"/>
      <c r="X221" s="4"/>
      <c r="Y221" s="4"/>
      <c r="Z221" s="4"/>
      <c r="AA221" s="4"/>
      <c r="AB221" s="6"/>
      <c r="AC221" s="4"/>
      <c r="AD221" s="4"/>
    </row>
    <row r="222" spans="1:30">
      <c r="A222" s="4" t="str">
        <f t="shared" si="8"/>
        <v/>
      </c>
      <c r="B222" s="4"/>
      <c r="C222" s="4"/>
      <c r="D222" s="4"/>
      <c r="E222" s="4"/>
      <c r="F222" s="4"/>
      <c r="G222" s="6"/>
      <c r="H222" s="4"/>
      <c r="I222" s="4"/>
      <c r="J222" s="4"/>
      <c r="K222" s="4" t="str">
        <f t="shared" ca="1" si="7"/>
        <v>Sin fecha</v>
      </c>
      <c r="L222" s="8"/>
      <c r="M222" s="8"/>
      <c r="N222" s="4"/>
      <c r="O222" s="4"/>
      <c r="P222" s="4"/>
      <c r="Q222" s="4"/>
      <c r="R222" s="4"/>
      <c r="S222" s="4"/>
      <c r="T222" s="4"/>
      <c r="U222" s="4"/>
      <c r="V222" s="4"/>
      <c r="W222" s="4"/>
      <c r="X222" s="4"/>
      <c r="Y222" s="4"/>
      <c r="Z222" s="4"/>
      <c r="AA222" s="4"/>
      <c r="AB222" s="6"/>
      <c r="AC222" s="4"/>
      <c r="AD222" s="4"/>
    </row>
    <row r="223" spans="1:30">
      <c r="A223" s="4" t="str">
        <f t="shared" si="8"/>
        <v/>
      </c>
      <c r="B223" s="4"/>
      <c r="C223" s="4"/>
      <c r="D223" s="4"/>
      <c r="E223" s="4"/>
      <c r="F223" s="4"/>
      <c r="G223" s="6"/>
      <c r="H223" s="4"/>
      <c r="I223" s="4"/>
      <c r="J223" s="4"/>
      <c r="K223" s="4" t="str">
        <f t="shared" ca="1" si="7"/>
        <v>Sin fecha</v>
      </c>
      <c r="L223" s="8"/>
      <c r="M223" s="8"/>
      <c r="N223" s="4"/>
      <c r="O223" s="4"/>
      <c r="P223" s="4"/>
      <c r="Q223" s="4"/>
      <c r="R223" s="4"/>
      <c r="S223" s="4"/>
      <c r="T223" s="4"/>
      <c r="U223" s="4"/>
      <c r="V223" s="4"/>
      <c r="W223" s="4"/>
      <c r="X223" s="4"/>
      <c r="Y223" s="4"/>
      <c r="Z223" s="4"/>
      <c r="AA223" s="4"/>
      <c r="AB223" s="6"/>
      <c r="AC223" s="4"/>
      <c r="AD223" s="4"/>
    </row>
    <row r="224" spans="1:30">
      <c r="A224" s="4" t="str">
        <f t="shared" si="8"/>
        <v/>
      </c>
      <c r="B224" s="4"/>
      <c r="C224" s="4"/>
      <c r="D224" s="4"/>
      <c r="E224" s="4"/>
      <c r="F224" s="4"/>
      <c r="G224" s="6"/>
      <c r="H224" s="4"/>
      <c r="I224" s="4"/>
      <c r="J224" s="4"/>
      <c r="K224" s="4" t="str">
        <f t="shared" ca="1" si="7"/>
        <v>Sin fecha</v>
      </c>
      <c r="L224" s="8"/>
      <c r="M224" s="8"/>
      <c r="N224" s="4"/>
      <c r="O224" s="4"/>
      <c r="P224" s="4"/>
      <c r="Q224" s="4"/>
      <c r="R224" s="4"/>
      <c r="S224" s="4"/>
      <c r="T224" s="4"/>
      <c r="U224" s="4"/>
      <c r="V224" s="4"/>
      <c r="W224" s="4"/>
      <c r="X224" s="4"/>
      <c r="Y224" s="4"/>
      <c r="Z224" s="4"/>
      <c r="AA224" s="4"/>
      <c r="AB224" s="6"/>
      <c r="AC224" s="4"/>
      <c r="AD224" s="4"/>
    </row>
    <row r="225" spans="1:30">
      <c r="A225" s="4" t="str">
        <f t="shared" si="8"/>
        <v/>
      </c>
      <c r="B225" s="4"/>
      <c r="C225" s="4"/>
      <c r="D225" s="4"/>
      <c r="E225" s="4"/>
      <c r="F225" s="4"/>
      <c r="G225" s="6"/>
      <c r="H225" s="4"/>
      <c r="I225" s="4"/>
      <c r="J225" s="4"/>
      <c r="K225" s="4" t="str">
        <f t="shared" ca="1" si="7"/>
        <v>Sin fecha</v>
      </c>
      <c r="L225" s="8"/>
      <c r="M225" s="8"/>
      <c r="N225" s="4"/>
      <c r="O225" s="4"/>
      <c r="P225" s="4"/>
      <c r="Q225" s="4"/>
      <c r="R225" s="4"/>
      <c r="S225" s="4"/>
      <c r="T225" s="4"/>
      <c r="U225" s="4"/>
      <c r="V225" s="4"/>
      <c r="W225" s="4"/>
      <c r="X225" s="4"/>
      <c r="Y225" s="4"/>
      <c r="Z225" s="4"/>
      <c r="AA225" s="4"/>
      <c r="AB225" s="6"/>
      <c r="AC225" s="4"/>
      <c r="AD225" s="4"/>
    </row>
    <row r="226" spans="1:30">
      <c r="A226" s="4" t="str">
        <f t="shared" si="8"/>
        <v/>
      </c>
      <c r="B226" s="4"/>
      <c r="C226" s="4"/>
      <c r="D226" s="4"/>
      <c r="E226" s="4"/>
      <c r="F226" s="4"/>
      <c r="G226" s="6"/>
      <c r="H226" s="4"/>
      <c r="I226" s="4"/>
      <c r="J226" s="4"/>
      <c r="K226" s="4" t="str">
        <f t="shared" ca="1" si="7"/>
        <v>Sin fecha</v>
      </c>
      <c r="L226" s="8"/>
      <c r="M226" s="8"/>
      <c r="N226" s="4"/>
      <c r="O226" s="4"/>
      <c r="P226" s="4"/>
      <c r="Q226" s="4"/>
      <c r="R226" s="4"/>
      <c r="S226" s="4"/>
      <c r="T226" s="4"/>
      <c r="U226" s="4"/>
      <c r="V226" s="4"/>
      <c r="W226" s="4"/>
      <c r="X226" s="4"/>
      <c r="Y226" s="4"/>
      <c r="Z226" s="4"/>
      <c r="AA226" s="4"/>
      <c r="AB226" s="6"/>
      <c r="AC226" s="4"/>
      <c r="AD226" s="4"/>
    </row>
    <row r="227" spans="1:30">
      <c r="A227" s="4" t="str">
        <f t="shared" si="8"/>
        <v/>
      </c>
      <c r="B227" s="4"/>
      <c r="C227" s="4"/>
      <c r="D227" s="4"/>
      <c r="E227" s="4"/>
      <c r="F227" s="4"/>
      <c r="G227" s="6"/>
      <c r="H227" s="4"/>
      <c r="I227" s="4"/>
      <c r="J227" s="4"/>
      <c r="K227" s="4" t="str">
        <f t="shared" ca="1" si="7"/>
        <v>Sin fecha</v>
      </c>
      <c r="L227" s="8"/>
      <c r="M227" s="8"/>
      <c r="N227" s="4"/>
      <c r="O227" s="4"/>
      <c r="P227" s="4"/>
      <c r="Q227" s="4"/>
      <c r="R227" s="4"/>
      <c r="S227" s="4"/>
      <c r="T227" s="4"/>
      <c r="U227" s="4"/>
      <c r="V227" s="4"/>
      <c r="W227" s="4"/>
      <c r="X227" s="4"/>
      <c r="Y227" s="4"/>
      <c r="Z227" s="4"/>
      <c r="AA227" s="4"/>
      <c r="AB227" s="6"/>
      <c r="AC227" s="4"/>
      <c r="AD227" s="4"/>
    </row>
    <row r="228" spans="1:30">
      <c r="A228" s="4" t="str">
        <f t="shared" si="8"/>
        <v/>
      </c>
      <c r="B228" s="4"/>
      <c r="C228" s="4"/>
      <c r="D228" s="4"/>
      <c r="E228" s="4"/>
      <c r="F228" s="4"/>
      <c r="G228" s="6"/>
      <c r="H228" s="4"/>
      <c r="I228" s="4"/>
      <c r="J228" s="4"/>
      <c r="K228" s="4" t="str">
        <f t="shared" ca="1" si="7"/>
        <v>Sin fecha</v>
      </c>
      <c r="L228" s="8"/>
      <c r="M228" s="8"/>
      <c r="N228" s="4"/>
      <c r="O228" s="4"/>
      <c r="P228" s="4"/>
      <c r="Q228" s="4"/>
      <c r="R228" s="4"/>
      <c r="S228" s="4"/>
      <c r="T228" s="4"/>
      <c r="U228" s="4"/>
      <c r="V228" s="4"/>
      <c r="W228" s="4"/>
      <c r="X228" s="4"/>
      <c r="Y228" s="4"/>
      <c r="Z228" s="4"/>
      <c r="AA228" s="4"/>
      <c r="AB228" s="6"/>
      <c r="AC228" s="4"/>
      <c r="AD228" s="4"/>
    </row>
    <row r="229" spans="1:30">
      <c r="A229" s="4" t="str">
        <f t="shared" si="8"/>
        <v/>
      </c>
      <c r="B229" s="4"/>
      <c r="C229" s="4"/>
      <c r="D229" s="4"/>
      <c r="E229" s="4"/>
      <c r="F229" s="4"/>
      <c r="G229" s="6"/>
      <c r="H229" s="4"/>
      <c r="I229" s="4"/>
      <c r="J229" s="4"/>
      <c r="K229" s="4" t="str">
        <f t="shared" ca="1" si="7"/>
        <v>Sin fecha</v>
      </c>
      <c r="L229" s="8"/>
      <c r="M229" s="8"/>
      <c r="N229" s="4"/>
      <c r="O229" s="4"/>
      <c r="P229" s="4"/>
      <c r="Q229" s="4"/>
      <c r="R229" s="4"/>
      <c r="S229" s="4"/>
      <c r="T229" s="4"/>
      <c r="U229" s="4"/>
      <c r="V229" s="4"/>
      <c r="W229" s="4"/>
      <c r="X229" s="4"/>
      <c r="Y229" s="4"/>
      <c r="Z229" s="4"/>
      <c r="AA229" s="4"/>
      <c r="AB229" s="6"/>
      <c r="AC229" s="4"/>
      <c r="AD229" s="4"/>
    </row>
    <row r="230" spans="1:30">
      <c r="A230" s="4" t="str">
        <f t="shared" si="8"/>
        <v/>
      </c>
      <c r="B230" s="4"/>
      <c r="C230" s="4"/>
      <c r="D230" s="4"/>
      <c r="E230" s="4"/>
      <c r="F230" s="4"/>
      <c r="G230" s="6"/>
      <c r="H230" s="4"/>
      <c r="I230" s="4"/>
      <c r="J230" s="4"/>
      <c r="K230" s="4" t="str">
        <f t="shared" ca="1" si="7"/>
        <v>Sin fecha</v>
      </c>
      <c r="L230" s="8"/>
      <c r="M230" s="8"/>
      <c r="N230" s="4"/>
      <c r="O230" s="4"/>
      <c r="P230" s="4"/>
      <c r="Q230" s="4"/>
      <c r="R230" s="4"/>
      <c r="S230" s="4"/>
      <c r="T230" s="4"/>
      <c r="U230" s="4"/>
      <c r="V230" s="4"/>
      <c r="W230" s="4"/>
      <c r="X230" s="4"/>
      <c r="Y230" s="4"/>
      <c r="Z230" s="4"/>
      <c r="AA230" s="4"/>
      <c r="AB230" s="6"/>
      <c r="AC230" s="4"/>
      <c r="AD230" s="4"/>
    </row>
    <row r="231" spans="1:30">
      <c r="A231" s="4" t="str">
        <f t="shared" si="8"/>
        <v/>
      </c>
      <c r="B231" s="4"/>
      <c r="C231" s="4"/>
      <c r="D231" s="4"/>
      <c r="E231" s="4"/>
      <c r="F231" s="4"/>
      <c r="G231" s="6"/>
      <c r="H231" s="4"/>
      <c r="I231" s="4"/>
      <c r="J231" s="4"/>
      <c r="K231" s="4" t="str">
        <f t="shared" ca="1" si="7"/>
        <v>Sin fecha</v>
      </c>
      <c r="L231" s="8"/>
      <c r="M231" s="8"/>
      <c r="N231" s="4"/>
      <c r="O231" s="4"/>
      <c r="P231" s="4"/>
      <c r="Q231" s="4"/>
      <c r="R231" s="4"/>
      <c r="S231" s="4"/>
      <c r="T231" s="4"/>
      <c r="U231" s="4"/>
      <c r="V231" s="4"/>
      <c r="W231" s="4"/>
      <c r="X231" s="4"/>
      <c r="Y231" s="4"/>
      <c r="Z231" s="4"/>
      <c r="AA231" s="4"/>
      <c r="AB231" s="6"/>
      <c r="AC231" s="4"/>
      <c r="AD231" s="4"/>
    </row>
    <row r="232" spans="1:30">
      <c r="A232" s="4" t="str">
        <f t="shared" si="8"/>
        <v/>
      </c>
      <c r="B232" s="4"/>
      <c r="C232" s="4"/>
      <c r="D232" s="4"/>
      <c r="E232" s="4"/>
      <c r="F232" s="4"/>
      <c r="G232" s="6"/>
      <c r="H232" s="4"/>
      <c r="I232" s="4"/>
      <c r="J232" s="4"/>
      <c r="K232" s="4" t="str">
        <f t="shared" ca="1" si="7"/>
        <v>Sin fecha</v>
      </c>
      <c r="L232" s="8"/>
      <c r="M232" s="8"/>
      <c r="N232" s="4"/>
      <c r="O232" s="4"/>
      <c r="P232" s="4"/>
      <c r="Q232" s="4"/>
      <c r="R232" s="4"/>
      <c r="S232" s="4"/>
      <c r="T232" s="4"/>
      <c r="U232" s="4"/>
      <c r="V232" s="4"/>
      <c r="W232" s="4"/>
      <c r="X232" s="4"/>
      <c r="Y232" s="4"/>
      <c r="Z232" s="4"/>
      <c r="AA232" s="4"/>
      <c r="AB232" s="6"/>
      <c r="AC232" s="4"/>
      <c r="AD232" s="4"/>
    </row>
    <row r="233" spans="1:30">
      <c r="A233" s="4" t="str">
        <f t="shared" si="8"/>
        <v/>
      </c>
      <c r="B233" s="4"/>
      <c r="C233" s="4"/>
      <c r="D233" s="4"/>
      <c r="E233" s="4"/>
      <c r="F233" s="4"/>
      <c r="G233" s="6"/>
      <c r="H233" s="4"/>
      <c r="I233" s="4"/>
      <c r="J233" s="4"/>
      <c r="K233" s="4" t="str">
        <f t="shared" ca="1" si="7"/>
        <v>Sin fecha</v>
      </c>
      <c r="L233" s="8"/>
      <c r="M233" s="8"/>
      <c r="N233" s="4"/>
      <c r="O233" s="4"/>
      <c r="P233" s="4"/>
      <c r="Q233" s="4"/>
      <c r="R233" s="4"/>
      <c r="S233" s="4"/>
      <c r="T233" s="4"/>
      <c r="U233" s="4"/>
      <c r="V233" s="4"/>
      <c r="W233" s="4"/>
      <c r="X233" s="4"/>
      <c r="Y233" s="4"/>
      <c r="Z233" s="4"/>
      <c r="AA233" s="4"/>
      <c r="AB233" s="6"/>
      <c r="AC233" s="4"/>
      <c r="AD233" s="4"/>
    </row>
    <row r="234" spans="1:30">
      <c r="A234" s="4" t="str">
        <f t="shared" si="8"/>
        <v/>
      </c>
      <c r="B234" s="4"/>
      <c r="C234" s="4"/>
      <c r="D234" s="4"/>
      <c r="E234" s="4"/>
      <c r="F234" s="4"/>
      <c r="G234" s="6"/>
      <c r="H234" s="4"/>
      <c r="I234" s="4"/>
      <c r="J234" s="4"/>
      <c r="K234" s="4" t="str">
        <f t="shared" ca="1" si="7"/>
        <v>Sin fecha</v>
      </c>
      <c r="L234" s="8"/>
      <c r="M234" s="8"/>
      <c r="N234" s="4"/>
      <c r="O234" s="4"/>
      <c r="P234" s="4"/>
      <c r="Q234" s="4"/>
      <c r="R234" s="4"/>
      <c r="S234" s="4"/>
      <c r="T234" s="4"/>
      <c r="U234" s="4"/>
      <c r="V234" s="4"/>
      <c r="W234" s="4"/>
      <c r="X234" s="4"/>
      <c r="Y234" s="4"/>
      <c r="Z234" s="4"/>
      <c r="AA234" s="4"/>
      <c r="AB234" s="6"/>
      <c r="AC234" s="4"/>
      <c r="AD234" s="4"/>
    </row>
    <row r="235" spans="1:30">
      <c r="A235" s="4" t="str">
        <f t="shared" si="8"/>
        <v/>
      </c>
      <c r="B235" s="4"/>
      <c r="C235" s="4"/>
      <c r="D235" s="4"/>
      <c r="E235" s="4"/>
      <c r="F235" s="4"/>
      <c r="G235" s="6"/>
      <c r="H235" s="4"/>
      <c r="I235" s="4"/>
      <c r="J235" s="4"/>
      <c r="K235" s="4" t="str">
        <f t="shared" ca="1" si="7"/>
        <v>Sin fecha</v>
      </c>
      <c r="L235" s="8"/>
      <c r="M235" s="8"/>
      <c r="N235" s="4"/>
      <c r="O235" s="4"/>
      <c r="P235" s="4"/>
      <c r="Q235" s="4"/>
      <c r="R235" s="4"/>
      <c r="S235" s="4"/>
      <c r="T235" s="4"/>
      <c r="U235" s="4"/>
      <c r="V235" s="4"/>
      <c r="W235" s="4"/>
      <c r="X235" s="4"/>
      <c r="Y235" s="4"/>
      <c r="Z235" s="4"/>
      <c r="AA235" s="4"/>
      <c r="AB235" s="6"/>
      <c r="AC235" s="4"/>
      <c r="AD235" s="4"/>
    </row>
    <row r="236" spans="1:30">
      <c r="A236" s="4" t="str">
        <f t="shared" si="8"/>
        <v/>
      </c>
      <c r="B236" s="4"/>
      <c r="C236" s="4"/>
      <c r="D236" s="4"/>
      <c r="E236" s="4"/>
      <c r="F236" s="4"/>
      <c r="G236" s="6"/>
      <c r="H236" s="4"/>
      <c r="I236" s="4"/>
      <c r="J236" s="4"/>
      <c r="K236" s="4" t="str">
        <f t="shared" ca="1" si="7"/>
        <v>Sin fecha</v>
      </c>
      <c r="L236" s="8"/>
      <c r="M236" s="8"/>
      <c r="N236" s="4"/>
      <c r="O236" s="4"/>
      <c r="P236" s="4"/>
      <c r="Q236" s="4"/>
      <c r="R236" s="4"/>
      <c r="S236" s="4"/>
      <c r="T236" s="4"/>
      <c r="U236" s="4"/>
      <c r="V236" s="4"/>
      <c r="W236" s="4"/>
      <c r="X236" s="4"/>
      <c r="Y236" s="4"/>
      <c r="Z236" s="4"/>
      <c r="AA236" s="4"/>
      <c r="AB236" s="6"/>
      <c r="AC236" s="4"/>
      <c r="AD236" s="4"/>
    </row>
    <row r="237" spans="1:30">
      <c r="A237" s="4" t="str">
        <f t="shared" si="8"/>
        <v/>
      </c>
      <c r="B237" s="4"/>
      <c r="C237" s="4"/>
      <c r="D237" s="4"/>
      <c r="E237" s="4"/>
      <c r="F237" s="4"/>
      <c r="G237" s="6"/>
      <c r="H237" s="4"/>
      <c r="I237" s="4"/>
      <c r="J237" s="4"/>
      <c r="K237" s="4" t="str">
        <f t="shared" ca="1" si="7"/>
        <v>Sin fecha</v>
      </c>
      <c r="L237" s="8"/>
      <c r="M237" s="8"/>
      <c r="N237" s="4"/>
      <c r="O237" s="4"/>
      <c r="P237" s="4"/>
      <c r="Q237" s="4"/>
      <c r="R237" s="4"/>
      <c r="S237" s="4"/>
      <c r="T237" s="4"/>
      <c r="U237" s="4"/>
      <c r="V237" s="4"/>
      <c r="W237" s="4"/>
      <c r="X237" s="4"/>
      <c r="Y237" s="4"/>
      <c r="Z237" s="4"/>
      <c r="AA237" s="4"/>
      <c r="AB237" s="6"/>
      <c r="AC237" s="4"/>
      <c r="AD237" s="4"/>
    </row>
    <row r="238" spans="1:30">
      <c r="A238" s="4" t="str">
        <f t="shared" si="8"/>
        <v/>
      </c>
      <c r="B238" s="4"/>
      <c r="C238" s="4"/>
      <c r="D238" s="4"/>
      <c r="E238" s="4"/>
      <c r="F238" s="4"/>
      <c r="G238" s="6"/>
      <c r="H238" s="4"/>
      <c r="I238" s="4"/>
      <c r="J238" s="4"/>
      <c r="K238" s="4" t="str">
        <f t="shared" ca="1" si="7"/>
        <v>Sin fecha</v>
      </c>
      <c r="L238" s="8"/>
      <c r="M238" s="8"/>
      <c r="N238" s="4"/>
      <c r="O238" s="4"/>
      <c r="P238" s="4"/>
      <c r="Q238" s="4"/>
      <c r="R238" s="4"/>
      <c r="S238" s="4"/>
      <c r="T238" s="4"/>
      <c r="U238" s="4"/>
      <c r="V238" s="4"/>
      <c r="W238" s="4"/>
      <c r="X238" s="4"/>
      <c r="Y238" s="4"/>
      <c r="Z238" s="4"/>
      <c r="AA238" s="4"/>
      <c r="AB238" s="6"/>
      <c r="AC238" s="4"/>
      <c r="AD238" s="4"/>
    </row>
    <row r="239" spans="1:30">
      <c r="A239" s="4" t="str">
        <f t="shared" si="8"/>
        <v/>
      </c>
      <c r="B239" s="4"/>
      <c r="C239" s="4"/>
      <c r="D239" s="4"/>
      <c r="E239" s="4"/>
      <c r="F239" s="4"/>
      <c r="G239" s="6"/>
      <c r="H239" s="4"/>
      <c r="I239" s="4"/>
      <c r="J239" s="4"/>
      <c r="K239" s="4" t="str">
        <f t="shared" ca="1" si="7"/>
        <v>Sin fecha</v>
      </c>
      <c r="L239" s="8"/>
      <c r="M239" s="8"/>
      <c r="N239" s="4"/>
      <c r="O239" s="4"/>
      <c r="P239" s="4"/>
      <c r="Q239" s="4"/>
      <c r="R239" s="4"/>
      <c r="S239" s="4"/>
      <c r="T239" s="4"/>
      <c r="U239" s="4"/>
      <c r="V239" s="4"/>
      <c r="W239" s="4"/>
      <c r="X239" s="4"/>
      <c r="Y239" s="4"/>
      <c r="Z239" s="4"/>
      <c r="AA239" s="4"/>
      <c r="AB239" s="6"/>
      <c r="AC239" s="4"/>
      <c r="AD239" s="4"/>
    </row>
    <row r="240" spans="1:30">
      <c r="A240" s="4" t="str">
        <f t="shared" si="8"/>
        <v/>
      </c>
      <c r="B240" s="4"/>
      <c r="C240" s="4"/>
      <c r="D240" s="4"/>
      <c r="E240" s="4"/>
      <c r="F240" s="4"/>
      <c r="G240" s="6"/>
      <c r="H240" s="4"/>
      <c r="I240" s="4"/>
      <c r="J240" s="4"/>
      <c r="K240" s="4" t="str">
        <f t="shared" ca="1" si="7"/>
        <v>Sin fecha</v>
      </c>
      <c r="L240" s="8"/>
      <c r="M240" s="8"/>
      <c r="N240" s="4"/>
      <c r="O240" s="4"/>
      <c r="P240" s="4"/>
      <c r="Q240" s="4"/>
      <c r="R240" s="4"/>
      <c r="S240" s="4"/>
      <c r="T240" s="4"/>
      <c r="U240" s="4"/>
      <c r="V240" s="4"/>
      <c r="W240" s="4"/>
      <c r="X240" s="4"/>
      <c r="Y240" s="4"/>
      <c r="Z240" s="4"/>
      <c r="AA240" s="4"/>
      <c r="AB240" s="6"/>
      <c r="AC240" s="4"/>
      <c r="AD240" s="4"/>
    </row>
    <row r="241" spans="1:30">
      <c r="A241" s="4" t="str">
        <f t="shared" si="8"/>
        <v/>
      </c>
      <c r="B241" s="4"/>
      <c r="C241" s="4"/>
      <c r="D241" s="4"/>
      <c r="E241" s="4"/>
      <c r="F241" s="4"/>
      <c r="G241" s="6"/>
      <c r="H241" s="4"/>
      <c r="I241" s="4"/>
      <c r="J241" s="4"/>
      <c r="K241" s="4" t="str">
        <f t="shared" ca="1" si="7"/>
        <v>Sin fecha</v>
      </c>
      <c r="L241" s="8"/>
      <c r="M241" s="8"/>
      <c r="N241" s="4"/>
      <c r="O241" s="4"/>
      <c r="P241" s="4"/>
      <c r="Q241" s="4"/>
      <c r="R241" s="4"/>
      <c r="S241" s="4"/>
      <c r="T241" s="4"/>
      <c r="U241" s="4"/>
      <c r="V241" s="4"/>
      <c r="W241" s="4"/>
      <c r="X241" s="4"/>
      <c r="Y241" s="4"/>
      <c r="Z241" s="4"/>
      <c r="AA241" s="4"/>
      <c r="AB241" s="6"/>
      <c r="AC241" s="4"/>
      <c r="AD241" s="4"/>
    </row>
    <row r="242" spans="1:30">
      <c r="A242" s="4" t="str">
        <f t="shared" si="8"/>
        <v/>
      </c>
      <c r="B242" s="4"/>
      <c r="C242" s="4"/>
      <c r="D242" s="4"/>
      <c r="E242" s="4"/>
      <c r="F242" s="4"/>
      <c r="G242" s="6"/>
      <c r="H242" s="4"/>
      <c r="I242" s="4"/>
      <c r="J242" s="4"/>
      <c r="K242" s="4" t="str">
        <f t="shared" ca="1" si="7"/>
        <v>Sin fecha</v>
      </c>
      <c r="L242" s="8"/>
      <c r="M242" s="8"/>
      <c r="N242" s="4"/>
      <c r="O242" s="4"/>
      <c r="P242" s="4"/>
      <c r="Q242" s="4"/>
      <c r="R242" s="4"/>
      <c r="S242" s="4"/>
      <c r="T242" s="4"/>
      <c r="U242" s="4"/>
      <c r="V242" s="4"/>
      <c r="W242" s="4"/>
      <c r="X242" s="4"/>
      <c r="Y242" s="4"/>
      <c r="Z242" s="4"/>
      <c r="AA242" s="4"/>
      <c r="AB242" s="6"/>
      <c r="AC242" s="4"/>
      <c r="AD242" s="4"/>
    </row>
    <row r="243" spans="1:30">
      <c r="A243" s="4" t="str">
        <f t="shared" si="8"/>
        <v/>
      </c>
      <c r="B243" s="4"/>
      <c r="C243" s="4"/>
      <c r="D243" s="4"/>
      <c r="E243" s="4"/>
      <c r="F243" s="4"/>
      <c r="G243" s="6"/>
      <c r="H243" s="4"/>
      <c r="I243" s="4"/>
      <c r="J243" s="4"/>
      <c r="K243" s="4" t="str">
        <f t="shared" ca="1" si="7"/>
        <v>Sin fecha</v>
      </c>
      <c r="L243" s="8"/>
      <c r="M243" s="8"/>
      <c r="N243" s="4"/>
      <c r="O243" s="4"/>
      <c r="P243" s="4"/>
      <c r="Q243" s="4"/>
      <c r="R243" s="4"/>
      <c r="S243" s="4"/>
      <c r="T243" s="4"/>
      <c r="U243" s="4"/>
      <c r="V243" s="4"/>
      <c r="W243" s="4"/>
      <c r="X243" s="4"/>
      <c r="Y243" s="4"/>
      <c r="Z243" s="4"/>
      <c r="AA243" s="4"/>
      <c r="AB243" s="6"/>
      <c r="AC243" s="4"/>
      <c r="AD243" s="4"/>
    </row>
    <row r="244" spans="1:30">
      <c r="A244" s="4" t="str">
        <f t="shared" si="8"/>
        <v/>
      </c>
      <c r="B244" s="4"/>
      <c r="C244" s="4"/>
      <c r="D244" s="4"/>
      <c r="E244" s="4"/>
      <c r="F244" s="4"/>
      <c r="G244" s="6"/>
      <c r="H244" s="4"/>
      <c r="I244" s="4"/>
      <c r="J244" s="4"/>
      <c r="K244" s="4" t="str">
        <f t="shared" ca="1" si="7"/>
        <v>Sin fecha</v>
      </c>
      <c r="L244" s="8"/>
      <c r="M244" s="8"/>
      <c r="N244" s="4"/>
      <c r="O244" s="4"/>
      <c r="P244" s="4"/>
      <c r="Q244" s="4"/>
      <c r="R244" s="4"/>
      <c r="S244" s="4"/>
      <c r="T244" s="4"/>
      <c r="U244" s="4"/>
      <c r="V244" s="4"/>
      <c r="W244" s="4"/>
      <c r="X244" s="4"/>
      <c r="Y244" s="4"/>
      <c r="Z244" s="4"/>
      <c r="AA244" s="4"/>
      <c r="AB244" s="6"/>
      <c r="AC244" s="4"/>
      <c r="AD244" s="4"/>
    </row>
    <row r="245" spans="1:30">
      <c r="A245" s="4" t="str">
        <f t="shared" si="8"/>
        <v/>
      </c>
      <c r="B245" s="4"/>
      <c r="C245" s="4"/>
      <c r="D245" s="4"/>
      <c r="E245" s="4"/>
      <c r="F245" s="4"/>
      <c r="G245" s="6"/>
      <c r="H245" s="4"/>
      <c r="I245" s="4"/>
      <c r="J245" s="4"/>
      <c r="K245" s="4" t="str">
        <f t="shared" ca="1" si="7"/>
        <v>Sin fecha</v>
      </c>
      <c r="L245" s="8"/>
      <c r="M245" s="8"/>
      <c r="N245" s="4"/>
      <c r="O245" s="4"/>
      <c r="P245" s="4"/>
      <c r="Q245" s="4"/>
      <c r="R245" s="4"/>
      <c r="S245" s="4"/>
      <c r="T245" s="4"/>
      <c r="U245" s="4"/>
      <c r="V245" s="4"/>
      <c r="W245" s="4"/>
      <c r="X245" s="4"/>
      <c r="Y245" s="4"/>
      <c r="Z245" s="4"/>
      <c r="AA245" s="4"/>
      <c r="AB245" s="6"/>
      <c r="AC245" s="4"/>
      <c r="AD245" s="4"/>
    </row>
    <row r="246" spans="1:30">
      <c r="A246" s="4" t="str">
        <f t="shared" si="8"/>
        <v/>
      </c>
      <c r="B246" s="4"/>
      <c r="C246" s="4"/>
      <c r="D246" s="4"/>
      <c r="E246" s="4"/>
      <c r="F246" s="4"/>
      <c r="G246" s="6"/>
      <c r="H246" s="4"/>
      <c r="I246" s="4"/>
      <c r="J246" s="4"/>
      <c r="K246" s="4" t="str">
        <f t="shared" ca="1" si="7"/>
        <v>Sin fecha</v>
      </c>
      <c r="L246" s="8"/>
      <c r="M246" s="8"/>
      <c r="N246" s="4"/>
      <c r="O246" s="4"/>
      <c r="P246" s="4"/>
      <c r="Q246" s="4"/>
      <c r="R246" s="4"/>
      <c r="S246" s="4"/>
      <c r="T246" s="4"/>
      <c r="U246" s="4"/>
      <c r="V246" s="4"/>
      <c r="W246" s="4"/>
      <c r="X246" s="4"/>
      <c r="Y246" s="4"/>
      <c r="Z246" s="4"/>
      <c r="AA246" s="4"/>
      <c r="AB246" s="6"/>
      <c r="AC246" s="4"/>
      <c r="AD246" s="4"/>
    </row>
    <row r="247" spans="1:30">
      <c r="A247" s="4" t="str">
        <f t="shared" si="8"/>
        <v/>
      </c>
      <c r="B247" s="4"/>
      <c r="C247" s="4"/>
      <c r="D247" s="4"/>
      <c r="E247" s="4"/>
      <c r="F247" s="4"/>
      <c r="G247" s="6"/>
      <c r="H247" s="4"/>
      <c r="I247" s="4"/>
      <c r="J247" s="4"/>
      <c r="K247" s="4" t="str">
        <f t="shared" ca="1" si="7"/>
        <v>Sin fecha</v>
      </c>
      <c r="L247" s="8"/>
      <c r="M247" s="8"/>
      <c r="N247" s="4"/>
      <c r="O247" s="4"/>
      <c r="P247" s="4"/>
      <c r="Q247" s="4"/>
      <c r="R247" s="4"/>
      <c r="S247" s="4"/>
      <c r="T247" s="4"/>
      <c r="U247" s="4"/>
      <c r="V247" s="4"/>
      <c r="W247" s="4"/>
      <c r="X247" s="4"/>
      <c r="Y247" s="4"/>
      <c r="Z247" s="4"/>
      <c r="AA247" s="4"/>
      <c r="AB247" s="6"/>
      <c r="AC247" s="4"/>
      <c r="AD247" s="4"/>
    </row>
    <row r="248" spans="1:30">
      <c r="A248" s="4" t="str">
        <f t="shared" si="8"/>
        <v/>
      </c>
      <c r="B248" s="4"/>
      <c r="C248" s="4"/>
      <c r="D248" s="4"/>
      <c r="E248" s="4"/>
      <c r="F248" s="4"/>
      <c r="G248" s="6"/>
      <c r="H248" s="4"/>
      <c r="I248" s="4"/>
      <c r="J248" s="4"/>
      <c r="K248" s="4" t="str">
        <f t="shared" ca="1" si="7"/>
        <v>Sin fecha</v>
      </c>
      <c r="L248" s="8"/>
      <c r="M248" s="8"/>
      <c r="N248" s="4"/>
      <c r="O248" s="4"/>
      <c r="P248" s="4"/>
      <c r="Q248" s="4"/>
      <c r="R248" s="4"/>
      <c r="S248" s="4"/>
      <c r="T248" s="4"/>
      <c r="U248" s="4"/>
      <c r="V248" s="4"/>
      <c r="W248" s="4"/>
      <c r="X248" s="4"/>
      <c r="Y248" s="4"/>
      <c r="Z248" s="4"/>
      <c r="AA248" s="4"/>
      <c r="AB248" s="6"/>
      <c r="AC248" s="4"/>
      <c r="AD248" s="4"/>
    </row>
    <row r="249" spans="1:30">
      <c r="A249" s="4" t="str">
        <f t="shared" si="8"/>
        <v/>
      </c>
      <c r="B249" s="4"/>
      <c r="C249" s="4"/>
      <c r="D249" s="4"/>
      <c r="E249" s="4"/>
      <c r="F249" s="4"/>
      <c r="G249" s="6"/>
      <c r="H249" s="4"/>
      <c r="I249" s="4"/>
      <c r="J249" s="4"/>
      <c r="K249" s="4" t="str">
        <f t="shared" ca="1" si="7"/>
        <v>Sin fecha</v>
      </c>
      <c r="L249" s="8"/>
      <c r="M249" s="8"/>
      <c r="N249" s="4"/>
      <c r="O249" s="4"/>
      <c r="P249" s="4"/>
      <c r="Q249" s="4"/>
      <c r="R249" s="4"/>
      <c r="S249" s="4"/>
      <c r="T249" s="4"/>
      <c r="U249" s="4"/>
      <c r="V249" s="4"/>
      <c r="W249" s="4"/>
      <c r="X249" s="4"/>
      <c r="Y249" s="4"/>
      <c r="Z249" s="4"/>
      <c r="AA249" s="4"/>
      <c r="AB249" s="6"/>
      <c r="AC249" s="4"/>
      <c r="AD249" s="4"/>
    </row>
    <row r="250" spans="1:30">
      <c r="A250" s="4" t="str">
        <f t="shared" si="8"/>
        <v/>
      </c>
      <c r="B250" s="4"/>
      <c r="C250" s="4"/>
      <c r="D250" s="4"/>
      <c r="E250" s="4"/>
      <c r="F250" s="4"/>
      <c r="G250" s="6"/>
      <c r="H250" s="4"/>
      <c r="I250" s="4"/>
      <c r="J250" s="4"/>
      <c r="K250" s="4" t="str">
        <f t="shared" ca="1" si="7"/>
        <v>Sin fecha</v>
      </c>
      <c r="L250" s="8"/>
      <c r="M250" s="8"/>
      <c r="N250" s="4"/>
      <c r="O250" s="4"/>
      <c r="P250" s="4"/>
      <c r="Q250" s="4"/>
      <c r="R250" s="4"/>
      <c r="S250" s="4"/>
      <c r="T250" s="4"/>
      <c r="U250" s="4"/>
      <c r="V250" s="4"/>
      <c r="W250" s="4"/>
      <c r="X250" s="4"/>
      <c r="Y250" s="4"/>
      <c r="Z250" s="4"/>
      <c r="AA250" s="4"/>
      <c r="AB250" s="6"/>
      <c r="AC250" s="4"/>
      <c r="AD250" s="4"/>
    </row>
    <row r="251" spans="1:30">
      <c r="A251" s="4" t="str">
        <f t="shared" si="8"/>
        <v/>
      </c>
      <c r="B251" s="4"/>
      <c r="C251" s="4"/>
      <c r="D251" s="4"/>
      <c r="E251" s="4"/>
      <c r="F251" s="4"/>
      <c r="G251" s="6"/>
      <c r="H251" s="4"/>
      <c r="I251" s="4"/>
      <c r="J251" s="4"/>
      <c r="K251" s="4" t="str">
        <f t="shared" ca="1" si="7"/>
        <v>Sin fecha</v>
      </c>
      <c r="L251" s="8"/>
      <c r="M251" s="8"/>
      <c r="N251" s="4"/>
      <c r="O251" s="4"/>
      <c r="P251" s="4"/>
      <c r="Q251" s="4"/>
      <c r="R251" s="4"/>
      <c r="S251" s="4"/>
      <c r="T251" s="4"/>
      <c r="U251" s="4"/>
      <c r="V251" s="4"/>
      <c r="W251" s="4"/>
      <c r="X251" s="4"/>
      <c r="Y251" s="4"/>
      <c r="Z251" s="4"/>
      <c r="AA251" s="4"/>
      <c r="AB251" s="6"/>
      <c r="AC251" s="4"/>
      <c r="AD251" s="4"/>
    </row>
    <row r="252" spans="1:30">
      <c r="A252" s="4" t="str">
        <f t="shared" si="8"/>
        <v/>
      </c>
      <c r="B252" s="4"/>
      <c r="C252" s="4"/>
      <c r="D252" s="4"/>
      <c r="E252" s="4"/>
      <c r="F252" s="4"/>
      <c r="G252" s="6"/>
      <c r="H252" s="4"/>
      <c r="I252" s="4"/>
      <c r="J252" s="4"/>
      <c r="K252" s="4" t="str">
        <f t="shared" ca="1" si="7"/>
        <v>Sin fecha</v>
      </c>
      <c r="L252" s="8"/>
      <c r="M252" s="8"/>
      <c r="N252" s="4"/>
      <c r="O252" s="4"/>
      <c r="P252" s="4"/>
      <c r="Q252" s="4"/>
      <c r="R252" s="4"/>
      <c r="S252" s="4"/>
      <c r="T252" s="4"/>
      <c r="U252" s="4"/>
      <c r="V252" s="4"/>
      <c r="W252" s="4"/>
      <c r="X252" s="4"/>
      <c r="Y252" s="4"/>
      <c r="Z252" s="4"/>
      <c r="AA252" s="4"/>
      <c r="AB252" s="6"/>
      <c r="AC252" s="4"/>
      <c r="AD252" s="4"/>
    </row>
    <row r="253" spans="1:30">
      <c r="A253" s="4" t="str">
        <f t="shared" si="8"/>
        <v/>
      </c>
      <c r="B253" s="4"/>
      <c r="C253" s="4"/>
      <c r="D253" s="4"/>
      <c r="E253" s="4"/>
      <c r="F253" s="4"/>
      <c r="G253" s="6"/>
      <c r="H253" s="4"/>
      <c r="I253" s="4"/>
      <c r="J253" s="4"/>
      <c r="K253" s="4" t="str">
        <f t="shared" ca="1" si="7"/>
        <v>Sin fecha</v>
      </c>
      <c r="L253" s="8"/>
      <c r="M253" s="8"/>
      <c r="N253" s="4"/>
      <c r="O253" s="4"/>
      <c r="P253" s="4"/>
      <c r="Q253" s="4"/>
      <c r="R253" s="4"/>
      <c r="S253" s="4"/>
      <c r="T253" s="4"/>
      <c r="U253" s="4"/>
      <c r="V253" s="4"/>
      <c r="W253" s="4"/>
      <c r="X253" s="4"/>
      <c r="Y253" s="4"/>
      <c r="Z253" s="4"/>
      <c r="AA253" s="4"/>
      <c r="AB253" s="6"/>
      <c r="AC253" s="4"/>
      <c r="AD253" s="4"/>
    </row>
    <row r="254" spans="1:30">
      <c r="A254" s="4" t="str">
        <f t="shared" si="8"/>
        <v/>
      </c>
      <c r="B254" s="4"/>
      <c r="C254" s="4"/>
      <c r="D254" s="4"/>
      <c r="E254" s="4"/>
      <c r="F254" s="4"/>
      <c r="G254" s="6"/>
      <c r="H254" s="4"/>
      <c r="I254" s="4"/>
      <c r="J254" s="4"/>
      <c r="K254" s="4" t="str">
        <f t="shared" ca="1" si="7"/>
        <v>Sin fecha</v>
      </c>
      <c r="L254" s="8"/>
      <c r="M254" s="8"/>
      <c r="N254" s="4"/>
      <c r="O254" s="4"/>
      <c r="P254" s="4"/>
      <c r="Q254" s="4"/>
      <c r="R254" s="4"/>
      <c r="S254" s="4"/>
      <c r="T254" s="4"/>
      <c r="U254" s="4"/>
      <c r="V254" s="4"/>
      <c r="W254" s="4"/>
      <c r="X254" s="4"/>
      <c r="Y254" s="4"/>
      <c r="Z254" s="4"/>
      <c r="AA254" s="4"/>
      <c r="AB254" s="6"/>
      <c r="AC254" s="4"/>
      <c r="AD254" s="4"/>
    </row>
    <row r="255" spans="1:30">
      <c r="A255" s="4" t="str">
        <f t="shared" si="8"/>
        <v/>
      </c>
      <c r="B255" s="4"/>
      <c r="C255" s="4"/>
      <c r="D255" s="4"/>
      <c r="E255" s="4"/>
      <c r="F255" s="4"/>
      <c r="G255" s="6"/>
      <c r="H255" s="4"/>
      <c r="I255" s="4"/>
      <c r="J255" s="4"/>
      <c r="K255" s="4" t="str">
        <f t="shared" ca="1" si="7"/>
        <v>Sin fecha</v>
      </c>
      <c r="L255" s="8"/>
      <c r="M255" s="8"/>
      <c r="N255" s="4"/>
      <c r="O255" s="4"/>
      <c r="P255" s="4"/>
      <c r="Q255" s="4"/>
      <c r="R255" s="4"/>
      <c r="S255" s="4"/>
      <c r="T255" s="4"/>
      <c r="U255" s="4"/>
      <c r="V255" s="4"/>
      <c r="W255" s="4"/>
      <c r="X255" s="4"/>
      <c r="Y255" s="4"/>
      <c r="Z255" s="4"/>
      <c r="AA255" s="4"/>
      <c r="AB255" s="6"/>
      <c r="AC255" s="4"/>
      <c r="AD255" s="4"/>
    </row>
    <row r="256" spans="1:30">
      <c r="A256" s="4" t="str">
        <f t="shared" si="8"/>
        <v/>
      </c>
      <c r="B256" s="4"/>
      <c r="C256" s="4"/>
      <c r="D256" s="4"/>
      <c r="E256" s="4"/>
      <c r="F256" s="4"/>
      <c r="G256" s="6"/>
      <c r="H256" s="4"/>
      <c r="I256" s="4"/>
      <c r="J256" s="4"/>
      <c r="K256" s="4" t="str">
        <f t="shared" ref="K256:K319" ca="1" si="9">IF(J256="Cerrada","Cerrada",IF(J256="Suspendida","Suspendida",IF(G256="","Sin fecha",IF(G256&lt;TODAY(),"Vencida",IF(G256-TODAY()&lt;=30,"Próxima a vencer","Abierta")))))</f>
        <v>Sin fecha</v>
      </c>
      <c r="L256" s="8"/>
      <c r="M256" s="8"/>
      <c r="N256" s="4"/>
      <c r="O256" s="4"/>
      <c r="P256" s="4"/>
      <c r="Q256" s="4"/>
      <c r="R256" s="4"/>
      <c r="S256" s="4"/>
      <c r="T256" s="4"/>
      <c r="U256" s="4"/>
      <c r="V256" s="4"/>
      <c r="W256" s="4"/>
      <c r="X256" s="4"/>
      <c r="Y256" s="4"/>
      <c r="Z256" s="4"/>
      <c r="AA256" s="4"/>
      <c r="AB256" s="6"/>
      <c r="AC256" s="4"/>
      <c r="AD256" s="4"/>
    </row>
    <row r="257" spans="1:30">
      <c r="A257" s="4" t="str">
        <f t="shared" ref="A257:A320" si="10">IF(C257="","","OP-"&amp;TEXT(ROW()-1,"0000"))</f>
        <v/>
      </c>
      <c r="B257" s="4"/>
      <c r="C257" s="4"/>
      <c r="D257" s="4"/>
      <c r="E257" s="4"/>
      <c r="F257" s="4"/>
      <c r="G257" s="6"/>
      <c r="H257" s="4"/>
      <c r="I257" s="4"/>
      <c r="J257" s="4"/>
      <c r="K257" s="4" t="str">
        <f t="shared" ca="1" si="9"/>
        <v>Sin fecha</v>
      </c>
      <c r="L257" s="8"/>
      <c r="M257" s="8"/>
      <c r="N257" s="4"/>
      <c r="O257" s="4"/>
      <c r="P257" s="4"/>
      <c r="Q257" s="4"/>
      <c r="R257" s="4"/>
      <c r="S257" s="4"/>
      <c r="T257" s="4"/>
      <c r="U257" s="4"/>
      <c r="V257" s="4"/>
      <c r="W257" s="4"/>
      <c r="X257" s="4"/>
      <c r="Y257" s="4"/>
      <c r="Z257" s="4"/>
      <c r="AA257" s="4"/>
      <c r="AB257" s="6"/>
      <c r="AC257" s="4"/>
      <c r="AD257" s="4"/>
    </row>
    <row r="258" spans="1:30">
      <c r="A258" s="4" t="str">
        <f t="shared" si="10"/>
        <v/>
      </c>
      <c r="B258" s="4"/>
      <c r="C258" s="4"/>
      <c r="D258" s="4"/>
      <c r="E258" s="4"/>
      <c r="F258" s="4"/>
      <c r="G258" s="6"/>
      <c r="H258" s="4"/>
      <c r="I258" s="4"/>
      <c r="J258" s="4"/>
      <c r="K258" s="4" t="str">
        <f t="shared" ca="1" si="9"/>
        <v>Sin fecha</v>
      </c>
      <c r="L258" s="8"/>
      <c r="M258" s="8"/>
      <c r="N258" s="4"/>
      <c r="O258" s="4"/>
      <c r="P258" s="4"/>
      <c r="Q258" s="4"/>
      <c r="R258" s="4"/>
      <c r="S258" s="4"/>
      <c r="T258" s="4"/>
      <c r="U258" s="4"/>
      <c r="V258" s="4"/>
      <c r="W258" s="4"/>
      <c r="X258" s="4"/>
      <c r="Y258" s="4"/>
      <c r="Z258" s="4"/>
      <c r="AA258" s="4"/>
      <c r="AB258" s="6"/>
      <c r="AC258" s="4"/>
      <c r="AD258" s="4"/>
    </row>
    <row r="259" spans="1:30">
      <c r="A259" s="4" t="str">
        <f t="shared" si="10"/>
        <v/>
      </c>
      <c r="B259" s="4"/>
      <c r="C259" s="4"/>
      <c r="D259" s="4"/>
      <c r="E259" s="4"/>
      <c r="F259" s="4"/>
      <c r="G259" s="6"/>
      <c r="H259" s="4"/>
      <c r="I259" s="4"/>
      <c r="J259" s="4"/>
      <c r="K259" s="4" t="str">
        <f t="shared" ca="1" si="9"/>
        <v>Sin fecha</v>
      </c>
      <c r="L259" s="8"/>
      <c r="M259" s="8"/>
      <c r="N259" s="4"/>
      <c r="O259" s="4"/>
      <c r="P259" s="4"/>
      <c r="Q259" s="4"/>
      <c r="R259" s="4"/>
      <c r="S259" s="4"/>
      <c r="T259" s="4"/>
      <c r="U259" s="4"/>
      <c r="V259" s="4"/>
      <c r="W259" s="4"/>
      <c r="X259" s="4"/>
      <c r="Y259" s="4"/>
      <c r="Z259" s="4"/>
      <c r="AA259" s="4"/>
      <c r="AB259" s="6"/>
      <c r="AC259" s="4"/>
      <c r="AD259" s="4"/>
    </row>
    <row r="260" spans="1:30">
      <c r="A260" s="4" t="str">
        <f t="shared" si="10"/>
        <v/>
      </c>
      <c r="B260" s="4"/>
      <c r="C260" s="4"/>
      <c r="D260" s="4"/>
      <c r="E260" s="4"/>
      <c r="F260" s="4"/>
      <c r="G260" s="6"/>
      <c r="H260" s="4"/>
      <c r="I260" s="4"/>
      <c r="J260" s="4"/>
      <c r="K260" s="4" t="str">
        <f t="shared" ca="1" si="9"/>
        <v>Sin fecha</v>
      </c>
      <c r="L260" s="8"/>
      <c r="M260" s="8"/>
      <c r="N260" s="4"/>
      <c r="O260" s="4"/>
      <c r="P260" s="4"/>
      <c r="Q260" s="4"/>
      <c r="R260" s="4"/>
      <c r="S260" s="4"/>
      <c r="T260" s="4"/>
      <c r="U260" s="4"/>
      <c r="V260" s="4"/>
      <c r="W260" s="4"/>
      <c r="X260" s="4"/>
      <c r="Y260" s="4"/>
      <c r="Z260" s="4"/>
      <c r="AA260" s="4"/>
      <c r="AB260" s="6"/>
      <c r="AC260" s="4"/>
      <c r="AD260" s="4"/>
    </row>
    <row r="261" spans="1:30">
      <c r="A261" s="4" t="str">
        <f t="shared" si="10"/>
        <v/>
      </c>
      <c r="B261" s="4"/>
      <c r="C261" s="4"/>
      <c r="D261" s="4"/>
      <c r="E261" s="4"/>
      <c r="F261" s="4"/>
      <c r="G261" s="6"/>
      <c r="H261" s="4"/>
      <c r="I261" s="4"/>
      <c r="J261" s="4"/>
      <c r="K261" s="4" t="str">
        <f t="shared" ca="1" si="9"/>
        <v>Sin fecha</v>
      </c>
      <c r="L261" s="8"/>
      <c r="M261" s="8"/>
      <c r="N261" s="4"/>
      <c r="O261" s="4"/>
      <c r="P261" s="4"/>
      <c r="Q261" s="4"/>
      <c r="R261" s="4"/>
      <c r="S261" s="4"/>
      <c r="T261" s="4"/>
      <c r="U261" s="4"/>
      <c r="V261" s="4"/>
      <c r="W261" s="4"/>
      <c r="X261" s="4"/>
      <c r="Y261" s="4"/>
      <c r="Z261" s="4"/>
      <c r="AA261" s="4"/>
      <c r="AB261" s="6"/>
      <c r="AC261" s="4"/>
      <c r="AD261" s="4"/>
    </row>
    <row r="262" spans="1:30">
      <c r="A262" s="4" t="str">
        <f t="shared" si="10"/>
        <v/>
      </c>
      <c r="B262" s="4"/>
      <c r="C262" s="4"/>
      <c r="D262" s="4"/>
      <c r="E262" s="4"/>
      <c r="F262" s="4"/>
      <c r="G262" s="6"/>
      <c r="H262" s="4"/>
      <c r="I262" s="4"/>
      <c r="J262" s="4"/>
      <c r="K262" s="4" t="str">
        <f t="shared" ca="1" si="9"/>
        <v>Sin fecha</v>
      </c>
      <c r="L262" s="8"/>
      <c r="M262" s="8"/>
      <c r="N262" s="4"/>
      <c r="O262" s="4"/>
      <c r="P262" s="4"/>
      <c r="Q262" s="4"/>
      <c r="R262" s="4"/>
      <c r="S262" s="4"/>
      <c r="T262" s="4"/>
      <c r="U262" s="4"/>
      <c r="V262" s="4"/>
      <c r="W262" s="4"/>
      <c r="X262" s="4"/>
      <c r="Y262" s="4"/>
      <c r="Z262" s="4"/>
      <c r="AA262" s="4"/>
      <c r="AB262" s="6"/>
      <c r="AC262" s="4"/>
      <c r="AD262" s="4"/>
    </row>
    <row r="263" spans="1:30">
      <c r="A263" s="4" t="str">
        <f t="shared" si="10"/>
        <v/>
      </c>
      <c r="B263" s="4"/>
      <c r="C263" s="4"/>
      <c r="D263" s="4"/>
      <c r="E263" s="4"/>
      <c r="F263" s="4"/>
      <c r="G263" s="6"/>
      <c r="H263" s="4"/>
      <c r="I263" s="4"/>
      <c r="J263" s="4"/>
      <c r="K263" s="4" t="str">
        <f t="shared" ca="1" si="9"/>
        <v>Sin fecha</v>
      </c>
      <c r="L263" s="8"/>
      <c r="M263" s="8"/>
      <c r="N263" s="4"/>
      <c r="O263" s="4"/>
      <c r="P263" s="4"/>
      <c r="Q263" s="4"/>
      <c r="R263" s="4"/>
      <c r="S263" s="4"/>
      <c r="T263" s="4"/>
      <c r="U263" s="4"/>
      <c r="V263" s="4"/>
      <c r="W263" s="4"/>
      <c r="X263" s="4"/>
      <c r="Y263" s="4"/>
      <c r="Z263" s="4"/>
      <c r="AA263" s="4"/>
      <c r="AB263" s="6"/>
      <c r="AC263" s="4"/>
      <c r="AD263" s="4"/>
    </row>
    <row r="264" spans="1:30">
      <c r="A264" s="4" t="str">
        <f t="shared" si="10"/>
        <v/>
      </c>
      <c r="B264" s="4"/>
      <c r="C264" s="4"/>
      <c r="D264" s="4"/>
      <c r="E264" s="4"/>
      <c r="F264" s="4"/>
      <c r="G264" s="6"/>
      <c r="H264" s="4"/>
      <c r="I264" s="4"/>
      <c r="J264" s="4"/>
      <c r="K264" s="4" t="str">
        <f t="shared" ca="1" si="9"/>
        <v>Sin fecha</v>
      </c>
      <c r="L264" s="8"/>
      <c r="M264" s="8"/>
      <c r="N264" s="4"/>
      <c r="O264" s="4"/>
      <c r="P264" s="4"/>
      <c r="Q264" s="4"/>
      <c r="R264" s="4"/>
      <c r="S264" s="4"/>
      <c r="T264" s="4"/>
      <c r="U264" s="4"/>
      <c r="V264" s="4"/>
      <c r="W264" s="4"/>
      <c r="X264" s="4"/>
      <c r="Y264" s="4"/>
      <c r="Z264" s="4"/>
      <c r="AA264" s="4"/>
      <c r="AB264" s="6"/>
      <c r="AC264" s="4"/>
      <c r="AD264" s="4"/>
    </row>
    <row r="265" spans="1:30">
      <c r="A265" s="4" t="str">
        <f t="shared" si="10"/>
        <v/>
      </c>
      <c r="B265" s="4"/>
      <c r="C265" s="4"/>
      <c r="D265" s="4"/>
      <c r="E265" s="4"/>
      <c r="F265" s="4"/>
      <c r="G265" s="6"/>
      <c r="H265" s="4"/>
      <c r="I265" s="4"/>
      <c r="J265" s="4"/>
      <c r="K265" s="4" t="str">
        <f t="shared" ca="1" si="9"/>
        <v>Sin fecha</v>
      </c>
      <c r="L265" s="8"/>
      <c r="M265" s="8"/>
      <c r="N265" s="4"/>
      <c r="O265" s="4"/>
      <c r="P265" s="4"/>
      <c r="Q265" s="4"/>
      <c r="R265" s="4"/>
      <c r="S265" s="4"/>
      <c r="T265" s="4"/>
      <c r="U265" s="4"/>
      <c r="V265" s="4"/>
      <c r="W265" s="4"/>
      <c r="X265" s="4"/>
      <c r="Y265" s="4"/>
      <c r="Z265" s="4"/>
      <c r="AA265" s="4"/>
      <c r="AB265" s="6"/>
      <c r="AC265" s="4"/>
      <c r="AD265" s="4"/>
    </row>
    <row r="266" spans="1:30">
      <c r="A266" s="4" t="str">
        <f t="shared" si="10"/>
        <v/>
      </c>
      <c r="B266" s="4"/>
      <c r="C266" s="4"/>
      <c r="D266" s="4"/>
      <c r="E266" s="4"/>
      <c r="F266" s="4"/>
      <c r="G266" s="6"/>
      <c r="H266" s="4"/>
      <c r="I266" s="4"/>
      <c r="J266" s="4"/>
      <c r="K266" s="4" t="str">
        <f t="shared" ca="1" si="9"/>
        <v>Sin fecha</v>
      </c>
      <c r="L266" s="8"/>
      <c r="M266" s="8"/>
      <c r="N266" s="4"/>
      <c r="O266" s="4"/>
      <c r="P266" s="4"/>
      <c r="Q266" s="4"/>
      <c r="R266" s="4"/>
      <c r="S266" s="4"/>
      <c r="T266" s="4"/>
      <c r="U266" s="4"/>
      <c r="V266" s="4"/>
      <c r="W266" s="4"/>
      <c r="X266" s="4"/>
      <c r="Y266" s="4"/>
      <c r="Z266" s="4"/>
      <c r="AA266" s="4"/>
      <c r="AB266" s="6"/>
      <c r="AC266" s="4"/>
      <c r="AD266" s="4"/>
    </row>
    <row r="267" spans="1:30">
      <c r="A267" s="4" t="str">
        <f t="shared" si="10"/>
        <v/>
      </c>
      <c r="B267" s="4"/>
      <c r="C267" s="4"/>
      <c r="D267" s="4"/>
      <c r="E267" s="4"/>
      <c r="F267" s="4"/>
      <c r="G267" s="6"/>
      <c r="H267" s="4"/>
      <c r="I267" s="4"/>
      <c r="J267" s="4"/>
      <c r="K267" s="4" t="str">
        <f t="shared" ca="1" si="9"/>
        <v>Sin fecha</v>
      </c>
      <c r="L267" s="8"/>
      <c r="M267" s="8"/>
      <c r="N267" s="4"/>
      <c r="O267" s="4"/>
      <c r="P267" s="4"/>
      <c r="Q267" s="4"/>
      <c r="R267" s="4"/>
      <c r="S267" s="4"/>
      <c r="T267" s="4"/>
      <c r="U267" s="4"/>
      <c r="V267" s="4"/>
      <c r="W267" s="4"/>
      <c r="X267" s="4"/>
      <c r="Y267" s="4"/>
      <c r="Z267" s="4"/>
      <c r="AA267" s="4"/>
      <c r="AB267" s="6"/>
      <c r="AC267" s="4"/>
      <c r="AD267" s="4"/>
    </row>
    <row r="268" spans="1:30">
      <c r="A268" s="4" t="str">
        <f t="shared" si="10"/>
        <v/>
      </c>
      <c r="B268" s="4"/>
      <c r="C268" s="4"/>
      <c r="D268" s="4"/>
      <c r="E268" s="4"/>
      <c r="F268" s="4"/>
      <c r="G268" s="6"/>
      <c r="H268" s="4"/>
      <c r="I268" s="4"/>
      <c r="J268" s="4"/>
      <c r="K268" s="4" t="str">
        <f t="shared" ca="1" si="9"/>
        <v>Sin fecha</v>
      </c>
      <c r="L268" s="8"/>
      <c r="M268" s="8"/>
      <c r="N268" s="4"/>
      <c r="O268" s="4"/>
      <c r="P268" s="4"/>
      <c r="Q268" s="4"/>
      <c r="R268" s="4"/>
      <c r="S268" s="4"/>
      <c r="T268" s="4"/>
      <c r="U268" s="4"/>
      <c r="V268" s="4"/>
      <c r="W268" s="4"/>
      <c r="X268" s="4"/>
      <c r="Y268" s="4"/>
      <c r="Z268" s="4"/>
      <c r="AA268" s="4"/>
      <c r="AB268" s="6"/>
      <c r="AC268" s="4"/>
      <c r="AD268" s="4"/>
    </row>
    <row r="269" spans="1:30">
      <c r="A269" s="4" t="str">
        <f t="shared" si="10"/>
        <v/>
      </c>
      <c r="B269" s="4"/>
      <c r="C269" s="4"/>
      <c r="D269" s="4"/>
      <c r="E269" s="4"/>
      <c r="F269" s="4"/>
      <c r="G269" s="6"/>
      <c r="H269" s="4"/>
      <c r="I269" s="4"/>
      <c r="J269" s="4"/>
      <c r="K269" s="4" t="str">
        <f t="shared" ca="1" si="9"/>
        <v>Sin fecha</v>
      </c>
      <c r="L269" s="8"/>
      <c r="M269" s="8"/>
      <c r="N269" s="4"/>
      <c r="O269" s="4"/>
      <c r="P269" s="4"/>
      <c r="Q269" s="4"/>
      <c r="R269" s="4"/>
      <c r="S269" s="4"/>
      <c r="T269" s="4"/>
      <c r="U269" s="4"/>
      <c r="V269" s="4"/>
      <c r="W269" s="4"/>
      <c r="X269" s="4"/>
      <c r="Y269" s="4"/>
      <c r="Z269" s="4"/>
      <c r="AA269" s="4"/>
      <c r="AB269" s="6"/>
      <c r="AC269" s="4"/>
      <c r="AD269" s="4"/>
    </row>
    <row r="270" spans="1:30">
      <c r="A270" s="4" t="str">
        <f t="shared" si="10"/>
        <v/>
      </c>
      <c r="B270" s="4"/>
      <c r="C270" s="4"/>
      <c r="D270" s="4"/>
      <c r="E270" s="4"/>
      <c r="F270" s="4"/>
      <c r="G270" s="6"/>
      <c r="H270" s="4"/>
      <c r="I270" s="4"/>
      <c r="J270" s="4"/>
      <c r="K270" s="4" t="str">
        <f t="shared" ca="1" si="9"/>
        <v>Sin fecha</v>
      </c>
      <c r="L270" s="8"/>
      <c r="M270" s="8"/>
      <c r="N270" s="4"/>
      <c r="O270" s="4"/>
      <c r="P270" s="4"/>
      <c r="Q270" s="4"/>
      <c r="R270" s="4"/>
      <c r="S270" s="4"/>
      <c r="T270" s="4"/>
      <c r="U270" s="4"/>
      <c r="V270" s="4"/>
      <c r="W270" s="4"/>
      <c r="X270" s="4"/>
      <c r="Y270" s="4"/>
      <c r="Z270" s="4"/>
      <c r="AA270" s="4"/>
      <c r="AB270" s="6"/>
      <c r="AC270" s="4"/>
      <c r="AD270" s="4"/>
    </row>
    <row r="271" spans="1:30">
      <c r="A271" s="4" t="str">
        <f t="shared" si="10"/>
        <v/>
      </c>
      <c r="B271" s="4"/>
      <c r="C271" s="4"/>
      <c r="D271" s="4"/>
      <c r="E271" s="4"/>
      <c r="F271" s="4"/>
      <c r="G271" s="6"/>
      <c r="H271" s="4"/>
      <c r="I271" s="4"/>
      <c r="J271" s="4"/>
      <c r="K271" s="4" t="str">
        <f t="shared" ca="1" si="9"/>
        <v>Sin fecha</v>
      </c>
      <c r="L271" s="8"/>
      <c r="M271" s="8"/>
      <c r="N271" s="4"/>
      <c r="O271" s="4"/>
      <c r="P271" s="4"/>
      <c r="Q271" s="4"/>
      <c r="R271" s="4"/>
      <c r="S271" s="4"/>
      <c r="T271" s="4"/>
      <c r="U271" s="4"/>
      <c r="V271" s="4"/>
      <c r="W271" s="4"/>
      <c r="X271" s="4"/>
      <c r="Y271" s="4"/>
      <c r="Z271" s="4"/>
      <c r="AA271" s="4"/>
      <c r="AB271" s="6"/>
      <c r="AC271" s="4"/>
      <c r="AD271" s="4"/>
    </row>
    <row r="272" spans="1:30">
      <c r="A272" s="4" t="str">
        <f t="shared" si="10"/>
        <v/>
      </c>
      <c r="B272" s="4"/>
      <c r="C272" s="4"/>
      <c r="D272" s="4"/>
      <c r="E272" s="4"/>
      <c r="F272" s="4"/>
      <c r="G272" s="6"/>
      <c r="H272" s="4"/>
      <c r="I272" s="4"/>
      <c r="J272" s="4"/>
      <c r="K272" s="4" t="str">
        <f t="shared" ca="1" si="9"/>
        <v>Sin fecha</v>
      </c>
      <c r="L272" s="8"/>
      <c r="M272" s="8"/>
      <c r="N272" s="4"/>
      <c r="O272" s="4"/>
      <c r="P272" s="4"/>
      <c r="Q272" s="4"/>
      <c r="R272" s="4"/>
      <c r="S272" s="4"/>
      <c r="T272" s="4"/>
      <c r="U272" s="4"/>
      <c r="V272" s="4"/>
      <c r="W272" s="4"/>
      <c r="X272" s="4"/>
      <c r="Y272" s="4"/>
      <c r="Z272" s="4"/>
      <c r="AA272" s="4"/>
      <c r="AB272" s="6"/>
      <c r="AC272" s="4"/>
      <c r="AD272" s="4"/>
    </row>
    <row r="273" spans="1:30">
      <c r="A273" s="4" t="str">
        <f t="shared" si="10"/>
        <v/>
      </c>
      <c r="B273" s="4"/>
      <c r="C273" s="4"/>
      <c r="D273" s="4"/>
      <c r="E273" s="4"/>
      <c r="F273" s="4"/>
      <c r="G273" s="6"/>
      <c r="H273" s="4"/>
      <c r="I273" s="4"/>
      <c r="J273" s="4"/>
      <c r="K273" s="4" t="str">
        <f t="shared" ca="1" si="9"/>
        <v>Sin fecha</v>
      </c>
      <c r="L273" s="8"/>
      <c r="M273" s="8"/>
      <c r="N273" s="4"/>
      <c r="O273" s="4"/>
      <c r="P273" s="4"/>
      <c r="Q273" s="4"/>
      <c r="R273" s="4"/>
      <c r="S273" s="4"/>
      <c r="T273" s="4"/>
      <c r="U273" s="4"/>
      <c r="V273" s="4"/>
      <c r="W273" s="4"/>
      <c r="X273" s="4"/>
      <c r="Y273" s="4"/>
      <c r="Z273" s="4"/>
      <c r="AA273" s="4"/>
      <c r="AB273" s="6"/>
      <c r="AC273" s="4"/>
      <c r="AD273" s="4"/>
    </row>
    <row r="274" spans="1:30">
      <c r="A274" s="4" t="str">
        <f t="shared" si="10"/>
        <v/>
      </c>
      <c r="B274" s="4"/>
      <c r="C274" s="4"/>
      <c r="D274" s="4"/>
      <c r="E274" s="4"/>
      <c r="F274" s="4"/>
      <c r="G274" s="6"/>
      <c r="H274" s="4"/>
      <c r="I274" s="4"/>
      <c r="J274" s="4"/>
      <c r="K274" s="4" t="str">
        <f t="shared" ca="1" si="9"/>
        <v>Sin fecha</v>
      </c>
      <c r="L274" s="8"/>
      <c r="M274" s="8"/>
      <c r="N274" s="4"/>
      <c r="O274" s="4"/>
      <c r="P274" s="4"/>
      <c r="Q274" s="4"/>
      <c r="R274" s="4"/>
      <c r="S274" s="4"/>
      <c r="T274" s="4"/>
      <c r="U274" s="4"/>
      <c r="V274" s="4"/>
      <c r="W274" s="4"/>
      <c r="X274" s="4"/>
      <c r="Y274" s="4"/>
      <c r="Z274" s="4"/>
      <c r="AA274" s="4"/>
      <c r="AB274" s="6"/>
      <c r="AC274" s="4"/>
      <c r="AD274" s="4"/>
    </row>
    <row r="275" spans="1:30">
      <c r="A275" s="4" t="str">
        <f t="shared" si="10"/>
        <v/>
      </c>
      <c r="B275" s="4"/>
      <c r="C275" s="4"/>
      <c r="D275" s="4"/>
      <c r="E275" s="4"/>
      <c r="F275" s="4"/>
      <c r="G275" s="6"/>
      <c r="H275" s="4"/>
      <c r="I275" s="4"/>
      <c r="J275" s="4"/>
      <c r="K275" s="4" t="str">
        <f t="shared" ca="1" si="9"/>
        <v>Sin fecha</v>
      </c>
      <c r="L275" s="8"/>
      <c r="M275" s="8"/>
      <c r="N275" s="4"/>
      <c r="O275" s="4"/>
      <c r="P275" s="4"/>
      <c r="Q275" s="4"/>
      <c r="R275" s="4"/>
      <c r="S275" s="4"/>
      <c r="T275" s="4"/>
      <c r="U275" s="4"/>
      <c r="V275" s="4"/>
      <c r="W275" s="4"/>
      <c r="X275" s="4"/>
      <c r="Y275" s="4"/>
      <c r="Z275" s="4"/>
      <c r="AA275" s="4"/>
      <c r="AB275" s="6"/>
      <c r="AC275" s="4"/>
      <c r="AD275" s="4"/>
    </row>
    <row r="276" spans="1:30">
      <c r="A276" s="4" t="str">
        <f t="shared" si="10"/>
        <v/>
      </c>
      <c r="B276" s="4"/>
      <c r="C276" s="4"/>
      <c r="D276" s="4"/>
      <c r="E276" s="4"/>
      <c r="F276" s="4"/>
      <c r="G276" s="6"/>
      <c r="H276" s="4"/>
      <c r="I276" s="4"/>
      <c r="J276" s="4"/>
      <c r="K276" s="4" t="str">
        <f t="shared" ca="1" si="9"/>
        <v>Sin fecha</v>
      </c>
      <c r="L276" s="8"/>
      <c r="M276" s="8"/>
      <c r="N276" s="4"/>
      <c r="O276" s="4"/>
      <c r="P276" s="4"/>
      <c r="Q276" s="4"/>
      <c r="R276" s="4"/>
      <c r="S276" s="4"/>
      <c r="T276" s="4"/>
      <c r="U276" s="4"/>
      <c r="V276" s="4"/>
      <c r="W276" s="4"/>
      <c r="X276" s="4"/>
      <c r="Y276" s="4"/>
      <c r="Z276" s="4"/>
      <c r="AA276" s="4"/>
      <c r="AB276" s="6"/>
      <c r="AC276" s="4"/>
      <c r="AD276" s="4"/>
    </row>
    <row r="277" spans="1:30">
      <c r="A277" s="4" t="str">
        <f t="shared" si="10"/>
        <v/>
      </c>
      <c r="B277" s="4"/>
      <c r="C277" s="4"/>
      <c r="D277" s="4"/>
      <c r="E277" s="4"/>
      <c r="F277" s="4"/>
      <c r="G277" s="6"/>
      <c r="H277" s="4"/>
      <c r="I277" s="4"/>
      <c r="J277" s="4"/>
      <c r="K277" s="4" t="str">
        <f t="shared" ca="1" si="9"/>
        <v>Sin fecha</v>
      </c>
      <c r="L277" s="8"/>
      <c r="M277" s="8"/>
      <c r="N277" s="4"/>
      <c r="O277" s="4"/>
      <c r="P277" s="4"/>
      <c r="Q277" s="4"/>
      <c r="R277" s="4"/>
      <c r="S277" s="4"/>
      <c r="T277" s="4"/>
      <c r="U277" s="4"/>
      <c r="V277" s="4"/>
      <c r="W277" s="4"/>
      <c r="X277" s="4"/>
      <c r="Y277" s="4"/>
      <c r="Z277" s="4"/>
      <c r="AA277" s="4"/>
      <c r="AB277" s="6"/>
      <c r="AC277" s="4"/>
      <c r="AD277" s="4"/>
    </row>
    <row r="278" spans="1:30">
      <c r="A278" s="4" t="str">
        <f t="shared" si="10"/>
        <v/>
      </c>
      <c r="B278" s="4"/>
      <c r="C278" s="4"/>
      <c r="D278" s="4"/>
      <c r="E278" s="4"/>
      <c r="F278" s="4"/>
      <c r="G278" s="6"/>
      <c r="H278" s="4"/>
      <c r="I278" s="4"/>
      <c r="J278" s="4"/>
      <c r="K278" s="4" t="str">
        <f t="shared" ca="1" si="9"/>
        <v>Sin fecha</v>
      </c>
      <c r="L278" s="8"/>
      <c r="M278" s="8"/>
      <c r="N278" s="4"/>
      <c r="O278" s="4"/>
      <c r="P278" s="4"/>
      <c r="Q278" s="4"/>
      <c r="R278" s="4"/>
      <c r="S278" s="4"/>
      <c r="T278" s="4"/>
      <c r="U278" s="4"/>
      <c r="V278" s="4"/>
      <c r="W278" s="4"/>
      <c r="X278" s="4"/>
      <c r="Y278" s="4"/>
      <c r="Z278" s="4"/>
      <c r="AA278" s="4"/>
      <c r="AB278" s="6"/>
      <c r="AC278" s="4"/>
      <c r="AD278" s="4"/>
    </row>
    <row r="279" spans="1:30">
      <c r="A279" s="4" t="str">
        <f t="shared" si="10"/>
        <v/>
      </c>
      <c r="B279" s="4"/>
      <c r="C279" s="4"/>
      <c r="D279" s="4"/>
      <c r="E279" s="4"/>
      <c r="F279" s="4"/>
      <c r="G279" s="6"/>
      <c r="H279" s="4"/>
      <c r="I279" s="4"/>
      <c r="J279" s="4"/>
      <c r="K279" s="4" t="str">
        <f t="shared" ca="1" si="9"/>
        <v>Sin fecha</v>
      </c>
      <c r="L279" s="8"/>
      <c r="M279" s="8"/>
      <c r="N279" s="4"/>
      <c r="O279" s="4"/>
      <c r="P279" s="4"/>
      <c r="Q279" s="4"/>
      <c r="R279" s="4"/>
      <c r="S279" s="4"/>
      <c r="T279" s="4"/>
      <c r="U279" s="4"/>
      <c r="V279" s="4"/>
      <c r="W279" s="4"/>
      <c r="X279" s="4"/>
      <c r="Y279" s="4"/>
      <c r="Z279" s="4"/>
      <c r="AA279" s="4"/>
      <c r="AB279" s="6"/>
      <c r="AC279" s="4"/>
      <c r="AD279" s="4"/>
    </row>
    <row r="280" spans="1:30">
      <c r="A280" s="4" t="str">
        <f t="shared" si="10"/>
        <v/>
      </c>
      <c r="B280" s="4"/>
      <c r="C280" s="4"/>
      <c r="D280" s="4"/>
      <c r="E280" s="4"/>
      <c r="F280" s="4"/>
      <c r="G280" s="6"/>
      <c r="H280" s="4"/>
      <c r="I280" s="4"/>
      <c r="J280" s="4"/>
      <c r="K280" s="4" t="str">
        <f t="shared" ca="1" si="9"/>
        <v>Sin fecha</v>
      </c>
      <c r="L280" s="8"/>
      <c r="M280" s="8"/>
      <c r="N280" s="4"/>
      <c r="O280" s="4"/>
      <c r="P280" s="4"/>
      <c r="Q280" s="4"/>
      <c r="R280" s="4"/>
      <c r="S280" s="4"/>
      <c r="T280" s="4"/>
      <c r="U280" s="4"/>
      <c r="V280" s="4"/>
      <c r="W280" s="4"/>
      <c r="X280" s="4"/>
      <c r="Y280" s="4"/>
      <c r="Z280" s="4"/>
      <c r="AA280" s="4"/>
      <c r="AB280" s="6"/>
      <c r="AC280" s="4"/>
      <c r="AD280" s="4"/>
    </row>
    <row r="281" spans="1:30">
      <c r="A281" s="4" t="str">
        <f t="shared" si="10"/>
        <v/>
      </c>
      <c r="B281" s="4"/>
      <c r="C281" s="4"/>
      <c r="D281" s="4"/>
      <c r="E281" s="4"/>
      <c r="F281" s="4"/>
      <c r="G281" s="6"/>
      <c r="H281" s="4"/>
      <c r="I281" s="4"/>
      <c r="J281" s="4"/>
      <c r="K281" s="4" t="str">
        <f t="shared" ca="1" si="9"/>
        <v>Sin fecha</v>
      </c>
      <c r="L281" s="8"/>
      <c r="M281" s="8"/>
      <c r="N281" s="4"/>
      <c r="O281" s="4"/>
      <c r="P281" s="4"/>
      <c r="Q281" s="4"/>
      <c r="R281" s="4"/>
      <c r="S281" s="4"/>
      <c r="T281" s="4"/>
      <c r="U281" s="4"/>
      <c r="V281" s="4"/>
      <c r="W281" s="4"/>
      <c r="X281" s="4"/>
      <c r="Y281" s="4"/>
      <c r="Z281" s="4"/>
      <c r="AA281" s="4"/>
      <c r="AB281" s="6"/>
      <c r="AC281" s="4"/>
      <c r="AD281" s="4"/>
    </row>
    <row r="282" spans="1:30">
      <c r="A282" s="4" t="str">
        <f t="shared" si="10"/>
        <v/>
      </c>
      <c r="B282" s="4"/>
      <c r="C282" s="4"/>
      <c r="D282" s="4"/>
      <c r="E282" s="4"/>
      <c r="F282" s="4"/>
      <c r="G282" s="6"/>
      <c r="H282" s="4"/>
      <c r="I282" s="4"/>
      <c r="J282" s="4"/>
      <c r="K282" s="4" t="str">
        <f t="shared" ca="1" si="9"/>
        <v>Sin fecha</v>
      </c>
      <c r="L282" s="8"/>
      <c r="M282" s="8"/>
      <c r="N282" s="4"/>
      <c r="O282" s="4"/>
      <c r="P282" s="4"/>
      <c r="Q282" s="4"/>
      <c r="R282" s="4"/>
      <c r="S282" s="4"/>
      <c r="T282" s="4"/>
      <c r="U282" s="4"/>
      <c r="V282" s="4"/>
      <c r="W282" s="4"/>
      <c r="X282" s="4"/>
      <c r="Y282" s="4"/>
      <c r="Z282" s="4"/>
      <c r="AA282" s="4"/>
      <c r="AB282" s="6"/>
      <c r="AC282" s="4"/>
      <c r="AD282" s="4"/>
    </row>
    <row r="283" spans="1:30">
      <c r="A283" s="4" t="str">
        <f t="shared" si="10"/>
        <v/>
      </c>
      <c r="B283" s="4"/>
      <c r="C283" s="4"/>
      <c r="D283" s="4"/>
      <c r="E283" s="4"/>
      <c r="F283" s="4"/>
      <c r="G283" s="6"/>
      <c r="H283" s="4"/>
      <c r="I283" s="4"/>
      <c r="J283" s="4"/>
      <c r="K283" s="4" t="str">
        <f t="shared" ca="1" si="9"/>
        <v>Sin fecha</v>
      </c>
      <c r="L283" s="8"/>
      <c r="M283" s="8"/>
      <c r="N283" s="4"/>
      <c r="O283" s="4"/>
      <c r="P283" s="4"/>
      <c r="Q283" s="4"/>
      <c r="R283" s="4"/>
      <c r="S283" s="4"/>
      <c r="T283" s="4"/>
      <c r="U283" s="4"/>
      <c r="V283" s="4"/>
      <c r="W283" s="4"/>
      <c r="X283" s="4"/>
      <c r="Y283" s="4"/>
      <c r="Z283" s="4"/>
      <c r="AA283" s="4"/>
      <c r="AB283" s="6"/>
      <c r="AC283" s="4"/>
      <c r="AD283" s="4"/>
    </row>
    <row r="284" spans="1:30">
      <c r="A284" s="4" t="str">
        <f t="shared" si="10"/>
        <v/>
      </c>
      <c r="B284" s="4"/>
      <c r="C284" s="4"/>
      <c r="D284" s="4"/>
      <c r="E284" s="4"/>
      <c r="F284" s="4"/>
      <c r="G284" s="6"/>
      <c r="H284" s="4"/>
      <c r="I284" s="4"/>
      <c r="J284" s="4"/>
      <c r="K284" s="4" t="str">
        <f t="shared" ca="1" si="9"/>
        <v>Sin fecha</v>
      </c>
      <c r="L284" s="8"/>
      <c r="M284" s="8"/>
      <c r="N284" s="4"/>
      <c r="O284" s="4"/>
      <c r="P284" s="4"/>
      <c r="Q284" s="4"/>
      <c r="R284" s="4"/>
      <c r="S284" s="4"/>
      <c r="T284" s="4"/>
      <c r="U284" s="4"/>
      <c r="V284" s="4"/>
      <c r="W284" s="4"/>
      <c r="X284" s="4"/>
      <c r="Y284" s="4"/>
      <c r="Z284" s="4"/>
      <c r="AA284" s="4"/>
      <c r="AB284" s="6"/>
      <c r="AC284" s="4"/>
      <c r="AD284" s="4"/>
    </row>
    <row r="285" spans="1:30">
      <c r="A285" s="4" t="str">
        <f t="shared" si="10"/>
        <v/>
      </c>
      <c r="B285" s="4"/>
      <c r="C285" s="4"/>
      <c r="D285" s="4"/>
      <c r="E285" s="4"/>
      <c r="F285" s="4"/>
      <c r="G285" s="6"/>
      <c r="H285" s="4"/>
      <c r="I285" s="4"/>
      <c r="J285" s="4"/>
      <c r="K285" s="4" t="str">
        <f t="shared" ca="1" si="9"/>
        <v>Sin fecha</v>
      </c>
      <c r="L285" s="8"/>
      <c r="M285" s="8"/>
      <c r="N285" s="4"/>
      <c r="O285" s="4"/>
      <c r="P285" s="4"/>
      <c r="Q285" s="4"/>
      <c r="R285" s="4"/>
      <c r="S285" s="4"/>
      <c r="T285" s="4"/>
      <c r="U285" s="4"/>
      <c r="V285" s="4"/>
      <c r="W285" s="4"/>
      <c r="X285" s="4"/>
      <c r="Y285" s="4"/>
      <c r="Z285" s="4"/>
      <c r="AA285" s="4"/>
      <c r="AB285" s="6"/>
      <c r="AC285" s="4"/>
      <c r="AD285" s="4"/>
    </row>
    <row r="286" spans="1:30">
      <c r="A286" s="4" t="str">
        <f t="shared" si="10"/>
        <v/>
      </c>
      <c r="B286" s="4"/>
      <c r="C286" s="4"/>
      <c r="D286" s="4"/>
      <c r="E286" s="4"/>
      <c r="F286" s="4"/>
      <c r="G286" s="6"/>
      <c r="H286" s="4"/>
      <c r="I286" s="4"/>
      <c r="J286" s="4"/>
      <c r="K286" s="4" t="str">
        <f t="shared" ca="1" si="9"/>
        <v>Sin fecha</v>
      </c>
      <c r="L286" s="8"/>
      <c r="M286" s="8"/>
      <c r="N286" s="4"/>
      <c r="O286" s="4"/>
      <c r="P286" s="4"/>
      <c r="Q286" s="4"/>
      <c r="R286" s="4"/>
      <c r="S286" s="4"/>
      <c r="T286" s="4"/>
      <c r="U286" s="4"/>
      <c r="V286" s="4"/>
      <c r="W286" s="4"/>
      <c r="X286" s="4"/>
      <c r="Y286" s="4"/>
      <c r="Z286" s="4"/>
      <c r="AA286" s="4"/>
      <c r="AB286" s="6"/>
      <c r="AC286" s="4"/>
      <c r="AD286" s="4"/>
    </row>
    <row r="287" spans="1:30">
      <c r="A287" s="4" t="str">
        <f t="shared" si="10"/>
        <v/>
      </c>
      <c r="B287" s="4"/>
      <c r="C287" s="4"/>
      <c r="D287" s="4"/>
      <c r="E287" s="4"/>
      <c r="F287" s="4"/>
      <c r="G287" s="6"/>
      <c r="H287" s="4"/>
      <c r="I287" s="4"/>
      <c r="J287" s="4"/>
      <c r="K287" s="4" t="str">
        <f t="shared" ca="1" si="9"/>
        <v>Sin fecha</v>
      </c>
      <c r="L287" s="8"/>
      <c r="M287" s="8"/>
      <c r="N287" s="4"/>
      <c r="O287" s="4"/>
      <c r="P287" s="4"/>
      <c r="Q287" s="4"/>
      <c r="R287" s="4"/>
      <c r="S287" s="4"/>
      <c r="T287" s="4"/>
      <c r="U287" s="4"/>
      <c r="V287" s="4"/>
      <c r="W287" s="4"/>
      <c r="X287" s="4"/>
      <c r="Y287" s="4"/>
      <c r="Z287" s="4"/>
      <c r="AA287" s="4"/>
      <c r="AB287" s="6"/>
      <c r="AC287" s="4"/>
      <c r="AD287" s="4"/>
    </row>
    <row r="288" spans="1:30">
      <c r="A288" s="4" t="str">
        <f t="shared" si="10"/>
        <v/>
      </c>
      <c r="B288" s="4"/>
      <c r="C288" s="4"/>
      <c r="D288" s="4"/>
      <c r="E288" s="4"/>
      <c r="F288" s="4"/>
      <c r="G288" s="6"/>
      <c r="H288" s="4"/>
      <c r="I288" s="4"/>
      <c r="J288" s="4"/>
      <c r="K288" s="4" t="str">
        <f t="shared" ca="1" si="9"/>
        <v>Sin fecha</v>
      </c>
      <c r="L288" s="8"/>
      <c r="M288" s="8"/>
      <c r="N288" s="4"/>
      <c r="O288" s="4"/>
      <c r="P288" s="4"/>
      <c r="Q288" s="4"/>
      <c r="R288" s="4"/>
      <c r="S288" s="4"/>
      <c r="T288" s="4"/>
      <c r="U288" s="4"/>
      <c r="V288" s="4"/>
      <c r="W288" s="4"/>
      <c r="X288" s="4"/>
      <c r="Y288" s="4"/>
      <c r="Z288" s="4"/>
      <c r="AA288" s="4"/>
      <c r="AB288" s="6"/>
      <c r="AC288" s="4"/>
      <c r="AD288" s="4"/>
    </row>
    <row r="289" spans="1:30">
      <c r="A289" s="4" t="str">
        <f t="shared" si="10"/>
        <v/>
      </c>
      <c r="B289" s="4"/>
      <c r="C289" s="4"/>
      <c r="D289" s="4"/>
      <c r="E289" s="4"/>
      <c r="F289" s="4"/>
      <c r="G289" s="6"/>
      <c r="H289" s="4"/>
      <c r="I289" s="4"/>
      <c r="J289" s="4"/>
      <c r="K289" s="4" t="str">
        <f t="shared" ca="1" si="9"/>
        <v>Sin fecha</v>
      </c>
      <c r="L289" s="8"/>
      <c r="M289" s="8"/>
      <c r="N289" s="4"/>
      <c r="O289" s="4"/>
      <c r="P289" s="4"/>
      <c r="Q289" s="4"/>
      <c r="R289" s="4"/>
      <c r="S289" s="4"/>
      <c r="T289" s="4"/>
      <c r="U289" s="4"/>
      <c r="V289" s="4"/>
      <c r="W289" s="4"/>
      <c r="X289" s="4"/>
      <c r="Y289" s="4"/>
      <c r="Z289" s="4"/>
      <c r="AA289" s="4"/>
      <c r="AB289" s="6"/>
      <c r="AC289" s="4"/>
      <c r="AD289" s="4"/>
    </row>
    <row r="290" spans="1:30">
      <c r="A290" s="4" t="str">
        <f t="shared" si="10"/>
        <v/>
      </c>
      <c r="B290" s="4"/>
      <c r="C290" s="4"/>
      <c r="D290" s="4"/>
      <c r="E290" s="4"/>
      <c r="F290" s="4"/>
      <c r="G290" s="6"/>
      <c r="H290" s="4"/>
      <c r="I290" s="4"/>
      <c r="J290" s="4"/>
      <c r="K290" s="4" t="str">
        <f t="shared" ca="1" si="9"/>
        <v>Sin fecha</v>
      </c>
      <c r="L290" s="8"/>
      <c r="M290" s="8"/>
      <c r="N290" s="4"/>
      <c r="O290" s="4"/>
      <c r="P290" s="4"/>
      <c r="Q290" s="4"/>
      <c r="R290" s="4"/>
      <c r="S290" s="4"/>
      <c r="T290" s="4"/>
      <c r="U290" s="4"/>
      <c r="V290" s="4"/>
      <c r="W290" s="4"/>
      <c r="X290" s="4"/>
      <c r="Y290" s="4"/>
      <c r="Z290" s="4"/>
      <c r="AA290" s="4"/>
      <c r="AB290" s="6"/>
      <c r="AC290" s="4"/>
      <c r="AD290" s="4"/>
    </row>
    <row r="291" spans="1:30">
      <c r="A291" s="4" t="str">
        <f t="shared" si="10"/>
        <v/>
      </c>
      <c r="B291" s="4"/>
      <c r="C291" s="4"/>
      <c r="D291" s="4"/>
      <c r="E291" s="4"/>
      <c r="F291" s="4"/>
      <c r="G291" s="6"/>
      <c r="H291" s="4"/>
      <c r="I291" s="4"/>
      <c r="J291" s="4"/>
      <c r="K291" s="4" t="str">
        <f t="shared" ca="1" si="9"/>
        <v>Sin fecha</v>
      </c>
      <c r="L291" s="8"/>
      <c r="M291" s="8"/>
      <c r="N291" s="4"/>
      <c r="O291" s="4"/>
      <c r="P291" s="4"/>
      <c r="Q291" s="4"/>
      <c r="R291" s="4"/>
      <c r="S291" s="4"/>
      <c r="T291" s="4"/>
      <c r="U291" s="4"/>
      <c r="V291" s="4"/>
      <c r="W291" s="4"/>
      <c r="X291" s="4"/>
      <c r="Y291" s="4"/>
      <c r="Z291" s="4"/>
      <c r="AA291" s="4"/>
      <c r="AB291" s="6"/>
      <c r="AC291" s="4"/>
      <c r="AD291" s="4"/>
    </row>
    <row r="292" spans="1:30">
      <c r="A292" s="4" t="str">
        <f t="shared" si="10"/>
        <v/>
      </c>
      <c r="B292" s="4"/>
      <c r="C292" s="4"/>
      <c r="D292" s="4"/>
      <c r="E292" s="4"/>
      <c r="F292" s="4"/>
      <c r="G292" s="6"/>
      <c r="H292" s="4"/>
      <c r="I292" s="4"/>
      <c r="J292" s="4"/>
      <c r="K292" s="4" t="str">
        <f t="shared" ca="1" si="9"/>
        <v>Sin fecha</v>
      </c>
      <c r="L292" s="8"/>
      <c r="M292" s="8"/>
      <c r="N292" s="4"/>
      <c r="O292" s="4"/>
      <c r="P292" s="4"/>
      <c r="Q292" s="4"/>
      <c r="R292" s="4"/>
      <c r="S292" s="4"/>
      <c r="T292" s="4"/>
      <c r="U292" s="4"/>
      <c r="V292" s="4"/>
      <c r="W292" s="4"/>
      <c r="X292" s="4"/>
      <c r="Y292" s="4"/>
      <c r="Z292" s="4"/>
      <c r="AA292" s="4"/>
      <c r="AB292" s="6"/>
      <c r="AC292" s="4"/>
      <c r="AD292" s="4"/>
    </row>
    <row r="293" spans="1:30">
      <c r="A293" s="4" t="str">
        <f t="shared" si="10"/>
        <v/>
      </c>
      <c r="B293" s="4"/>
      <c r="C293" s="4"/>
      <c r="D293" s="4"/>
      <c r="E293" s="4"/>
      <c r="F293" s="4"/>
      <c r="G293" s="6"/>
      <c r="H293" s="4"/>
      <c r="I293" s="4"/>
      <c r="J293" s="4"/>
      <c r="K293" s="4" t="str">
        <f t="shared" ca="1" si="9"/>
        <v>Sin fecha</v>
      </c>
      <c r="L293" s="8"/>
      <c r="M293" s="8"/>
      <c r="N293" s="4"/>
      <c r="O293" s="4"/>
      <c r="P293" s="4"/>
      <c r="Q293" s="4"/>
      <c r="R293" s="4"/>
      <c r="S293" s="4"/>
      <c r="T293" s="4"/>
      <c r="U293" s="4"/>
      <c r="V293" s="4"/>
      <c r="W293" s="4"/>
      <c r="X293" s="4"/>
      <c r="Y293" s="4"/>
      <c r="Z293" s="4"/>
      <c r="AA293" s="4"/>
      <c r="AB293" s="6"/>
      <c r="AC293" s="4"/>
      <c r="AD293" s="4"/>
    </row>
    <row r="294" spans="1:30">
      <c r="A294" s="4" t="str">
        <f t="shared" si="10"/>
        <v/>
      </c>
      <c r="B294" s="4"/>
      <c r="C294" s="4"/>
      <c r="D294" s="4"/>
      <c r="E294" s="4"/>
      <c r="F294" s="4"/>
      <c r="G294" s="6"/>
      <c r="H294" s="4"/>
      <c r="I294" s="4"/>
      <c r="J294" s="4"/>
      <c r="K294" s="4" t="str">
        <f t="shared" ca="1" si="9"/>
        <v>Sin fecha</v>
      </c>
      <c r="L294" s="8"/>
      <c r="M294" s="8"/>
      <c r="N294" s="4"/>
      <c r="O294" s="4"/>
      <c r="P294" s="4"/>
      <c r="Q294" s="4"/>
      <c r="R294" s="4"/>
      <c r="S294" s="4"/>
      <c r="T294" s="4"/>
      <c r="U294" s="4"/>
      <c r="V294" s="4"/>
      <c r="W294" s="4"/>
      <c r="X294" s="4"/>
      <c r="Y294" s="4"/>
      <c r="Z294" s="4"/>
      <c r="AA294" s="4"/>
      <c r="AB294" s="6"/>
      <c r="AC294" s="4"/>
      <c r="AD294" s="4"/>
    </row>
    <row r="295" spans="1:30">
      <c r="A295" s="4" t="str">
        <f t="shared" si="10"/>
        <v/>
      </c>
      <c r="B295" s="4"/>
      <c r="C295" s="4"/>
      <c r="D295" s="4"/>
      <c r="E295" s="4"/>
      <c r="F295" s="4"/>
      <c r="G295" s="6"/>
      <c r="H295" s="4"/>
      <c r="I295" s="4"/>
      <c r="J295" s="4"/>
      <c r="K295" s="4" t="str">
        <f t="shared" ca="1" si="9"/>
        <v>Sin fecha</v>
      </c>
      <c r="L295" s="8"/>
      <c r="M295" s="8"/>
      <c r="N295" s="4"/>
      <c r="O295" s="4"/>
      <c r="P295" s="4"/>
      <c r="Q295" s="4"/>
      <c r="R295" s="4"/>
      <c r="S295" s="4"/>
      <c r="T295" s="4"/>
      <c r="U295" s="4"/>
      <c r="V295" s="4"/>
      <c r="W295" s="4"/>
      <c r="X295" s="4"/>
      <c r="Y295" s="4"/>
      <c r="Z295" s="4"/>
      <c r="AA295" s="4"/>
      <c r="AB295" s="6"/>
      <c r="AC295" s="4"/>
      <c r="AD295" s="4"/>
    </row>
    <row r="296" spans="1:30">
      <c r="A296" s="4" t="str">
        <f t="shared" si="10"/>
        <v/>
      </c>
      <c r="B296" s="4"/>
      <c r="C296" s="4"/>
      <c r="D296" s="4"/>
      <c r="E296" s="4"/>
      <c r="F296" s="4"/>
      <c r="G296" s="6"/>
      <c r="H296" s="4"/>
      <c r="I296" s="4"/>
      <c r="J296" s="4"/>
      <c r="K296" s="4" t="str">
        <f t="shared" ca="1" si="9"/>
        <v>Sin fecha</v>
      </c>
      <c r="L296" s="8"/>
      <c r="M296" s="8"/>
      <c r="N296" s="4"/>
      <c r="O296" s="4"/>
      <c r="P296" s="4"/>
      <c r="Q296" s="4"/>
      <c r="R296" s="4"/>
      <c r="S296" s="4"/>
      <c r="T296" s="4"/>
      <c r="U296" s="4"/>
      <c r="V296" s="4"/>
      <c r="W296" s="4"/>
      <c r="X296" s="4"/>
      <c r="Y296" s="4"/>
      <c r="Z296" s="4"/>
      <c r="AA296" s="4"/>
      <c r="AB296" s="6"/>
      <c r="AC296" s="4"/>
      <c r="AD296" s="4"/>
    </row>
    <row r="297" spans="1:30">
      <c r="A297" s="4" t="str">
        <f t="shared" si="10"/>
        <v/>
      </c>
      <c r="B297" s="4"/>
      <c r="C297" s="4"/>
      <c r="D297" s="4"/>
      <c r="E297" s="4"/>
      <c r="F297" s="4"/>
      <c r="G297" s="6"/>
      <c r="H297" s="4"/>
      <c r="I297" s="4"/>
      <c r="J297" s="4"/>
      <c r="K297" s="4" t="str">
        <f t="shared" ca="1" si="9"/>
        <v>Sin fecha</v>
      </c>
      <c r="L297" s="8"/>
      <c r="M297" s="8"/>
      <c r="N297" s="4"/>
      <c r="O297" s="4"/>
      <c r="P297" s="4"/>
      <c r="Q297" s="4"/>
      <c r="R297" s="4"/>
      <c r="S297" s="4"/>
      <c r="T297" s="4"/>
      <c r="U297" s="4"/>
      <c r="V297" s="4"/>
      <c r="W297" s="4"/>
      <c r="X297" s="4"/>
      <c r="Y297" s="4"/>
      <c r="Z297" s="4"/>
      <c r="AA297" s="4"/>
      <c r="AB297" s="6"/>
      <c r="AC297" s="4"/>
      <c r="AD297" s="4"/>
    </row>
    <row r="298" spans="1:30">
      <c r="A298" s="4" t="str">
        <f t="shared" si="10"/>
        <v/>
      </c>
      <c r="B298" s="4"/>
      <c r="C298" s="4"/>
      <c r="D298" s="4"/>
      <c r="E298" s="4"/>
      <c r="F298" s="4"/>
      <c r="G298" s="6"/>
      <c r="H298" s="4"/>
      <c r="I298" s="4"/>
      <c r="J298" s="4"/>
      <c r="K298" s="4" t="str">
        <f t="shared" ca="1" si="9"/>
        <v>Sin fecha</v>
      </c>
      <c r="L298" s="8"/>
      <c r="M298" s="8"/>
      <c r="N298" s="4"/>
      <c r="O298" s="4"/>
      <c r="P298" s="4"/>
      <c r="Q298" s="4"/>
      <c r="R298" s="4"/>
      <c r="S298" s="4"/>
      <c r="T298" s="4"/>
      <c r="U298" s="4"/>
      <c r="V298" s="4"/>
      <c r="W298" s="4"/>
      <c r="X298" s="4"/>
      <c r="Y298" s="4"/>
      <c r="Z298" s="4"/>
      <c r="AA298" s="4"/>
      <c r="AB298" s="6"/>
      <c r="AC298" s="4"/>
      <c r="AD298" s="4"/>
    </row>
    <row r="299" spans="1:30">
      <c r="A299" s="4" t="str">
        <f t="shared" si="10"/>
        <v/>
      </c>
      <c r="B299" s="4"/>
      <c r="C299" s="4"/>
      <c r="D299" s="4"/>
      <c r="E299" s="4"/>
      <c r="F299" s="4"/>
      <c r="G299" s="6"/>
      <c r="H299" s="4"/>
      <c r="I299" s="4"/>
      <c r="J299" s="4"/>
      <c r="K299" s="4" t="str">
        <f t="shared" ca="1" si="9"/>
        <v>Sin fecha</v>
      </c>
      <c r="L299" s="8"/>
      <c r="M299" s="8"/>
      <c r="N299" s="4"/>
      <c r="O299" s="4"/>
      <c r="P299" s="4"/>
      <c r="Q299" s="4"/>
      <c r="R299" s="4"/>
      <c r="S299" s="4"/>
      <c r="T299" s="4"/>
      <c r="U299" s="4"/>
      <c r="V299" s="4"/>
      <c r="W299" s="4"/>
      <c r="X299" s="4"/>
      <c r="Y299" s="4"/>
      <c r="Z299" s="4"/>
      <c r="AA299" s="4"/>
      <c r="AB299" s="6"/>
      <c r="AC299" s="4"/>
      <c r="AD299" s="4"/>
    </row>
    <row r="300" spans="1:30">
      <c r="A300" s="4" t="str">
        <f t="shared" si="10"/>
        <v/>
      </c>
      <c r="B300" s="4"/>
      <c r="C300" s="4"/>
      <c r="D300" s="4"/>
      <c r="E300" s="4"/>
      <c r="F300" s="4"/>
      <c r="G300" s="6"/>
      <c r="H300" s="4"/>
      <c r="I300" s="4"/>
      <c r="J300" s="4"/>
      <c r="K300" s="4" t="str">
        <f t="shared" ca="1" si="9"/>
        <v>Sin fecha</v>
      </c>
      <c r="L300" s="8"/>
      <c r="M300" s="8"/>
      <c r="N300" s="4"/>
      <c r="O300" s="4"/>
      <c r="P300" s="4"/>
      <c r="Q300" s="4"/>
      <c r="R300" s="4"/>
      <c r="S300" s="4"/>
      <c r="T300" s="4"/>
      <c r="U300" s="4"/>
      <c r="V300" s="4"/>
      <c r="W300" s="4"/>
      <c r="X300" s="4"/>
      <c r="Y300" s="4"/>
      <c r="Z300" s="4"/>
      <c r="AA300" s="4"/>
      <c r="AB300" s="6"/>
      <c r="AC300" s="4"/>
      <c r="AD300" s="4"/>
    </row>
    <row r="301" spans="1:30">
      <c r="A301" s="4" t="str">
        <f t="shared" si="10"/>
        <v/>
      </c>
      <c r="B301" s="4"/>
      <c r="C301" s="4"/>
      <c r="D301" s="4"/>
      <c r="E301" s="4"/>
      <c r="F301" s="4"/>
      <c r="G301" s="6"/>
      <c r="H301" s="4"/>
      <c r="I301" s="4"/>
      <c r="J301" s="4"/>
      <c r="K301" s="4" t="str">
        <f t="shared" ca="1" si="9"/>
        <v>Sin fecha</v>
      </c>
      <c r="L301" s="8"/>
      <c r="M301" s="8"/>
      <c r="N301" s="4"/>
      <c r="O301" s="4"/>
      <c r="P301" s="4"/>
      <c r="Q301" s="4"/>
      <c r="R301" s="4"/>
      <c r="S301" s="4"/>
      <c r="T301" s="4"/>
      <c r="U301" s="4"/>
      <c r="V301" s="4"/>
      <c r="W301" s="4"/>
      <c r="X301" s="4"/>
      <c r="Y301" s="4"/>
      <c r="Z301" s="4"/>
      <c r="AA301" s="4"/>
      <c r="AB301" s="6"/>
      <c r="AC301" s="4"/>
      <c r="AD301" s="4"/>
    </row>
    <row r="302" spans="1:30">
      <c r="A302" s="4" t="str">
        <f t="shared" si="10"/>
        <v/>
      </c>
      <c r="B302" s="4"/>
      <c r="C302" s="4"/>
      <c r="D302" s="4"/>
      <c r="E302" s="4"/>
      <c r="F302" s="4"/>
      <c r="G302" s="6"/>
      <c r="H302" s="4"/>
      <c r="I302" s="4"/>
      <c r="J302" s="4"/>
      <c r="K302" s="4" t="str">
        <f t="shared" ca="1" si="9"/>
        <v>Sin fecha</v>
      </c>
      <c r="L302" s="8"/>
      <c r="M302" s="8"/>
      <c r="N302" s="4"/>
      <c r="O302" s="4"/>
      <c r="P302" s="4"/>
      <c r="Q302" s="4"/>
      <c r="R302" s="4"/>
      <c r="S302" s="4"/>
      <c r="T302" s="4"/>
      <c r="U302" s="4"/>
      <c r="V302" s="4"/>
      <c r="W302" s="4"/>
      <c r="X302" s="4"/>
      <c r="Y302" s="4"/>
      <c r="Z302" s="4"/>
      <c r="AA302" s="4"/>
      <c r="AB302" s="6"/>
      <c r="AC302" s="4"/>
      <c r="AD302" s="4"/>
    </row>
    <row r="303" spans="1:30">
      <c r="A303" s="4" t="str">
        <f t="shared" si="10"/>
        <v/>
      </c>
      <c r="B303" s="4"/>
      <c r="C303" s="4"/>
      <c r="D303" s="4"/>
      <c r="E303" s="4"/>
      <c r="F303" s="4"/>
      <c r="G303" s="6"/>
      <c r="H303" s="4"/>
      <c r="I303" s="4"/>
      <c r="J303" s="4"/>
      <c r="K303" s="4" t="str">
        <f t="shared" ca="1" si="9"/>
        <v>Sin fecha</v>
      </c>
      <c r="L303" s="8"/>
      <c r="M303" s="8"/>
      <c r="N303" s="4"/>
      <c r="O303" s="4"/>
      <c r="P303" s="4"/>
      <c r="Q303" s="4"/>
      <c r="R303" s="4"/>
      <c r="S303" s="4"/>
      <c r="T303" s="4"/>
      <c r="U303" s="4"/>
      <c r="V303" s="4"/>
      <c r="W303" s="4"/>
      <c r="X303" s="4"/>
      <c r="Y303" s="4"/>
      <c r="Z303" s="4"/>
      <c r="AA303" s="4"/>
      <c r="AB303" s="6"/>
      <c r="AC303" s="4"/>
      <c r="AD303" s="4"/>
    </row>
    <row r="304" spans="1:30">
      <c r="A304" s="4" t="str">
        <f t="shared" si="10"/>
        <v/>
      </c>
      <c r="B304" s="4"/>
      <c r="C304" s="4"/>
      <c r="D304" s="4"/>
      <c r="E304" s="4"/>
      <c r="F304" s="4"/>
      <c r="G304" s="6"/>
      <c r="H304" s="4"/>
      <c r="I304" s="4"/>
      <c r="J304" s="4"/>
      <c r="K304" s="4" t="str">
        <f t="shared" ca="1" si="9"/>
        <v>Sin fecha</v>
      </c>
      <c r="L304" s="8"/>
      <c r="M304" s="8"/>
      <c r="N304" s="4"/>
      <c r="O304" s="4"/>
      <c r="P304" s="4"/>
      <c r="Q304" s="4"/>
      <c r="R304" s="4"/>
      <c r="S304" s="4"/>
      <c r="T304" s="4"/>
      <c r="U304" s="4"/>
      <c r="V304" s="4"/>
      <c r="W304" s="4"/>
      <c r="X304" s="4"/>
      <c r="Y304" s="4"/>
      <c r="Z304" s="4"/>
      <c r="AA304" s="4"/>
      <c r="AB304" s="6"/>
      <c r="AC304" s="4"/>
      <c r="AD304" s="4"/>
    </row>
    <row r="305" spans="1:30">
      <c r="A305" s="4" t="str">
        <f t="shared" si="10"/>
        <v/>
      </c>
      <c r="B305" s="4"/>
      <c r="C305" s="4"/>
      <c r="D305" s="4"/>
      <c r="E305" s="4"/>
      <c r="F305" s="4"/>
      <c r="G305" s="6"/>
      <c r="H305" s="4"/>
      <c r="I305" s="4"/>
      <c r="J305" s="4"/>
      <c r="K305" s="4" t="str">
        <f t="shared" ca="1" si="9"/>
        <v>Sin fecha</v>
      </c>
      <c r="L305" s="8"/>
      <c r="M305" s="8"/>
      <c r="N305" s="4"/>
      <c r="O305" s="4"/>
      <c r="P305" s="4"/>
      <c r="Q305" s="4"/>
      <c r="R305" s="4"/>
      <c r="S305" s="4"/>
      <c r="T305" s="4"/>
      <c r="U305" s="4"/>
      <c r="V305" s="4"/>
      <c r="W305" s="4"/>
      <c r="X305" s="4"/>
      <c r="Y305" s="4"/>
      <c r="Z305" s="4"/>
      <c r="AA305" s="4"/>
      <c r="AB305" s="6"/>
      <c r="AC305" s="4"/>
      <c r="AD305" s="4"/>
    </row>
    <row r="306" spans="1:30">
      <c r="A306" s="4" t="str">
        <f t="shared" si="10"/>
        <v/>
      </c>
      <c r="B306" s="4"/>
      <c r="C306" s="4"/>
      <c r="D306" s="4"/>
      <c r="E306" s="4"/>
      <c r="F306" s="4"/>
      <c r="G306" s="6"/>
      <c r="H306" s="4"/>
      <c r="I306" s="4"/>
      <c r="J306" s="4"/>
      <c r="K306" s="4" t="str">
        <f t="shared" ca="1" si="9"/>
        <v>Sin fecha</v>
      </c>
      <c r="L306" s="8"/>
      <c r="M306" s="8"/>
      <c r="N306" s="4"/>
      <c r="O306" s="4"/>
      <c r="P306" s="4"/>
      <c r="Q306" s="4"/>
      <c r="R306" s="4"/>
      <c r="S306" s="4"/>
      <c r="T306" s="4"/>
      <c r="U306" s="4"/>
      <c r="V306" s="4"/>
      <c r="W306" s="4"/>
      <c r="X306" s="4"/>
      <c r="Y306" s="4"/>
      <c r="Z306" s="4"/>
      <c r="AA306" s="4"/>
      <c r="AB306" s="6"/>
      <c r="AC306" s="4"/>
      <c r="AD306" s="4"/>
    </row>
    <row r="307" spans="1:30">
      <c r="A307" s="4" t="str">
        <f t="shared" si="10"/>
        <v/>
      </c>
      <c r="B307" s="4"/>
      <c r="C307" s="4"/>
      <c r="D307" s="4"/>
      <c r="E307" s="4"/>
      <c r="F307" s="4"/>
      <c r="G307" s="6"/>
      <c r="H307" s="4"/>
      <c r="I307" s="4"/>
      <c r="J307" s="4"/>
      <c r="K307" s="4" t="str">
        <f t="shared" ca="1" si="9"/>
        <v>Sin fecha</v>
      </c>
      <c r="L307" s="8"/>
      <c r="M307" s="8"/>
      <c r="N307" s="4"/>
      <c r="O307" s="4"/>
      <c r="P307" s="4"/>
      <c r="Q307" s="4"/>
      <c r="R307" s="4"/>
      <c r="S307" s="4"/>
      <c r="T307" s="4"/>
      <c r="U307" s="4"/>
      <c r="V307" s="4"/>
      <c r="W307" s="4"/>
      <c r="X307" s="4"/>
      <c r="Y307" s="4"/>
      <c r="Z307" s="4"/>
      <c r="AA307" s="4"/>
      <c r="AB307" s="6"/>
      <c r="AC307" s="4"/>
      <c r="AD307" s="4"/>
    </row>
    <row r="308" spans="1:30">
      <c r="A308" s="4" t="str">
        <f t="shared" si="10"/>
        <v/>
      </c>
      <c r="B308" s="4"/>
      <c r="C308" s="4"/>
      <c r="D308" s="4"/>
      <c r="E308" s="4"/>
      <c r="F308" s="4"/>
      <c r="G308" s="6"/>
      <c r="H308" s="4"/>
      <c r="I308" s="4"/>
      <c r="J308" s="4"/>
      <c r="K308" s="4" t="str">
        <f t="shared" ca="1" si="9"/>
        <v>Sin fecha</v>
      </c>
      <c r="L308" s="8"/>
      <c r="M308" s="8"/>
      <c r="N308" s="4"/>
      <c r="O308" s="4"/>
      <c r="P308" s="4"/>
      <c r="Q308" s="4"/>
      <c r="R308" s="4"/>
      <c r="S308" s="4"/>
      <c r="T308" s="4"/>
      <c r="U308" s="4"/>
      <c r="V308" s="4"/>
      <c r="W308" s="4"/>
      <c r="X308" s="4"/>
      <c r="Y308" s="4"/>
      <c r="Z308" s="4"/>
      <c r="AA308" s="4"/>
      <c r="AB308" s="6"/>
      <c r="AC308" s="4"/>
      <c r="AD308" s="4"/>
    </row>
    <row r="309" spans="1:30">
      <c r="A309" s="4" t="str">
        <f t="shared" si="10"/>
        <v/>
      </c>
      <c r="B309" s="4"/>
      <c r="C309" s="4"/>
      <c r="D309" s="4"/>
      <c r="E309" s="4"/>
      <c r="F309" s="4"/>
      <c r="G309" s="6"/>
      <c r="H309" s="4"/>
      <c r="I309" s="4"/>
      <c r="J309" s="4"/>
      <c r="K309" s="4" t="str">
        <f t="shared" ca="1" si="9"/>
        <v>Sin fecha</v>
      </c>
      <c r="L309" s="8"/>
      <c r="M309" s="8"/>
      <c r="N309" s="4"/>
      <c r="O309" s="4"/>
      <c r="P309" s="4"/>
      <c r="Q309" s="4"/>
      <c r="R309" s="4"/>
      <c r="S309" s="4"/>
      <c r="T309" s="4"/>
      <c r="U309" s="4"/>
      <c r="V309" s="4"/>
      <c r="W309" s="4"/>
      <c r="X309" s="4"/>
      <c r="Y309" s="4"/>
      <c r="Z309" s="4"/>
      <c r="AA309" s="4"/>
      <c r="AB309" s="6"/>
      <c r="AC309" s="4"/>
      <c r="AD309" s="4"/>
    </row>
    <row r="310" spans="1:30">
      <c r="A310" s="4" t="str">
        <f t="shared" si="10"/>
        <v/>
      </c>
      <c r="B310" s="4"/>
      <c r="C310" s="4"/>
      <c r="D310" s="4"/>
      <c r="E310" s="4"/>
      <c r="F310" s="4"/>
      <c r="G310" s="6"/>
      <c r="H310" s="4"/>
      <c r="I310" s="4"/>
      <c r="J310" s="4"/>
      <c r="K310" s="4" t="str">
        <f t="shared" ca="1" si="9"/>
        <v>Sin fecha</v>
      </c>
      <c r="L310" s="8"/>
      <c r="M310" s="8"/>
      <c r="N310" s="4"/>
      <c r="O310" s="4"/>
      <c r="P310" s="4"/>
      <c r="Q310" s="4"/>
      <c r="R310" s="4"/>
      <c r="S310" s="4"/>
      <c r="T310" s="4"/>
      <c r="U310" s="4"/>
      <c r="V310" s="4"/>
      <c r="W310" s="4"/>
      <c r="X310" s="4"/>
      <c r="Y310" s="4"/>
      <c r="Z310" s="4"/>
      <c r="AA310" s="4"/>
      <c r="AB310" s="6"/>
      <c r="AC310" s="4"/>
      <c r="AD310" s="4"/>
    </row>
    <row r="311" spans="1:30">
      <c r="A311" s="4" t="str">
        <f t="shared" si="10"/>
        <v/>
      </c>
      <c r="B311" s="4"/>
      <c r="C311" s="4"/>
      <c r="D311" s="4"/>
      <c r="E311" s="4"/>
      <c r="F311" s="4"/>
      <c r="G311" s="6"/>
      <c r="H311" s="4"/>
      <c r="I311" s="4"/>
      <c r="J311" s="4"/>
      <c r="K311" s="4" t="str">
        <f t="shared" ca="1" si="9"/>
        <v>Sin fecha</v>
      </c>
      <c r="L311" s="8"/>
      <c r="M311" s="8"/>
      <c r="N311" s="4"/>
      <c r="O311" s="4"/>
      <c r="P311" s="4"/>
      <c r="Q311" s="4"/>
      <c r="R311" s="4"/>
      <c r="S311" s="4"/>
      <c r="T311" s="4"/>
      <c r="U311" s="4"/>
      <c r="V311" s="4"/>
      <c r="W311" s="4"/>
      <c r="X311" s="4"/>
      <c r="Y311" s="4"/>
      <c r="Z311" s="4"/>
      <c r="AA311" s="4"/>
      <c r="AB311" s="6"/>
      <c r="AC311" s="4"/>
      <c r="AD311" s="4"/>
    </row>
    <row r="312" spans="1:30">
      <c r="A312" s="4" t="str">
        <f t="shared" si="10"/>
        <v/>
      </c>
      <c r="B312" s="4"/>
      <c r="C312" s="4"/>
      <c r="D312" s="4"/>
      <c r="E312" s="4"/>
      <c r="F312" s="4"/>
      <c r="G312" s="6"/>
      <c r="H312" s="4"/>
      <c r="I312" s="4"/>
      <c r="J312" s="4"/>
      <c r="K312" s="4" t="str">
        <f t="shared" ca="1" si="9"/>
        <v>Sin fecha</v>
      </c>
      <c r="L312" s="8"/>
      <c r="M312" s="8"/>
      <c r="N312" s="4"/>
      <c r="O312" s="4"/>
      <c r="P312" s="4"/>
      <c r="Q312" s="4"/>
      <c r="R312" s="4"/>
      <c r="S312" s="4"/>
      <c r="T312" s="4"/>
      <c r="U312" s="4"/>
      <c r="V312" s="4"/>
      <c r="W312" s="4"/>
      <c r="X312" s="4"/>
      <c r="Y312" s="4"/>
      <c r="Z312" s="4"/>
      <c r="AA312" s="4"/>
      <c r="AB312" s="6"/>
      <c r="AC312" s="4"/>
      <c r="AD312" s="4"/>
    </row>
    <row r="313" spans="1:30">
      <c r="A313" s="4" t="str">
        <f t="shared" si="10"/>
        <v/>
      </c>
      <c r="B313" s="4"/>
      <c r="C313" s="4"/>
      <c r="D313" s="4"/>
      <c r="E313" s="4"/>
      <c r="F313" s="4"/>
      <c r="G313" s="6"/>
      <c r="H313" s="4"/>
      <c r="I313" s="4"/>
      <c r="J313" s="4"/>
      <c r="K313" s="4" t="str">
        <f t="shared" ca="1" si="9"/>
        <v>Sin fecha</v>
      </c>
      <c r="L313" s="8"/>
      <c r="M313" s="8"/>
      <c r="N313" s="4"/>
      <c r="O313" s="4"/>
      <c r="P313" s="4"/>
      <c r="Q313" s="4"/>
      <c r="R313" s="4"/>
      <c r="S313" s="4"/>
      <c r="T313" s="4"/>
      <c r="U313" s="4"/>
      <c r="V313" s="4"/>
      <c r="W313" s="4"/>
      <c r="X313" s="4"/>
      <c r="Y313" s="4"/>
      <c r="Z313" s="4"/>
      <c r="AA313" s="4"/>
      <c r="AB313" s="6"/>
      <c r="AC313" s="4"/>
      <c r="AD313" s="4"/>
    </row>
    <row r="314" spans="1:30">
      <c r="A314" s="4" t="str">
        <f t="shared" si="10"/>
        <v/>
      </c>
      <c r="B314" s="4"/>
      <c r="C314" s="4"/>
      <c r="D314" s="4"/>
      <c r="E314" s="4"/>
      <c r="F314" s="4"/>
      <c r="G314" s="6"/>
      <c r="H314" s="4"/>
      <c r="I314" s="4"/>
      <c r="J314" s="4"/>
      <c r="K314" s="4" t="str">
        <f t="shared" ca="1" si="9"/>
        <v>Sin fecha</v>
      </c>
      <c r="L314" s="8"/>
      <c r="M314" s="8"/>
      <c r="N314" s="4"/>
      <c r="O314" s="4"/>
      <c r="P314" s="4"/>
      <c r="Q314" s="4"/>
      <c r="R314" s="4"/>
      <c r="S314" s="4"/>
      <c r="T314" s="4"/>
      <c r="U314" s="4"/>
      <c r="V314" s="4"/>
      <c r="W314" s="4"/>
      <c r="X314" s="4"/>
      <c r="Y314" s="4"/>
      <c r="Z314" s="4"/>
      <c r="AA314" s="4"/>
      <c r="AB314" s="6"/>
      <c r="AC314" s="4"/>
      <c r="AD314" s="4"/>
    </row>
    <row r="315" spans="1:30">
      <c r="A315" s="4" t="str">
        <f t="shared" si="10"/>
        <v/>
      </c>
      <c r="B315" s="4"/>
      <c r="C315" s="4"/>
      <c r="D315" s="4"/>
      <c r="E315" s="4"/>
      <c r="F315" s="4"/>
      <c r="G315" s="6"/>
      <c r="H315" s="4"/>
      <c r="I315" s="4"/>
      <c r="J315" s="4"/>
      <c r="K315" s="4" t="str">
        <f t="shared" ca="1" si="9"/>
        <v>Sin fecha</v>
      </c>
      <c r="L315" s="8"/>
      <c r="M315" s="8"/>
      <c r="N315" s="4"/>
      <c r="O315" s="4"/>
      <c r="P315" s="4"/>
      <c r="Q315" s="4"/>
      <c r="R315" s="4"/>
      <c r="S315" s="4"/>
      <c r="T315" s="4"/>
      <c r="U315" s="4"/>
      <c r="V315" s="4"/>
      <c r="W315" s="4"/>
      <c r="X315" s="4"/>
      <c r="Y315" s="4"/>
      <c r="Z315" s="4"/>
      <c r="AA315" s="4"/>
      <c r="AB315" s="6"/>
      <c r="AC315" s="4"/>
      <c r="AD315" s="4"/>
    </row>
    <row r="316" spans="1:30">
      <c r="A316" s="4" t="str">
        <f t="shared" si="10"/>
        <v/>
      </c>
      <c r="B316" s="4"/>
      <c r="C316" s="4"/>
      <c r="D316" s="4"/>
      <c r="E316" s="4"/>
      <c r="F316" s="4"/>
      <c r="G316" s="6"/>
      <c r="H316" s="4"/>
      <c r="I316" s="4"/>
      <c r="J316" s="4"/>
      <c r="K316" s="4" t="str">
        <f t="shared" ca="1" si="9"/>
        <v>Sin fecha</v>
      </c>
      <c r="L316" s="8"/>
      <c r="M316" s="8"/>
      <c r="N316" s="4"/>
      <c r="O316" s="4"/>
      <c r="P316" s="4"/>
      <c r="Q316" s="4"/>
      <c r="R316" s="4"/>
      <c r="S316" s="4"/>
      <c r="T316" s="4"/>
      <c r="U316" s="4"/>
      <c r="V316" s="4"/>
      <c r="W316" s="4"/>
      <c r="X316" s="4"/>
      <c r="Y316" s="4"/>
      <c r="Z316" s="4"/>
      <c r="AA316" s="4"/>
      <c r="AB316" s="6"/>
      <c r="AC316" s="4"/>
      <c r="AD316" s="4"/>
    </row>
    <row r="317" spans="1:30">
      <c r="A317" s="4" t="str">
        <f t="shared" si="10"/>
        <v/>
      </c>
      <c r="B317" s="4"/>
      <c r="C317" s="4"/>
      <c r="D317" s="4"/>
      <c r="E317" s="4"/>
      <c r="F317" s="4"/>
      <c r="G317" s="6"/>
      <c r="H317" s="4"/>
      <c r="I317" s="4"/>
      <c r="J317" s="4"/>
      <c r="K317" s="4" t="str">
        <f t="shared" ca="1" si="9"/>
        <v>Sin fecha</v>
      </c>
      <c r="L317" s="8"/>
      <c r="M317" s="8"/>
      <c r="N317" s="4"/>
      <c r="O317" s="4"/>
      <c r="P317" s="4"/>
      <c r="Q317" s="4"/>
      <c r="R317" s="4"/>
      <c r="S317" s="4"/>
      <c r="T317" s="4"/>
      <c r="U317" s="4"/>
      <c r="V317" s="4"/>
      <c r="W317" s="4"/>
      <c r="X317" s="4"/>
      <c r="Y317" s="4"/>
      <c r="Z317" s="4"/>
      <c r="AA317" s="4"/>
      <c r="AB317" s="6"/>
      <c r="AC317" s="4"/>
      <c r="AD317" s="4"/>
    </row>
    <row r="318" spans="1:30">
      <c r="A318" s="4" t="str">
        <f t="shared" si="10"/>
        <v/>
      </c>
      <c r="B318" s="4"/>
      <c r="C318" s="4"/>
      <c r="D318" s="4"/>
      <c r="E318" s="4"/>
      <c r="F318" s="4"/>
      <c r="G318" s="6"/>
      <c r="H318" s="4"/>
      <c r="I318" s="4"/>
      <c r="J318" s="4"/>
      <c r="K318" s="4" t="str">
        <f t="shared" ca="1" si="9"/>
        <v>Sin fecha</v>
      </c>
      <c r="L318" s="8"/>
      <c r="M318" s="8"/>
      <c r="N318" s="4"/>
      <c r="O318" s="4"/>
      <c r="P318" s="4"/>
      <c r="Q318" s="4"/>
      <c r="R318" s="4"/>
      <c r="S318" s="4"/>
      <c r="T318" s="4"/>
      <c r="U318" s="4"/>
      <c r="V318" s="4"/>
      <c r="W318" s="4"/>
      <c r="X318" s="4"/>
      <c r="Y318" s="4"/>
      <c r="Z318" s="4"/>
      <c r="AA318" s="4"/>
      <c r="AB318" s="6"/>
      <c r="AC318" s="4"/>
      <c r="AD318" s="4"/>
    </row>
    <row r="319" spans="1:30">
      <c r="A319" s="4" t="str">
        <f t="shared" si="10"/>
        <v/>
      </c>
      <c r="B319" s="4"/>
      <c r="C319" s="4"/>
      <c r="D319" s="4"/>
      <c r="E319" s="4"/>
      <c r="F319" s="4"/>
      <c r="G319" s="6"/>
      <c r="H319" s="4"/>
      <c r="I319" s="4"/>
      <c r="J319" s="4"/>
      <c r="K319" s="4" t="str">
        <f t="shared" ca="1" si="9"/>
        <v>Sin fecha</v>
      </c>
      <c r="L319" s="8"/>
      <c r="M319" s="8"/>
      <c r="N319" s="4"/>
      <c r="O319" s="4"/>
      <c r="P319" s="4"/>
      <c r="Q319" s="4"/>
      <c r="R319" s="4"/>
      <c r="S319" s="4"/>
      <c r="T319" s="4"/>
      <c r="U319" s="4"/>
      <c r="V319" s="4"/>
      <c r="W319" s="4"/>
      <c r="X319" s="4"/>
      <c r="Y319" s="4"/>
      <c r="Z319" s="4"/>
      <c r="AA319" s="4"/>
      <c r="AB319" s="6"/>
      <c r="AC319" s="4"/>
      <c r="AD319" s="4"/>
    </row>
    <row r="320" spans="1:30">
      <c r="A320" s="4" t="str">
        <f t="shared" si="10"/>
        <v/>
      </c>
      <c r="B320" s="4"/>
      <c r="C320" s="4"/>
      <c r="D320" s="4"/>
      <c r="E320" s="4"/>
      <c r="F320" s="4"/>
      <c r="G320" s="6"/>
      <c r="H320" s="4"/>
      <c r="I320" s="4"/>
      <c r="J320" s="4"/>
      <c r="K320" s="4" t="str">
        <f t="shared" ref="K320:K383" ca="1" si="11">IF(J320="Cerrada","Cerrada",IF(J320="Suspendida","Suspendida",IF(G320="","Sin fecha",IF(G320&lt;TODAY(),"Vencida",IF(G320-TODAY()&lt;=30,"Próxima a vencer","Abierta")))))</f>
        <v>Sin fecha</v>
      </c>
      <c r="L320" s="8"/>
      <c r="M320" s="8"/>
      <c r="N320" s="4"/>
      <c r="O320" s="4"/>
      <c r="P320" s="4"/>
      <c r="Q320" s="4"/>
      <c r="R320" s="4"/>
      <c r="S320" s="4"/>
      <c r="T320" s="4"/>
      <c r="U320" s="4"/>
      <c r="V320" s="4"/>
      <c r="W320" s="4"/>
      <c r="X320" s="4"/>
      <c r="Y320" s="4"/>
      <c r="Z320" s="4"/>
      <c r="AA320" s="4"/>
      <c r="AB320" s="6"/>
      <c r="AC320" s="4"/>
      <c r="AD320" s="4"/>
    </row>
    <row r="321" spans="1:30">
      <c r="A321" s="4" t="str">
        <f t="shared" ref="A321:A384" si="12">IF(C321="","","OP-"&amp;TEXT(ROW()-1,"0000"))</f>
        <v/>
      </c>
      <c r="B321" s="4"/>
      <c r="C321" s="4"/>
      <c r="D321" s="4"/>
      <c r="E321" s="4"/>
      <c r="F321" s="4"/>
      <c r="G321" s="6"/>
      <c r="H321" s="4"/>
      <c r="I321" s="4"/>
      <c r="J321" s="4"/>
      <c r="K321" s="4" t="str">
        <f t="shared" ca="1" si="11"/>
        <v>Sin fecha</v>
      </c>
      <c r="L321" s="8"/>
      <c r="M321" s="8"/>
      <c r="N321" s="4"/>
      <c r="O321" s="4"/>
      <c r="P321" s="4"/>
      <c r="Q321" s="4"/>
      <c r="R321" s="4"/>
      <c r="S321" s="4"/>
      <c r="T321" s="4"/>
      <c r="U321" s="4"/>
      <c r="V321" s="4"/>
      <c r="W321" s="4"/>
      <c r="X321" s="4"/>
      <c r="Y321" s="4"/>
      <c r="Z321" s="4"/>
      <c r="AA321" s="4"/>
      <c r="AB321" s="6"/>
      <c r="AC321" s="4"/>
      <c r="AD321" s="4"/>
    </row>
    <row r="322" spans="1:30">
      <c r="A322" s="4" t="str">
        <f t="shared" si="12"/>
        <v/>
      </c>
      <c r="B322" s="4"/>
      <c r="C322" s="4"/>
      <c r="D322" s="4"/>
      <c r="E322" s="4"/>
      <c r="F322" s="4"/>
      <c r="G322" s="6"/>
      <c r="H322" s="4"/>
      <c r="I322" s="4"/>
      <c r="J322" s="4"/>
      <c r="K322" s="4" t="str">
        <f t="shared" ca="1" si="11"/>
        <v>Sin fecha</v>
      </c>
      <c r="L322" s="8"/>
      <c r="M322" s="8"/>
      <c r="N322" s="4"/>
      <c r="O322" s="4"/>
      <c r="P322" s="4"/>
      <c r="Q322" s="4"/>
      <c r="R322" s="4"/>
      <c r="S322" s="4"/>
      <c r="T322" s="4"/>
      <c r="U322" s="4"/>
      <c r="V322" s="4"/>
      <c r="W322" s="4"/>
      <c r="X322" s="4"/>
      <c r="Y322" s="4"/>
      <c r="Z322" s="4"/>
      <c r="AA322" s="4"/>
      <c r="AB322" s="6"/>
      <c r="AC322" s="4"/>
      <c r="AD322" s="4"/>
    </row>
    <row r="323" spans="1:30">
      <c r="A323" s="4" t="str">
        <f t="shared" si="12"/>
        <v/>
      </c>
      <c r="B323" s="4"/>
      <c r="C323" s="4"/>
      <c r="D323" s="4"/>
      <c r="E323" s="4"/>
      <c r="F323" s="4"/>
      <c r="G323" s="6"/>
      <c r="H323" s="4"/>
      <c r="I323" s="4"/>
      <c r="J323" s="4"/>
      <c r="K323" s="4" t="str">
        <f t="shared" ca="1" si="11"/>
        <v>Sin fecha</v>
      </c>
      <c r="L323" s="8"/>
      <c r="M323" s="8"/>
      <c r="N323" s="4"/>
      <c r="O323" s="4"/>
      <c r="P323" s="4"/>
      <c r="Q323" s="4"/>
      <c r="R323" s="4"/>
      <c r="S323" s="4"/>
      <c r="T323" s="4"/>
      <c r="U323" s="4"/>
      <c r="V323" s="4"/>
      <c r="W323" s="4"/>
      <c r="X323" s="4"/>
      <c r="Y323" s="4"/>
      <c r="Z323" s="4"/>
      <c r="AA323" s="4"/>
      <c r="AB323" s="6"/>
      <c r="AC323" s="4"/>
      <c r="AD323" s="4"/>
    </row>
    <row r="324" spans="1:30">
      <c r="A324" s="4" t="str">
        <f t="shared" si="12"/>
        <v/>
      </c>
      <c r="B324" s="4"/>
      <c r="C324" s="4"/>
      <c r="D324" s="4"/>
      <c r="E324" s="4"/>
      <c r="F324" s="4"/>
      <c r="G324" s="6"/>
      <c r="H324" s="4"/>
      <c r="I324" s="4"/>
      <c r="J324" s="4"/>
      <c r="K324" s="4" t="str">
        <f t="shared" ca="1" si="11"/>
        <v>Sin fecha</v>
      </c>
      <c r="L324" s="8"/>
      <c r="M324" s="8"/>
      <c r="N324" s="4"/>
      <c r="O324" s="4"/>
      <c r="P324" s="4"/>
      <c r="Q324" s="4"/>
      <c r="R324" s="4"/>
      <c r="S324" s="4"/>
      <c r="T324" s="4"/>
      <c r="U324" s="4"/>
      <c r="V324" s="4"/>
      <c r="W324" s="4"/>
      <c r="X324" s="4"/>
      <c r="Y324" s="4"/>
      <c r="Z324" s="4"/>
      <c r="AA324" s="4"/>
      <c r="AB324" s="6"/>
      <c r="AC324" s="4"/>
      <c r="AD324" s="4"/>
    </row>
    <row r="325" spans="1:30">
      <c r="A325" s="4" t="str">
        <f t="shared" si="12"/>
        <v/>
      </c>
      <c r="B325" s="4"/>
      <c r="C325" s="4"/>
      <c r="D325" s="4"/>
      <c r="E325" s="4"/>
      <c r="F325" s="4"/>
      <c r="G325" s="6"/>
      <c r="H325" s="4"/>
      <c r="I325" s="4"/>
      <c r="J325" s="4"/>
      <c r="K325" s="4" t="str">
        <f t="shared" ca="1" si="11"/>
        <v>Sin fecha</v>
      </c>
      <c r="L325" s="8"/>
      <c r="M325" s="8"/>
      <c r="N325" s="4"/>
      <c r="O325" s="4"/>
      <c r="P325" s="4"/>
      <c r="Q325" s="4"/>
      <c r="R325" s="4"/>
      <c r="S325" s="4"/>
      <c r="T325" s="4"/>
      <c r="U325" s="4"/>
      <c r="V325" s="4"/>
      <c r="W325" s="4"/>
      <c r="X325" s="4"/>
      <c r="Y325" s="4"/>
      <c r="Z325" s="4"/>
      <c r="AA325" s="4"/>
      <c r="AB325" s="6"/>
      <c r="AC325" s="4"/>
      <c r="AD325" s="4"/>
    </row>
    <row r="326" spans="1:30">
      <c r="A326" s="4" t="str">
        <f t="shared" si="12"/>
        <v/>
      </c>
      <c r="B326" s="4"/>
      <c r="C326" s="4"/>
      <c r="D326" s="4"/>
      <c r="E326" s="4"/>
      <c r="F326" s="4"/>
      <c r="G326" s="6"/>
      <c r="H326" s="4"/>
      <c r="I326" s="4"/>
      <c r="J326" s="4"/>
      <c r="K326" s="4" t="str">
        <f t="shared" ca="1" si="11"/>
        <v>Sin fecha</v>
      </c>
      <c r="L326" s="8"/>
      <c r="M326" s="8"/>
      <c r="N326" s="4"/>
      <c r="O326" s="4"/>
      <c r="P326" s="4"/>
      <c r="Q326" s="4"/>
      <c r="R326" s="4"/>
      <c r="S326" s="4"/>
      <c r="T326" s="4"/>
      <c r="U326" s="4"/>
      <c r="V326" s="4"/>
      <c r="W326" s="4"/>
      <c r="X326" s="4"/>
      <c r="Y326" s="4"/>
      <c r="Z326" s="4"/>
      <c r="AA326" s="4"/>
      <c r="AB326" s="6"/>
      <c r="AC326" s="4"/>
      <c r="AD326" s="4"/>
    </row>
    <row r="327" spans="1:30">
      <c r="A327" s="4" t="str">
        <f t="shared" si="12"/>
        <v/>
      </c>
      <c r="B327" s="4"/>
      <c r="C327" s="4"/>
      <c r="D327" s="4"/>
      <c r="E327" s="4"/>
      <c r="F327" s="4"/>
      <c r="G327" s="6"/>
      <c r="H327" s="4"/>
      <c r="I327" s="4"/>
      <c r="J327" s="4"/>
      <c r="K327" s="4" t="str">
        <f t="shared" ca="1" si="11"/>
        <v>Sin fecha</v>
      </c>
      <c r="L327" s="8"/>
      <c r="M327" s="8"/>
      <c r="N327" s="4"/>
      <c r="O327" s="4"/>
      <c r="P327" s="4"/>
      <c r="Q327" s="4"/>
      <c r="R327" s="4"/>
      <c r="S327" s="4"/>
      <c r="T327" s="4"/>
      <c r="U327" s="4"/>
      <c r="V327" s="4"/>
      <c r="W327" s="4"/>
      <c r="X327" s="4"/>
      <c r="Y327" s="4"/>
      <c r="Z327" s="4"/>
      <c r="AA327" s="4"/>
      <c r="AB327" s="6"/>
      <c r="AC327" s="4"/>
      <c r="AD327" s="4"/>
    </row>
    <row r="328" spans="1:30">
      <c r="A328" s="4" t="str">
        <f t="shared" si="12"/>
        <v/>
      </c>
      <c r="B328" s="4"/>
      <c r="C328" s="4"/>
      <c r="D328" s="4"/>
      <c r="E328" s="4"/>
      <c r="F328" s="4"/>
      <c r="G328" s="6"/>
      <c r="H328" s="4"/>
      <c r="I328" s="4"/>
      <c r="J328" s="4"/>
      <c r="K328" s="4" t="str">
        <f t="shared" ca="1" si="11"/>
        <v>Sin fecha</v>
      </c>
      <c r="L328" s="8"/>
      <c r="M328" s="8"/>
      <c r="N328" s="4"/>
      <c r="O328" s="4"/>
      <c r="P328" s="4"/>
      <c r="Q328" s="4"/>
      <c r="R328" s="4"/>
      <c r="S328" s="4"/>
      <c r="T328" s="4"/>
      <c r="U328" s="4"/>
      <c r="V328" s="4"/>
      <c r="W328" s="4"/>
      <c r="X328" s="4"/>
      <c r="Y328" s="4"/>
      <c r="Z328" s="4"/>
      <c r="AA328" s="4"/>
      <c r="AB328" s="6"/>
      <c r="AC328" s="4"/>
      <c r="AD328" s="4"/>
    </row>
    <row r="329" spans="1:30">
      <c r="A329" s="4" t="str">
        <f t="shared" si="12"/>
        <v/>
      </c>
      <c r="B329" s="4"/>
      <c r="C329" s="4"/>
      <c r="D329" s="4"/>
      <c r="E329" s="4"/>
      <c r="F329" s="4"/>
      <c r="G329" s="6"/>
      <c r="H329" s="4"/>
      <c r="I329" s="4"/>
      <c r="J329" s="4"/>
      <c r="K329" s="4" t="str">
        <f t="shared" ca="1" si="11"/>
        <v>Sin fecha</v>
      </c>
      <c r="L329" s="8"/>
      <c r="M329" s="8"/>
      <c r="N329" s="4"/>
      <c r="O329" s="4"/>
      <c r="P329" s="4"/>
      <c r="Q329" s="4"/>
      <c r="R329" s="4"/>
      <c r="S329" s="4"/>
      <c r="T329" s="4"/>
      <c r="U329" s="4"/>
      <c r="V329" s="4"/>
      <c r="W329" s="4"/>
      <c r="X329" s="4"/>
      <c r="Y329" s="4"/>
      <c r="Z329" s="4"/>
      <c r="AA329" s="4"/>
      <c r="AB329" s="6"/>
      <c r="AC329" s="4"/>
      <c r="AD329" s="4"/>
    </row>
    <row r="330" spans="1:30">
      <c r="A330" s="4" t="str">
        <f t="shared" si="12"/>
        <v/>
      </c>
      <c r="B330" s="4"/>
      <c r="C330" s="4"/>
      <c r="D330" s="4"/>
      <c r="E330" s="4"/>
      <c r="F330" s="4"/>
      <c r="G330" s="6"/>
      <c r="H330" s="4"/>
      <c r="I330" s="4"/>
      <c r="J330" s="4"/>
      <c r="K330" s="4" t="str">
        <f t="shared" ca="1" si="11"/>
        <v>Sin fecha</v>
      </c>
      <c r="L330" s="8"/>
      <c r="M330" s="8"/>
      <c r="N330" s="4"/>
      <c r="O330" s="4"/>
      <c r="P330" s="4"/>
      <c r="Q330" s="4"/>
      <c r="R330" s="4"/>
      <c r="S330" s="4"/>
      <c r="T330" s="4"/>
      <c r="U330" s="4"/>
      <c r="V330" s="4"/>
      <c r="W330" s="4"/>
      <c r="X330" s="4"/>
      <c r="Y330" s="4"/>
      <c r="Z330" s="4"/>
      <c r="AA330" s="4"/>
      <c r="AB330" s="6"/>
      <c r="AC330" s="4"/>
      <c r="AD330" s="4"/>
    </row>
    <row r="331" spans="1:30">
      <c r="A331" s="4" t="str">
        <f t="shared" si="12"/>
        <v/>
      </c>
      <c r="B331" s="4"/>
      <c r="C331" s="4"/>
      <c r="D331" s="4"/>
      <c r="E331" s="4"/>
      <c r="F331" s="4"/>
      <c r="G331" s="6"/>
      <c r="H331" s="4"/>
      <c r="I331" s="4"/>
      <c r="J331" s="4"/>
      <c r="K331" s="4" t="str">
        <f t="shared" ca="1" si="11"/>
        <v>Sin fecha</v>
      </c>
      <c r="L331" s="8"/>
      <c r="M331" s="8"/>
      <c r="N331" s="4"/>
      <c r="O331" s="4"/>
      <c r="P331" s="4"/>
      <c r="Q331" s="4"/>
      <c r="R331" s="4"/>
      <c r="S331" s="4"/>
      <c r="T331" s="4"/>
      <c r="U331" s="4"/>
      <c r="V331" s="4"/>
      <c r="W331" s="4"/>
      <c r="X331" s="4"/>
      <c r="Y331" s="4"/>
      <c r="Z331" s="4"/>
      <c r="AA331" s="4"/>
      <c r="AB331" s="6"/>
      <c r="AC331" s="4"/>
      <c r="AD331" s="4"/>
    </row>
    <row r="332" spans="1:30">
      <c r="A332" s="4" t="str">
        <f t="shared" si="12"/>
        <v/>
      </c>
      <c r="B332" s="4"/>
      <c r="C332" s="4"/>
      <c r="D332" s="4"/>
      <c r="E332" s="4"/>
      <c r="F332" s="4"/>
      <c r="G332" s="6"/>
      <c r="H332" s="4"/>
      <c r="I332" s="4"/>
      <c r="J332" s="4"/>
      <c r="K332" s="4" t="str">
        <f t="shared" ca="1" si="11"/>
        <v>Sin fecha</v>
      </c>
      <c r="L332" s="8"/>
      <c r="M332" s="8"/>
      <c r="N332" s="4"/>
      <c r="O332" s="4"/>
      <c r="P332" s="4"/>
      <c r="Q332" s="4"/>
      <c r="R332" s="4"/>
      <c r="S332" s="4"/>
      <c r="T332" s="4"/>
      <c r="U332" s="4"/>
      <c r="V332" s="4"/>
      <c r="W332" s="4"/>
      <c r="X332" s="4"/>
      <c r="Y332" s="4"/>
      <c r="Z332" s="4"/>
      <c r="AA332" s="4"/>
      <c r="AB332" s="6"/>
      <c r="AC332" s="4"/>
      <c r="AD332" s="4"/>
    </row>
    <row r="333" spans="1:30">
      <c r="A333" s="4" t="str">
        <f t="shared" si="12"/>
        <v/>
      </c>
      <c r="B333" s="4"/>
      <c r="C333" s="4"/>
      <c r="D333" s="4"/>
      <c r="E333" s="4"/>
      <c r="F333" s="4"/>
      <c r="G333" s="6"/>
      <c r="H333" s="4"/>
      <c r="I333" s="4"/>
      <c r="J333" s="4"/>
      <c r="K333" s="4" t="str">
        <f t="shared" ca="1" si="11"/>
        <v>Sin fecha</v>
      </c>
      <c r="L333" s="8"/>
      <c r="M333" s="8"/>
      <c r="N333" s="4"/>
      <c r="O333" s="4"/>
      <c r="P333" s="4"/>
      <c r="Q333" s="4"/>
      <c r="R333" s="4"/>
      <c r="S333" s="4"/>
      <c r="T333" s="4"/>
      <c r="U333" s="4"/>
      <c r="V333" s="4"/>
      <c r="W333" s="4"/>
      <c r="X333" s="4"/>
      <c r="Y333" s="4"/>
      <c r="Z333" s="4"/>
      <c r="AA333" s="4"/>
      <c r="AB333" s="6"/>
      <c r="AC333" s="4"/>
      <c r="AD333" s="4"/>
    </row>
    <row r="334" spans="1:30">
      <c r="A334" s="4" t="str">
        <f t="shared" si="12"/>
        <v/>
      </c>
      <c r="B334" s="4"/>
      <c r="C334" s="4"/>
      <c r="D334" s="4"/>
      <c r="E334" s="4"/>
      <c r="F334" s="4"/>
      <c r="G334" s="6"/>
      <c r="H334" s="4"/>
      <c r="I334" s="4"/>
      <c r="J334" s="4"/>
      <c r="K334" s="4" t="str">
        <f t="shared" ca="1" si="11"/>
        <v>Sin fecha</v>
      </c>
      <c r="L334" s="8"/>
      <c r="M334" s="8"/>
      <c r="N334" s="4"/>
      <c r="O334" s="4"/>
      <c r="P334" s="4"/>
      <c r="Q334" s="4"/>
      <c r="R334" s="4"/>
      <c r="S334" s="4"/>
      <c r="T334" s="4"/>
      <c r="U334" s="4"/>
      <c r="V334" s="4"/>
      <c r="W334" s="4"/>
      <c r="X334" s="4"/>
      <c r="Y334" s="4"/>
      <c r="Z334" s="4"/>
      <c r="AA334" s="4"/>
      <c r="AB334" s="6"/>
      <c r="AC334" s="4"/>
      <c r="AD334" s="4"/>
    </row>
    <row r="335" spans="1:30">
      <c r="A335" s="4" t="str">
        <f t="shared" si="12"/>
        <v/>
      </c>
      <c r="B335" s="4"/>
      <c r="C335" s="4"/>
      <c r="D335" s="4"/>
      <c r="E335" s="4"/>
      <c r="F335" s="4"/>
      <c r="G335" s="6"/>
      <c r="H335" s="4"/>
      <c r="I335" s="4"/>
      <c r="J335" s="4"/>
      <c r="K335" s="4" t="str">
        <f t="shared" ca="1" si="11"/>
        <v>Sin fecha</v>
      </c>
      <c r="L335" s="8"/>
      <c r="M335" s="8"/>
      <c r="N335" s="4"/>
      <c r="O335" s="4"/>
      <c r="P335" s="4"/>
      <c r="Q335" s="4"/>
      <c r="R335" s="4"/>
      <c r="S335" s="4"/>
      <c r="T335" s="4"/>
      <c r="U335" s="4"/>
      <c r="V335" s="4"/>
      <c r="W335" s="4"/>
      <c r="X335" s="4"/>
      <c r="Y335" s="4"/>
      <c r="Z335" s="4"/>
      <c r="AA335" s="4"/>
      <c r="AB335" s="6"/>
      <c r="AC335" s="4"/>
      <c r="AD335" s="4"/>
    </row>
    <row r="336" spans="1:30">
      <c r="A336" s="4" t="str">
        <f t="shared" si="12"/>
        <v/>
      </c>
      <c r="B336" s="4"/>
      <c r="C336" s="4"/>
      <c r="D336" s="4"/>
      <c r="E336" s="4"/>
      <c r="F336" s="4"/>
      <c r="G336" s="6"/>
      <c r="H336" s="4"/>
      <c r="I336" s="4"/>
      <c r="J336" s="4"/>
      <c r="K336" s="4" t="str">
        <f t="shared" ca="1" si="11"/>
        <v>Sin fecha</v>
      </c>
      <c r="L336" s="8"/>
      <c r="M336" s="8"/>
      <c r="N336" s="4"/>
      <c r="O336" s="4"/>
      <c r="P336" s="4"/>
      <c r="Q336" s="4"/>
      <c r="R336" s="4"/>
      <c r="S336" s="4"/>
      <c r="T336" s="4"/>
      <c r="U336" s="4"/>
      <c r="V336" s="4"/>
      <c r="W336" s="4"/>
      <c r="X336" s="4"/>
      <c r="Y336" s="4"/>
      <c r="Z336" s="4"/>
      <c r="AA336" s="4"/>
      <c r="AB336" s="6"/>
      <c r="AC336" s="4"/>
      <c r="AD336" s="4"/>
    </row>
    <row r="337" spans="1:30">
      <c r="A337" s="4" t="str">
        <f t="shared" si="12"/>
        <v/>
      </c>
      <c r="B337" s="4"/>
      <c r="C337" s="4"/>
      <c r="D337" s="4"/>
      <c r="E337" s="4"/>
      <c r="F337" s="4"/>
      <c r="G337" s="6"/>
      <c r="H337" s="4"/>
      <c r="I337" s="4"/>
      <c r="J337" s="4"/>
      <c r="K337" s="4" t="str">
        <f t="shared" ca="1" si="11"/>
        <v>Sin fecha</v>
      </c>
      <c r="L337" s="8"/>
      <c r="M337" s="8"/>
      <c r="N337" s="4"/>
      <c r="O337" s="4"/>
      <c r="P337" s="4"/>
      <c r="Q337" s="4"/>
      <c r="R337" s="4"/>
      <c r="S337" s="4"/>
      <c r="T337" s="4"/>
      <c r="U337" s="4"/>
      <c r="V337" s="4"/>
      <c r="W337" s="4"/>
      <c r="X337" s="4"/>
      <c r="Y337" s="4"/>
      <c r="Z337" s="4"/>
      <c r="AA337" s="4"/>
      <c r="AB337" s="6"/>
      <c r="AC337" s="4"/>
      <c r="AD337" s="4"/>
    </row>
    <row r="338" spans="1:30">
      <c r="A338" s="4" t="str">
        <f t="shared" si="12"/>
        <v/>
      </c>
      <c r="B338" s="4"/>
      <c r="C338" s="4"/>
      <c r="D338" s="4"/>
      <c r="E338" s="4"/>
      <c r="F338" s="4"/>
      <c r="G338" s="6"/>
      <c r="H338" s="4"/>
      <c r="I338" s="4"/>
      <c r="J338" s="4"/>
      <c r="K338" s="4" t="str">
        <f t="shared" ca="1" si="11"/>
        <v>Sin fecha</v>
      </c>
      <c r="L338" s="8"/>
      <c r="M338" s="8"/>
      <c r="N338" s="4"/>
      <c r="O338" s="4"/>
      <c r="P338" s="4"/>
      <c r="Q338" s="4"/>
      <c r="R338" s="4"/>
      <c r="S338" s="4"/>
      <c r="T338" s="4"/>
      <c r="U338" s="4"/>
      <c r="V338" s="4"/>
      <c r="W338" s="4"/>
      <c r="X338" s="4"/>
      <c r="Y338" s="4"/>
      <c r="Z338" s="4"/>
      <c r="AA338" s="4"/>
      <c r="AB338" s="6"/>
      <c r="AC338" s="4"/>
      <c r="AD338" s="4"/>
    </row>
    <row r="339" spans="1:30">
      <c r="A339" s="4" t="str">
        <f t="shared" si="12"/>
        <v/>
      </c>
      <c r="B339" s="4"/>
      <c r="C339" s="4"/>
      <c r="D339" s="4"/>
      <c r="E339" s="4"/>
      <c r="F339" s="4"/>
      <c r="G339" s="6"/>
      <c r="H339" s="4"/>
      <c r="I339" s="4"/>
      <c r="J339" s="4"/>
      <c r="K339" s="4" t="str">
        <f t="shared" ca="1" si="11"/>
        <v>Sin fecha</v>
      </c>
      <c r="L339" s="8"/>
      <c r="M339" s="8"/>
      <c r="N339" s="4"/>
      <c r="O339" s="4"/>
      <c r="P339" s="4"/>
      <c r="Q339" s="4"/>
      <c r="R339" s="4"/>
      <c r="S339" s="4"/>
      <c r="T339" s="4"/>
      <c r="U339" s="4"/>
      <c r="V339" s="4"/>
      <c r="W339" s="4"/>
      <c r="X339" s="4"/>
      <c r="Y339" s="4"/>
      <c r="Z339" s="4"/>
      <c r="AA339" s="4"/>
      <c r="AB339" s="6"/>
      <c r="AC339" s="4"/>
      <c r="AD339" s="4"/>
    </row>
    <row r="340" spans="1:30">
      <c r="A340" s="4" t="str">
        <f t="shared" si="12"/>
        <v/>
      </c>
      <c r="B340" s="4"/>
      <c r="C340" s="4"/>
      <c r="D340" s="4"/>
      <c r="E340" s="4"/>
      <c r="F340" s="4"/>
      <c r="G340" s="6"/>
      <c r="H340" s="4"/>
      <c r="I340" s="4"/>
      <c r="J340" s="4"/>
      <c r="K340" s="4" t="str">
        <f t="shared" ca="1" si="11"/>
        <v>Sin fecha</v>
      </c>
      <c r="L340" s="8"/>
      <c r="M340" s="8"/>
      <c r="N340" s="4"/>
      <c r="O340" s="4"/>
      <c r="P340" s="4"/>
      <c r="Q340" s="4"/>
      <c r="R340" s="4"/>
      <c r="S340" s="4"/>
      <c r="T340" s="4"/>
      <c r="U340" s="4"/>
      <c r="V340" s="4"/>
      <c r="W340" s="4"/>
      <c r="X340" s="4"/>
      <c r="Y340" s="4"/>
      <c r="Z340" s="4"/>
      <c r="AA340" s="4"/>
      <c r="AB340" s="6"/>
      <c r="AC340" s="4"/>
      <c r="AD340" s="4"/>
    </row>
    <row r="341" spans="1:30">
      <c r="A341" s="4" t="str">
        <f t="shared" si="12"/>
        <v/>
      </c>
      <c r="B341" s="4"/>
      <c r="C341" s="4"/>
      <c r="D341" s="4"/>
      <c r="E341" s="4"/>
      <c r="F341" s="4"/>
      <c r="G341" s="6"/>
      <c r="H341" s="4"/>
      <c r="I341" s="4"/>
      <c r="J341" s="4"/>
      <c r="K341" s="4" t="str">
        <f t="shared" ca="1" si="11"/>
        <v>Sin fecha</v>
      </c>
      <c r="L341" s="8"/>
      <c r="M341" s="8"/>
      <c r="N341" s="4"/>
      <c r="O341" s="4"/>
      <c r="P341" s="4"/>
      <c r="Q341" s="4"/>
      <c r="R341" s="4"/>
      <c r="S341" s="4"/>
      <c r="T341" s="4"/>
      <c r="U341" s="4"/>
      <c r="V341" s="4"/>
      <c r="W341" s="4"/>
      <c r="X341" s="4"/>
      <c r="Y341" s="4"/>
      <c r="Z341" s="4"/>
      <c r="AA341" s="4"/>
      <c r="AB341" s="6"/>
      <c r="AC341" s="4"/>
      <c r="AD341" s="4"/>
    </row>
    <row r="342" spans="1:30">
      <c r="A342" s="4" t="str">
        <f t="shared" si="12"/>
        <v/>
      </c>
      <c r="B342" s="4"/>
      <c r="C342" s="4"/>
      <c r="D342" s="4"/>
      <c r="E342" s="4"/>
      <c r="F342" s="4"/>
      <c r="G342" s="6"/>
      <c r="H342" s="4"/>
      <c r="I342" s="4"/>
      <c r="J342" s="4"/>
      <c r="K342" s="4" t="str">
        <f t="shared" ca="1" si="11"/>
        <v>Sin fecha</v>
      </c>
      <c r="L342" s="8"/>
      <c r="M342" s="8"/>
      <c r="N342" s="4"/>
      <c r="O342" s="4"/>
      <c r="P342" s="4"/>
      <c r="Q342" s="4"/>
      <c r="R342" s="4"/>
      <c r="S342" s="4"/>
      <c r="T342" s="4"/>
      <c r="U342" s="4"/>
      <c r="V342" s="4"/>
      <c r="W342" s="4"/>
      <c r="X342" s="4"/>
      <c r="Y342" s="4"/>
      <c r="Z342" s="4"/>
      <c r="AA342" s="4"/>
      <c r="AB342" s="6"/>
      <c r="AC342" s="4"/>
      <c r="AD342" s="4"/>
    </row>
    <row r="343" spans="1:30">
      <c r="A343" s="4" t="str">
        <f t="shared" si="12"/>
        <v/>
      </c>
      <c r="B343" s="4"/>
      <c r="C343" s="4"/>
      <c r="D343" s="4"/>
      <c r="E343" s="4"/>
      <c r="F343" s="4"/>
      <c r="G343" s="6"/>
      <c r="H343" s="4"/>
      <c r="I343" s="4"/>
      <c r="J343" s="4"/>
      <c r="K343" s="4" t="str">
        <f t="shared" ca="1" si="11"/>
        <v>Sin fecha</v>
      </c>
      <c r="L343" s="8"/>
      <c r="M343" s="8"/>
      <c r="N343" s="4"/>
      <c r="O343" s="4"/>
      <c r="P343" s="4"/>
      <c r="Q343" s="4"/>
      <c r="R343" s="4"/>
      <c r="S343" s="4"/>
      <c r="T343" s="4"/>
      <c r="U343" s="4"/>
      <c r="V343" s="4"/>
      <c r="W343" s="4"/>
      <c r="X343" s="4"/>
      <c r="Y343" s="4"/>
      <c r="Z343" s="4"/>
      <c r="AA343" s="4"/>
      <c r="AB343" s="6"/>
      <c r="AC343" s="4"/>
      <c r="AD343" s="4"/>
    </row>
    <row r="344" spans="1:30">
      <c r="A344" s="4" t="str">
        <f t="shared" si="12"/>
        <v/>
      </c>
      <c r="B344" s="4"/>
      <c r="C344" s="4"/>
      <c r="D344" s="4"/>
      <c r="E344" s="4"/>
      <c r="F344" s="4"/>
      <c r="G344" s="6"/>
      <c r="H344" s="4"/>
      <c r="I344" s="4"/>
      <c r="J344" s="4"/>
      <c r="K344" s="4" t="str">
        <f t="shared" ca="1" si="11"/>
        <v>Sin fecha</v>
      </c>
      <c r="L344" s="8"/>
      <c r="M344" s="8"/>
      <c r="N344" s="4"/>
      <c r="O344" s="4"/>
      <c r="P344" s="4"/>
      <c r="Q344" s="4"/>
      <c r="R344" s="4"/>
      <c r="S344" s="4"/>
      <c r="T344" s="4"/>
      <c r="U344" s="4"/>
      <c r="V344" s="4"/>
      <c r="W344" s="4"/>
      <c r="X344" s="4"/>
      <c r="Y344" s="4"/>
      <c r="Z344" s="4"/>
      <c r="AA344" s="4"/>
      <c r="AB344" s="6"/>
      <c r="AC344" s="4"/>
      <c r="AD344" s="4"/>
    </row>
    <row r="345" spans="1:30">
      <c r="A345" s="4" t="str">
        <f t="shared" si="12"/>
        <v/>
      </c>
      <c r="B345" s="4"/>
      <c r="C345" s="4"/>
      <c r="D345" s="4"/>
      <c r="E345" s="4"/>
      <c r="F345" s="4"/>
      <c r="G345" s="6"/>
      <c r="H345" s="4"/>
      <c r="I345" s="4"/>
      <c r="J345" s="4"/>
      <c r="K345" s="4" t="str">
        <f t="shared" ca="1" si="11"/>
        <v>Sin fecha</v>
      </c>
      <c r="L345" s="8"/>
      <c r="M345" s="8"/>
      <c r="N345" s="4"/>
      <c r="O345" s="4"/>
      <c r="P345" s="4"/>
      <c r="Q345" s="4"/>
      <c r="R345" s="4"/>
      <c r="S345" s="4"/>
      <c r="T345" s="4"/>
      <c r="U345" s="4"/>
      <c r="V345" s="4"/>
      <c r="W345" s="4"/>
      <c r="X345" s="4"/>
      <c r="Y345" s="4"/>
      <c r="Z345" s="4"/>
      <c r="AA345" s="4"/>
      <c r="AB345" s="6"/>
      <c r="AC345" s="4"/>
      <c r="AD345" s="4"/>
    </row>
    <row r="346" spans="1:30">
      <c r="A346" s="4" t="str">
        <f t="shared" si="12"/>
        <v/>
      </c>
      <c r="B346" s="4"/>
      <c r="C346" s="4"/>
      <c r="D346" s="4"/>
      <c r="E346" s="4"/>
      <c r="F346" s="4"/>
      <c r="G346" s="6"/>
      <c r="H346" s="4"/>
      <c r="I346" s="4"/>
      <c r="J346" s="4"/>
      <c r="K346" s="4" t="str">
        <f t="shared" ca="1" si="11"/>
        <v>Sin fecha</v>
      </c>
      <c r="L346" s="8"/>
      <c r="M346" s="8"/>
      <c r="N346" s="4"/>
      <c r="O346" s="4"/>
      <c r="P346" s="4"/>
      <c r="Q346" s="4"/>
      <c r="R346" s="4"/>
      <c r="S346" s="4"/>
      <c r="T346" s="4"/>
      <c r="U346" s="4"/>
      <c r="V346" s="4"/>
      <c r="W346" s="4"/>
      <c r="X346" s="4"/>
      <c r="Y346" s="4"/>
      <c r="Z346" s="4"/>
      <c r="AA346" s="4"/>
      <c r="AB346" s="6"/>
      <c r="AC346" s="4"/>
      <c r="AD346" s="4"/>
    </row>
    <row r="347" spans="1:30">
      <c r="A347" s="4" t="str">
        <f t="shared" si="12"/>
        <v/>
      </c>
      <c r="B347" s="4"/>
      <c r="C347" s="4"/>
      <c r="D347" s="4"/>
      <c r="E347" s="4"/>
      <c r="F347" s="4"/>
      <c r="G347" s="6"/>
      <c r="H347" s="4"/>
      <c r="I347" s="4"/>
      <c r="J347" s="4"/>
      <c r="K347" s="4" t="str">
        <f t="shared" ca="1" si="11"/>
        <v>Sin fecha</v>
      </c>
      <c r="L347" s="8"/>
      <c r="M347" s="8"/>
      <c r="N347" s="4"/>
      <c r="O347" s="4"/>
      <c r="P347" s="4"/>
      <c r="Q347" s="4"/>
      <c r="R347" s="4"/>
      <c r="S347" s="4"/>
      <c r="T347" s="4"/>
      <c r="U347" s="4"/>
      <c r="V347" s="4"/>
      <c r="W347" s="4"/>
      <c r="X347" s="4"/>
      <c r="Y347" s="4"/>
      <c r="Z347" s="4"/>
      <c r="AA347" s="4"/>
      <c r="AB347" s="6"/>
      <c r="AC347" s="4"/>
      <c r="AD347" s="4"/>
    </row>
    <row r="348" spans="1:30">
      <c r="A348" s="4" t="str">
        <f t="shared" si="12"/>
        <v/>
      </c>
      <c r="B348" s="4"/>
      <c r="C348" s="4"/>
      <c r="D348" s="4"/>
      <c r="E348" s="4"/>
      <c r="F348" s="4"/>
      <c r="G348" s="6"/>
      <c r="H348" s="4"/>
      <c r="I348" s="4"/>
      <c r="J348" s="4"/>
      <c r="K348" s="4" t="str">
        <f t="shared" ca="1" si="11"/>
        <v>Sin fecha</v>
      </c>
      <c r="L348" s="8"/>
      <c r="M348" s="8"/>
      <c r="N348" s="4"/>
      <c r="O348" s="4"/>
      <c r="P348" s="4"/>
      <c r="Q348" s="4"/>
      <c r="R348" s="4"/>
      <c r="S348" s="4"/>
      <c r="T348" s="4"/>
      <c r="U348" s="4"/>
      <c r="V348" s="4"/>
      <c r="W348" s="4"/>
      <c r="X348" s="4"/>
      <c r="Y348" s="4"/>
      <c r="Z348" s="4"/>
      <c r="AA348" s="4"/>
      <c r="AB348" s="6"/>
      <c r="AC348" s="4"/>
      <c r="AD348" s="4"/>
    </row>
    <row r="349" spans="1:30">
      <c r="A349" s="4" t="str">
        <f t="shared" si="12"/>
        <v/>
      </c>
      <c r="B349" s="4"/>
      <c r="C349" s="4"/>
      <c r="D349" s="4"/>
      <c r="E349" s="4"/>
      <c r="F349" s="4"/>
      <c r="G349" s="6"/>
      <c r="H349" s="4"/>
      <c r="I349" s="4"/>
      <c r="J349" s="4"/>
      <c r="K349" s="4" t="str">
        <f t="shared" ca="1" si="11"/>
        <v>Sin fecha</v>
      </c>
      <c r="L349" s="8"/>
      <c r="M349" s="8"/>
      <c r="N349" s="4"/>
      <c r="O349" s="4"/>
      <c r="P349" s="4"/>
      <c r="Q349" s="4"/>
      <c r="R349" s="4"/>
      <c r="S349" s="4"/>
      <c r="T349" s="4"/>
      <c r="U349" s="4"/>
      <c r="V349" s="4"/>
      <c r="W349" s="4"/>
      <c r="X349" s="4"/>
      <c r="Y349" s="4"/>
      <c r="Z349" s="4"/>
      <c r="AA349" s="4"/>
      <c r="AB349" s="6"/>
      <c r="AC349" s="4"/>
      <c r="AD349" s="4"/>
    </row>
    <row r="350" spans="1:30">
      <c r="A350" s="4" t="str">
        <f t="shared" si="12"/>
        <v/>
      </c>
      <c r="B350" s="4"/>
      <c r="C350" s="4"/>
      <c r="D350" s="4"/>
      <c r="E350" s="4"/>
      <c r="F350" s="4"/>
      <c r="G350" s="6"/>
      <c r="H350" s="4"/>
      <c r="I350" s="4"/>
      <c r="J350" s="4"/>
      <c r="K350" s="4" t="str">
        <f t="shared" ca="1" si="11"/>
        <v>Sin fecha</v>
      </c>
      <c r="L350" s="8"/>
      <c r="M350" s="8"/>
      <c r="N350" s="4"/>
      <c r="O350" s="4"/>
      <c r="P350" s="4"/>
      <c r="Q350" s="4"/>
      <c r="R350" s="4"/>
      <c r="S350" s="4"/>
      <c r="T350" s="4"/>
      <c r="U350" s="4"/>
      <c r="V350" s="4"/>
      <c r="W350" s="4"/>
      <c r="X350" s="4"/>
      <c r="Y350" s="4"/>
      <c r="Z350" s="4"/>
      <c r="AA350" s="4"/>
      <c r="AB350" s="6"/>
      <c r="AC350" s="4"/>
      <c r="AD350" s="4"/>
    </row>
    <row r="351" spans="1:30">
      <c r="A351" s="4" t="str">
        <f t="shared" si="12"/>
        <v/>
      </c>
      <c r="B351" s="4"/>
      <c r="C351" s="4"/>
      <c r="D351" s="4"/>
      <c r="E351" s="4"/>
      <c r="F351" s="4"/>
      <c r="G351" s="6"/>
      <c r="H351" s="4"/>
      <c r="I351" s="4"/>
      <c r="J351" s="4"/>
      <c r="K351" s="4" t="str">
        <f t="shared" ca="1" si="11"/>
        <v>Sin fecha</v>
      </c>
      <c r="L351" s="8"/>
      <c r="M351" s="8"/>
      <c r="N351" s="4"/>
      <c r="O351" s="4"/>
      <c r="P351" s="4"/>
      <c r="Q351" s="4"/>
      <c r="R351" s="4"/>
      <c r="S351" s="4"/>
      <c r="T351" s="4"/>
      <c r="U351" s="4"/>
      <c r="V351" s="4"/>
      <c r="W351" s="4"/>
      <c r="X351" s="4"/>
      <c r="Y351" s="4"/>
      <c r="Z351" s="4"/>
      <c r="AA351" s="4"/>
      <c r="AB351" s="6"/>
      <c r="AC351" s="4"/>
      <c r="AD351" s="4"/>
    </row>
    <row r="352" spans="1:30">
      <c r="A352" s="4" t="str">
        <f t="shared" si="12"/>
        <v/>
      </c>
      <c r="B352" s="4"/>
      <c r="C352" s="4"/>
      <c r="D352" s="4"/>
      <c r="E352" s="4"/>
      <c r="F352" s="4"/>
      <c r="G352" s="6"/>
      <c r="H352" s="4"/>
      <c r="I352" s="4"/>
      <c r="J352" s="4"/>
      <c r="K352" s="4" t="str">
        <f t="shared" ca="1" si="11"/>
        <v>Sin fecha</v>
      </c>
      <c r="L352" s="8"/>
      <c r="M352" s="8"/>
      <c r="N352" s="4"/>
      <c r="O352" s="4"/>
      <c r="P352" s="4"/>
      <c r="Q352" s="4"/>
      <c r="R352" s="4"/>
      <c r="S352" s="4"/>
      <c r="T352" s="4"/>
      <c r="U352" s="4"/>
      <c r="V352" s="4"/>
      <c r="W352" s="4"/>
      <c r="X352" s="4"/>
      <c r="Y352" s="4"/>
      <c r="Z352" s="4"/>
      <c r="AA352" s="4"/>
      <c r="AB352" s="6"/>
      <c r="AC352" s="4"/>
      <c r="AD352" s="4"/>
    </row>
    <row r="353" spans="1:30">
      <c r="A353" s="4" t="str">
        <f t="shared" si="12"/>
        <v/>
      </c>
      <c r="B353" s="4"/>
      <c r="C353" s="4"/>
      <c r="D353" s="4"/>
      <c r="E353" s="4"/>
      <c r="F353" s="4"/>
      <c r="G353" s="6"/>
      <c r="H353" s="4"/>
      <c r="I353" s="4"/>
      <c r="J353" s="4"/>
      <c r="K353" s="4" t="str">
        <f t="shared" ca="1" si="11"/>
        <v>Sin fecha</v>
      </c>
      <c r="L353" s="8"/>
      <c r="M353" s="8"/>
      <c r="N353" s="4"/>
      <c r="O353" s="4"/>
      <c r="P353" s="4"/>
      <c r="Q353" s="4"/>
      <c r="R353" s="4"/>
      <c r="S353" s="4"/>
      <c r="T353" s="4"/>
      <c r="U353" s="4"/>
      <c r="V353" s="4"/>
      <c r="W353" s="4"/>
      <c r="X353" s="4"/>
      <c r="Y353" s="4"/>
      <c r="Z353" s="4"/>
      <c r="AA353" s="4"/>
      <c r="AB353" s="6"/>
      <c r="AC353" s="4"/>
      <c r="AD353" s="4"/>
    </row>
    <row r="354" spans="1:30">
      <c r="A354" s="4" t="str">
        <f t="shared" si="12"/>
        <v/>
      </c>
      <c r="B354" s="4"/>
      <c r="C354" s="4"/>
      <c r="D354" s="4"/>
      <c r="E354" s="4"/>
      <c r="F354" s="4"/>
      <c r="G354" s="6"/>
      <c r="H354" s="4"/>
      <c r="I354" s="4"/>
      <c r="J354" s="4"/>
      <c r="K354" s="4" t="str">
        <f t="shared" ca="1" si="11"/>
        <v>Sin fecha</v>
      </c>
      <c r="L354" s="8"/>
      <c r="M354" s="8"/>
      <c r="N354" s="4"/>
      <c r="O354" s="4"/>
      <c r="P354" s="4"/>
      <c r="Q354" s="4"/>
      <c r="R354" s="4"/>
      <c r="S354" s="4"/>
      <c r="T354" s="4"/>
      <c r="U354" s="4"/>
      <c r="V354" s="4"/>
      <c r="W354" s="4"/>
      <c r="X354" s="4"/>
      <c r="Y354" s="4"/>
      <c r="Z354" s="4"/>
      <c r="AA354" s="4"/>
      <c r="AB354" s="6"/>
      <c r="AC354" s="4"/>
      <c r="AD354" s="4"/>
    </row>
    <row r="355" spans="1:30">
      <c r="A355" s="4" t="str">
        <f t="shared" si="12"/>
        <v/>
      </c>
      <c r="B355" s="4"/>
      <c r="C355" s="4"/>
      <c r="D355" s="4"/>
      <c r="E355" s="4"/>
      <c r="F355" s="4"/>
      <c r="G355" s="6"/>
      <c r="H355" s="4"/>
      <c r="I355" s="4"/>
      <c r="J355" s="4"/>
      <c r="K355" s="4" t="str">
        <f t="shared" ca="1" si="11"/>
        <v>Sin fecha</v>
      </c>
      <c r="L355" s="8"/>
      <c r="M355" s="8"/>
      <c r="N355" s="4"/>
      <c r="O355" s="4"/>
      <c r="P355" s="4"/>
      <c r="Q355" s="4"/>
      <c r="R355" s="4"/>
      <c r="S355" s="4"/>
      <c r="T355" s="4"/>
      <c r="U355" s="4"/>
      <c r="V355" s="4"/>
      <c r="W355" s="4"/>
      <c r="X355" s="4"/>
      <c r="Y355" s="4"/>
      <c r="Z355" s="4"/>
      <c r="AA355" s="4"/>
      <c r="AB355" s="6"/>
      <c r="AC355" s="4"/>
      <c r="AD355" s="4"/>
    </row>
    <row r="356" spans="1:30">
      <c r="A356" s="4" t="str">
        <f t="shared" si="12"/>
        <v/>
      </c>
      <c r="B356" s="4"/>
      <c r="C356" s="4"/>
      <c r="D356" s="4"/>
      <c r="E356" s="4"/>
      <c r="F356" s="4"/>
      <c r="G356" s="6"/>
      <c r="H356" s="4"/>
      <c r="I356" s="4"/>
      <c r="J356" s="4"/>
      <c r="K356" s="4" t="str">
        <f t="shared" ca="1" si="11"/>
        <v>Sin fecha</v>
      </c>
      <c r="L356" s="8"/>
      <c r="M356" s="8"/>
      <c r="N356" s="4"/>
      <c r="O356" s="4"/>
      <c r="P356" s="4"/>
      <c r="Q356" s="4"/>
      <c r="R356" s="4"/>
      <c r="S356" s="4"/>
      <c r="T356" s="4"/>
      <c r="U356" s="4"/>
      <c r="V356" s="4"/>
      <c r="W356" s="4"/>
      <c r="X356" s="4"/>
      <c r="Y356" s="4"/>
      <c r="Z356" s="4"/>
      <c r="AA356" s="4"/>
      <c r="AB356" s="6"/>
      <c r="AC356" s="4"/>
      <c r="AD356" s="4"/>
    </row>
    <row r="357" spans="1:30">
      <c r="A357" s="4" t="str">
        <f t="shared" si="12"/>
        <v/>
      </c>
      <c r="B357" s="4"/>
      <c r="C357" s="4"/>
      <c r="D357" s="4"/>
      <c r="E357" s="4"/>
      <c r="F357" s="4"/>
      <c r="G357" s="6"/>
      <c r="H357" s="4"/>
      <c r="I357" s="4"/>
      <c r="J357" s="4"/>
      <c r="K357" s="4" t="str">
        <f t="shared" ca="1" si="11"/>
        <v>Sin fecha</v>
      </c>
      <c r="L357" s="8"/>
      <c r="M357" s="8"/>
      <c r="N357" s="4"/>
      <c r="O357" s="4"/>
      <c r="P357" s="4"/>
      <c r="Q357" s="4"/>
      <c r="R357" s="4"/>
      <c r="S357" s="4"/>
      <c r="T357" s="4"/>
      <c r="U357" s="4"/>
      <c r="V357" s="4"/>
      <c r="W357" s="4"/>
      <c r="X357" s="4"/>
      <c r="Y357" s="4"/>
      <c r="Z357" s="4"/>
      <c r="AA357" s="4"/>
      <c r="AB357" s="6"/>
      <c r="AC357" s="4"/>
      <c r="AD357" s="4"/>
    </row>
    <row r="358" spans="1:30">
      <c r="A358" s="4" t="str">
        <f t="shared" si="12"/>
        <v/>
      </c>
      <c r="B358" s="4"/>
      <c r="C358" s="4"/>
      <c r="D358" s="4"/>
      <c r="E358" s="4"/>
      <c r="F358" s="4"/>
      <c r="G358" s="6"/>
      <c r="H358" s="4"/>
      <c r="I358" s="4"/>
      <c r="J358" s="4"/>
      <c r="K358" s="4" t="str">
        <f t="shared" ca="1" si="11"/>
        <v>Sin fecha</v>
      </c>
      <c r="L358" s="8"/>
      <c r="M358" s="8"/>
      <c r="N358" s="4"/>
      <c r="O358" s="4"/>
      <c r="P358" s="4"/>
      <c r="Q358" s="4"/>
      <c r="R358" s="4"/>
      <c r="S358" s="4"/>
      <c r="T358" s="4"/>
      <c r="U358" s="4"/>
      <c r="V358" s="4"/>
      <c r="W358" s="4"/>
      <c r="X358" s="4"/>
      <c r="Y358" s="4"/>
      <c r="Z358" s="4"/>
      <c r="AA358" s="4"/>
      <c r="AB358" s="6"/>
      <c r="AC358" s="4"/>
      <c r="AD358" s="4"/>
    </row>
    <row r="359" spans="1:30">
      <c r="A359" s="4" t="str">
        <f t="shared" si="12"/>
        <v/>
      </c>
      <c r="B359" s="4"/>
      <c r="C359" s="4"/>
      <c r="D359" s="4"/>
      <c r="E359" s="4"/>
      <c r="F359" s="4"/>
      <c r="G359" s="6"/>
      <c r="H359" s="4"/>
      <c r="I359" s="4"/>
      <c r="J359" s="4"/>
      <c r="K359" s="4" t="str">
        <f t="shared" ca="1" si="11"/>
        <v>Sin fecha</v>
      </c>
      <c r="L359" s="8"/>
      <c r="M359" s="8"/>
      <c r="N359" s="4"/>
      <c r="O359" s="4"/>
      <c r="P359" s="4"/>
      <c r="Q359" s="4"/>
      <c r="R359" s="4"/>
      <c r="S359" s="4"/>
      <c r="T359" s="4"/>
      <c r="U359" s="4"/>
      <c r="V359" s="4"/>
      <c r="W359" s="4"/>
      <c r="X359" s="4"/>
      <c r="Y359" s="4"/>
      <c r="Z359" s="4"/>
      <c r="AA359" s="4"/>
      <c r="AB359" s="6"/>
      <c r="AC359" s="4"/>
      <c r="AD359" s="4"/>
    </row>
    <row r="360" spans="1:30">
      <c r="A360" s="4" t="str">
        <f t="shared" si="12"/>
        <v/>
      </c>
      <c r="B360" s="4"/>
      <c r="C360" s="4"/>
      <c r="D360" s="4"/>
      <c r="E360" s="4"/>
      <c r="F360" s="4"/>
      <c r="G360" s="6"/>
      <c r="H360" s="4"/>
      <c r="I360" s="4"/>
      <c r="J360" s="4"/>
      <c r="K360" s="4" t="str">
        <f t="shared" ca="1" si="11"/>
        <v>Sin fecha</v>
      </c>
      <c r="L360" s="8"/>
      <c r="M360" s="8"/>
      <c r="N360" s="4"/>
      <c r="O360" s="4"/>
      <c r="P360" s="4"/>
      <c r="Q360" s="4"/>
      <c r="R360" s="4"/>
      <c r="S360" s="4"/>
      <c r="T360" s="4"/>
      <c r="U360" s="4"/>
      <c r="V360" s="4"/>
      <c r="W360" s="4"/>
      <c r="X360" s="4"/>
      <c r="Y360" s="4"/>
      <c r="Z360" s="4"/>
      <c r="AA360" s="4"/>
      <c r="AB360" s="6"/>
      <c r="AC360" s="4"/>
      <c r="AD360" s="4"/>
    </row>
    <row r="361" spans="1:30">
      <c r="A361" s="4" t="str">
        <f t="shared" si="12"/>
        <v/>
      </c>
      <c r="B361" s="4"/>
      <c r="C361" s="4"/>
      <c r="D361" s="4"/>
      <c r="E361" s="4"/>
      <c r="F361" s="4"/>
      <c r="G361" s="6"/>
      <c r="H361" s="4"/>
      <c r="I361" s="4"/>
      <c r="J361" s="4"/>
      <c r="K361" s="4" t="str">
        <f t="shared" ca="1" si="11"/>
        <v>Sin fecha</v>
      </c>
      <c r="L361" s="8"/>
      <c r="M361" s="8"/>
      <c r="N361" s="4"/>
      <c r="O361" s="4"/>
      <c r="P361" s="4"/>
      <c r="Q361" s="4"/>
      <c r="R361" s="4"/>
      <c r="S361" s="4"/>
      <c r="T361" s="4"/>
      <c r="U361" s="4"/>
      <c r="V361" s="4"/>
      <c r="W361" s="4"/>
      <c r="X361" s="4"/>
      <c r="Y361" s="4"/>
      <c r="Z361" s="4"/>
      <c r="AA361" s="4"/>
      <c r="AB361" s="6"/>
      <c r="AC361" s="4"/>
      <c r="AD361" s="4"/>
    </row>
    <row r="362" spans="1:30">
      <c r="A362" s="4" t="str">
        <f t="shared" si="12"/>
        <v/>
      </c>
      <c r="B362" s="4"/>
      <c r="C362" s="4"/>
      <c r="D362" s="4"/>
      <c r="E362" s="4"/>
      <c r="F362" s="4"/>
      <c r="G362" s="6"/>
      <c r="H362" s="4"/>
      <c r="I362" s="4"/>
      <c r="J362" s="4"/>
      <c r="K362" s="4" t="str">
        <f t="shared" ca="1" si="11"/>
        <v>Sin fecha</v>
      </c>
      <c r="L362" s="8"/>
      <c r="M362" s="8"/>
      <c r="N362" s="4"/>
      <c r="O362" s="4"/>
      <c r="P362" s="4"/>
      <c r="Q362" s="4"/>
      <c r="R362" s="4"/>
      <c r="S362" s="4"/>
      <c r="T362" s="4"/>
      <c r="U362" s="4"/>
      <c r="V362" s="4"/>
      <c r="W362" s="4"/>
      <c r="X362" s="4"/>
      <c r="Y362" s="4"/>
      <c r="Z362" s="4"/>
      <c r="AA362" s="4"/>
      <c r="AB362" s="6"/>
      <c r="AC362" s="4"/>
      <c r="AD362" s="4"/>
    </row>
    <row r="363" spans="1:30">
      <c r="A363" s="4" t="str">
        <f t="shared" si="12"/>
        <v/>
      </c>
      <c r="B363" s="4"/>
      <c r="C363" s="4"/>
      <c r="D363" s="4"/>
      <c r="E363" s="4"/>
      <c r="F363" s="4"/>
      <c r="G363" s="6"/>
      <c r="H363" s="4"/>
      <c r="I363" s="4"/>
      <c r="J363" s="4"/>
      <c r="K363" s="4" t="str">
        <f t="shared" ca="1" si="11"/>
        <v>Sin fecha</v>
      </c>
      <c r="L363" s="8"/>
      <c r="M363" s="8"/>
      <c r="N363" s="4"/>
      <c r="O363" s="4"/>
      <c r="P363" s="4"/>
      <c r="Q363" s="4"/>
      <c r="R363" s="4"/>
      <c r="S363" s="4"/>
      <c r="T363" s="4"/>
      <c r="U363" s="4"/>
      <c r="V363" s="4"/>
      <c r="W363" s="4"/>
      <c r="X363" s="4"/>
      <c r="Y363" s="4"/>
      <c r="Z363" s="4"/>
      <c r="AA363" s="4"/>
      <c r="AB363" s="6"/>
      <c r="AC363" s="4"/>
      <c r="AD363" s="4"/>
    </row>
    <row r="364" spans="1:30">
      <c r="A364" s="4" t="str">
        <f t="shared" si="12"/>
        <v/>
      </c>
      <c r="B364" s="4"/>
      <c r="C364" s="4"/>
      <c r="D364" s="4"/>
      <c r="E364" s="4"/>
      <c r="F364" s="4"/>
      <c r="G364" s="6"/>
      <c r="H364" s="4"/>
      <c r="I364" s="4"/>
      <c r="J364" s="4"/>
      <c r="K364" s="4" t="str">
        <f t="shared" ca="1" si="11"/>
        <v>Sin fecha</v>
      </c>
      <c r="L364" s="8"/>
      <c r="M364" s="8"/>
      <c r="N364" s="4"/>
      <c r="O364" s="4"/>
      <c r="P364" s="4"/>
      <c r="Q364" s="4"/>
      <c r="R364" s="4"/>
      <c r="S364" s="4"/>
      <c r="T364" s="4"/>
      <c r="U364" s="4"/>
      <c r="V364" s="4"/>
      <c r="W364" s="4"/>
      <c r="X364" s="4"/>
      <c r="Y364" s="4"/>
      <c r="Z364" s="4"/>
      <c r="AA364" s="4"/>
      <c r="AB364" s="6"/>
      <c r="AC364" s="4"/>
      <c r="AD364" s="4"/>
    </row>
    <row r="365" spans="1:30">
      <c r="A365" s="4" t="str">
        <f t="shared" si="12"/>
        <v/>
      </c>
      <c r="B365" s="4"/>
      <c r="C365" s="4"/>
      <c r="D365" s="4"/>
      <c r="E365" s="4"/>
      <c r="F365" s="4"/>
      <c r="G365" s="6"/>
      <c r="H365" s="4"/>
      <c r="I365" s="4"/>
      <c r="J365" s="4"/>
      <c r="K365" s="4" t="str">
        <f t="shared" ca="1" si="11"/>
        <v>Sin fecha</v>
      </c>
      <c r="L365" s="8"/>
      <c r="M365" s="8"/>
      <c r="N365" s="4"/>
      <c r="O365" s="4"/>
      <c r="P365" s="4"/>
      <c r="Q365" s="4"/>
      <c r="R365" s="4"/>
      <c r="S365" s="4"/>
      <c r="T365" s="4"/>
      <c r="U365" s="4"/>
      <c r="V365" s="4"/>
      <c r="W365" s="4"/>
      <c r="X365" s="4"/>
      <c r="Y365" s="4"/>
      <c r="Z365" s="4"/>
      <c r="AA365" s="4"/>
      <c r="AB365" s="6"/>
      <c r="AC365" s="4"/>
      <c r="AD365" s="4"/>
    </row>
    <row r="366" spans="1:30">
      <c r="A366" s="4" t="str">
        <f t="shared" si="12"/>
        <v/>
      </c>
      <c r="B366" s="4"/>
      <c r="C366" s="4"/>
      <c r="D366" s="4"/>
      <c r="E366" s="4"/>
      <c r="F366" s="4"/>
      <c r="G366" s="6"/>
      <c r="H366" s="4"/>
      <c r="I366" s="4"/>
      <c r="J366" s="4"/>
      <c r="K366" s="4" t="str">
        <f t="shared" ca="1" si="11"/>
        <v>Sin fecha</v>
      </c>
      <c r="L366" s="8"/>
      <c r="M366" s="8"/>
      <c r="N366" s="4"/>
      <c r="O366" s="4"/>
      <c r="P366" s="4"/>
      <c r="Q366" s="4"/>
      <c r="R366" s="4"/>
      <c r="S366" s="4"/>
      <c r="T366" s="4"/>
      <c r="U366" s="4"/>
      <c r="V366" s="4"/>
      <c r="W366" s="4"/>
      <c r="X366" s="4"/>
      <c r="Y366" s="4"/>
      <c r="Z366" s="4"/>
      <c r="AA366" s="4"/>
      <c r="AB366" s="6"/>
      <c r="AC366" s="4"/>
      <c r="AD366" s="4"/>
    </row>
    <row r="367" spans="1:30">
      <c r="A367" s="4" t="str">
        <f t="shared" si="12"/>
        <v/>
      </c>
      <c r="B367" s="4"/>
      <c r="C367" s="4"/>
      <c r="D367" s="4"/>
      <c r="E367" s="4"/>
      <c r="F367" s="4"/>
      <c r="G367" s="6"/>
      <c r="H367" s="4"/>
      <c r="I367" s="4"/>
      <c r="J367" s="4"/>
      <c r="K367" s="4" t="str">
        <f t="shared" ca="1" si="11"/>
        <v>Sin fecha</v>
      </c>
      <c r="L367" s="8"/>
      <c r="M367" s="8"/>
      <c r="N367" s="4"/>
      <c r="O367" s="4"/>
      <c r="P367" s="4"/>
      <c r="Q367" s="4"/>
      <c r="R367" s="4"/>
      <c r="S367" s="4"/>
      <c r="T367" s="4"/>
      <c r="U367" s="4"/>
      <c r="V367" s="4"/>
      <c r="W367" s="4"/>
      <c r="X367" s="4"/>
      <c r="Y367" s="4"/>
      <c r="Z367" s="4"/>
      <c r="AA367" s="4"/>
      <c r="AB367" s="6"/>
      <c r="AC367" s="4"/>
      <c r="AD367" s="4"/>
    </row>
    <row r="368" spans="1:30">
      <c r="A368" s="4" t="str">
        <f t="shared" si="12"/>
        <v/>
      </c>
      <c r="B368" s="4"/>
      <c r="C368" s="4"/>
      <c r="D368" s="4"/>
      <c r="E368" s="4"/>
      <c r="F368" s="4"/>
      <c r="G368" s="6"/>
      <c r="H368" s="4"/>
      <c r="I368" s="4"/>
      <c r="J368" s="4"/>
      <c r="K368" s="4" t="str">
        <f t="shared" ca="1" si="11"/>
        <v>Sin fecha</v>
      </c>
      <c r="L368" s="8"/>
      <c r="M368" s="8"/>
      <c r="N368" s="4"/>
      <c r="O368" s="4"/>
      <c r="P368" s="4"/>
      <c r="Q368" s="4"/>
      <c r="R368" s="4"/>
      <c r="S368" s="4"/>
      <c r="T368" s="4"/>
      <c r="U368" s="4"/>
      <c r="V368" s="4"/>
      <c r="W368" s="4"/>
      <c r="X368" s="4"/>
      <c r="Y368" s="4"/>
      <c r="Z368" s="4"/>
      <c r="AA368" s="4"/>
      <c r="AB368" s="6"/>
      <c r="AC368" s="4"/>
      <c r="AD368" s="4"/>
    </row>
    <row r="369" spans="1:30">
      <c r="A369" s="4" t="str">
        <f t="shared" si="12"/>
        <v/>
      </c>
      <c r="B369" s="4"/>
      <c r="C369" s="4"/>
      <c r="D369" s="4"/>
      <c r="E369" s="4"/>
      <c r="F369" s="4"/>
      <c r="G369" s="6"/>
      <c r="H369" s="4"/>
      <c r="I369" s="4"/>
      <c r="J369" s="4"/>
      <c r="K369" s="4" t="str">
        <f t="shared" ca="1" si="11"/>
        <v>Sin fecha</v>
      </c>
      <c r="L369" s="8"/>
      <c r="M369" s="8"/>
      <c r="N369" s="4"/>
      <c r="O369" s="4"/>
      <c r="P369" s="4"/>
      <c r="Q369" s="4"/>
      <c r="R369" s="4"/>
      <c r="S369" s="4"/>
      <c r="T369" s="4"/>
      <c r="U369" s="4"/>
      <c r="V369" s="4"/>
      <c r="W369" s="4"/>
      <c r="X369" s="4"/>
      <c r="Y369" s="4"/>
      <c r="Z369" s="4"/>
      <c r="AA369" s="4"/>
      <c r="AB369" s="6"/>
      <c r="AC369" s="4"/>
      <c r="AD369" s="4"/>
    </row>
    <row r="370" spans="1:30">
      <c r="A370" s="4" t="str">
        <f t="shared" si="12"/>
        <v/>
      </c>
      <c r="B370" s="4"/>
      <c r="C370" s="4"/>
      <c r="D370" s="4"/>
      <c r="E370" s="4"/>
      <c r="F370" s="4"/>
      <c r="G370" s="6"/>
      <c r="H370" s="4"/>
      <c r="I370" s="4"/>
      <c r="J370" s="4"/>
      <c r="K370" s="4" t="str">
        <f t="shared" ca="1" si="11"/>
        <v>Sin fecha</v>
      </c>
      <c r="L370" s="8"/>
      <c r="M370" s="8"/>
      <c r="N370" s="4"/>
      <c r="O370" s="4"/>
      <c r="P370" s="4"/>
      <c r="Q370" s="4"/>
      <c r="R370" s="4"/>
      <c r="S370" s="4"/>
      <c r="T370" s="4"/>
      <c r="U370" s="4"/>
      <c r="V370" s="4"/>
      <c r="W370" s="4"/>
      <c r="X370" s="4"/>
      <c r="Y370" s="4"/>
      <c r="Z370" s="4"/>
      <c r="AA370" s="4"/>
      <c r="AB370" s="6"/>
      <c r="AC370" s="4"/>
      <c r="AD370" s="4"/>
    </row>
    <row r="371" spans="1:30">
      <c r="A371" s="4" t="str">
        <f t="shared" si="12"/>
        <v/>
      </c>
      <c r="B371" s="4"/>
      <c r="C371" s="4"/>
      <c r="D371" s="4"/>
      <c r="E371" s="4"/>
      <c r="F371" s="4"/>
      <c r="G371" s="6"/>
      <c r="H371" s="4"/>
      <c r="I371" s="4"/>
      <c r="J371" s="4"/>
      <c r="K371" s="4" t="str">
        <f t="shared" ca="1" si="11"/>
        <v>Sin fecha</v>
      </c>
      <c r="L371" s="8"/>
      <c r="M371" s="8"/>
      <c r="N371" s="4"/>
      <c r="O371" s="4"/>
      <c r="P371" s="4"/>
      <c r="Q371" s="4"/>
      <c r="R371" s="4"/>
      <c r="S371" s="4"/>
      <c r="T371" s="4"/>
      <c r="U371" s="4"/>
      <c r="V371" s="4"/>
      <c r="W371" s="4"/>
      <c r="X371" s="4"/>
      <c r="Y371" s="4"/>
      <c r="Z371" s="4"/>
      <c r="AA371" s="4"/>
      <c r="AB371" s="6"/>
      <c r="AC371" s="4"/>
      <c r="AD371" s="4"/>
    </row>
    <row r="372" spans="1:30">
      <c r="A372" s="4" t="str">
        <f t="shared" si="12"/>
        <v/>
      </c>
      <c r="B372" s="4"/>
      <c r="C372" s="4"/>
      <c r="D372" s="4"/>
      <c r="E372" s="4"/>
      <c r="F372" s="4"/>
      <c r="G372" s="6"/>
      <c r="H372" s="4"/>
      <c r="I372" s="4"/>
      <c r="J372" s="4"/>
      <c r="K372" s="4" t="str">
        <f t="shared" ca="1" si="11"/>
        <v>Sin fecha</v>
      </c>
      <c r="L372" s="8"/>
      <c r="M372" s="8"/>
      <c r="N372" s="4"/>
      <c r="O372" s="4"/>
      <c r="P372" s="4"/>
      <c r="Q372" s="4"/>
      <c r="R372" s="4"/>
      <c r="S372" s="4"/>
      <c r="T372" s="4"/>
      <c r="U372" s="4"/>
      <c r="V372" s="4"/>
      <c r="W372" s="4"/>
      <c r="X372" s="4"/>
      <c r="Y372" s="4"/>
      <c r="Z372" s="4"/>
      <c r="AA372" s="4"/>
      <c r="AB372" s="6"/>
      <c r="AC372" s="4"/>
      <c r="AD372" s="4"/>
    </row>
    <row r="373" spans="1:30">
      <c r="A373" s="4" t="str">
        <f t="shared" si="12"/>
        <v/>
      </c>
      <c r="B373" s="4"/>
      <c r="C373" s="4"/>
      <c r="D373" s="4"/>
      <c r="E373" s="4"/>
      <c r="F373" s="4"/>
      <c r="G373" s="6"/>
      <c r="H373" s="4"/>
      <c r="I373" s="4"/>
      <c r="J373" s="4"/>
      <c r="K373" s="4" t="str">
        <f t="shared" ca="1" si="11"/>
        <v>Sin fecha</v>
      </c>
      <c r="L373" s="8"/>
      <c r="M373" s="8"/>
      <c r="N373" s="4"/>
      <c r="O373" s="4"/>
      <c r="P373" s="4"/>
      <c r="Q373" s="4"/>
      <c r="R373" s="4"/>
      <c r="S373" s="4"/>
      <c r="T373" s="4"/>
      <c r="U373" s="4"/>
      <c r="V373" s="4"/>
      <c r="W373" s="4"/>
      <c r="X373" s="4"/>
      <c r="Y373" s="4"/>
      <c r="Z373" s="4"/>
      <c r="AA373" s="4"/>
      <c r="AB373" s="6"/>
      <c r="AC373" s="4"/>
      <c r="AD373" s="4"/>
    </row>
    <row r="374" spans="1:30">
      <c r="A374" s="4" t="str">
        <f t="shared" si="12"/>
        <v/>
      </c>
      <c r="B374" s="4"/>
      <c r="C374" s="4"/>
      <c r="D374" s="4"/>
      <c r="E374" s="4"/>
      <c r="F374" s="4"/>
      <c r="G374" s="6"/>
      <c r="H374" s="4"/>
      <c r="I374" s="4"/>
      <c r="J374" s="4"/>
      <c r="K374" s="4" t="str">
        <f t="shared" ca="1" si="11"/>
        <v>Sin fecha</v>
      </c>
      <c r="L374" s="8"/>
      <c r="M374" s="8"/>
      <c r="N374" s="4"/>
      <c r="O374" s="4"/>
      <c r="P374" s="4"/>
      <c r="Q374" s="4"/>
      <c r="R374" s="4"/>
      <c r="S374" s="4"/>
      <c r="T374" s="4"/>
      <c r="U374" s="4"/>
      <c r="V374" s="4"/>
      <c r="W374" s="4"/>
      <c r="X374" s="4"/>
      <c r="Y374" s="4"/>
      <c r="Z374" s="4"/>
      <c r="AA374" s="4"/>
      <c r="AB374" s="6"/>
      <c r="AC374" s="4"/>
      <c r="AD374" s="4"/>
    </row>
    <row r="375" spans="1:30">
      <c r="A375" s="4" t="str">
        <f t="shared" si="12"/>
        <v/>
      </c>
      <c r="B375" s="4"/>
      <c r="C375" s="4"/>
      <c r="D375" s="4"/>
      <c r="E375" s="4"/>
      <c r="F375" s="4"/>
      <c r="G375" s="6"/>
      <c r="H375" s="4"/>
      <c r="I375" s="4"/>
      <c r="J375" s="4"/>
      <c r="K375" s="4" t="str">
        <f t="shared" ca="1" si="11"/>
        <v>Sin fecha</v>
      </c>
      <c r="L375" s="8"/>
      <c r="M375" s="8"/>
      <c r="N375" s="4"/>
      <c r="O375" s="4"/>
      <c r="P375" s="4"/>
      <c r="Q375" s="4"/>
      <c r="R375" s="4"/>
      <c r="S375" s="4"/>
      <c r="T375" s="4"/>
      <c r="U375" s="4"/>
      <c r="V375" s="4"/>
      <c r="W375" s="4"/>
      <c r="X375" s="4"/>
      <c r="Y375" s="4"/>
      <c r="Z375" s="4"/>
      <c r="AA375" s="4"/>
      <c r="AB375" s="6"/>
      <c r="AC375" s="4"/>
      <c r="AD375" s="4"/>
    </row>
    <row r="376" spans="1:30">
      <c r="A376" s="4" t="str">
        <f t="shared" si="12"/>
        <v/>
      </c>
      <c r="B376" s="4"/>
      <c r="C376" s="4"/>
      <c r="D376" s="4"/>
      <c r="E376" s="4"/>
      <c r="F376" s="4"/>
      <c r="G376" s="6"/>
      <c r="H376" s="4"/>
      <c r="I376" s="4"/>
      <c r="J376" s="4"/>
      <c r="K376" s="4" t="str">
        <f t="shared" ca="1" si="11"/>
        <v>Sin fecha</v>
      </c>
      <c r="L376" s="8"/>
      <c r="M376" s="8"/>
      <c r="N376" s="4"/>
      <c r="O376" s="4"/>
      <c r="P376" s="4"/>
      <c r="Q376" s="4"/>
      <c r="R376" s="4"/>
      <c r="S376" s="4"/>
      <c r="T376" s="4"/>
      <c r="U376" s="4"/>
      <c r="V376" s="4"/>
      <c r="W376" s="4"/>
      <c r="X376" s="4"/>
      <c r="Y376" s="4"/>
      <c r="Z376" s="4"/>
      <c r="AA376" s="4"/>
      <c r="AB376" s="6"/>
      <c r="AC376" s="4"/>
      <c r="AD376" s="4"/>
    </row>
    <row r="377" spans="1:30">
      <c r="A377" s="4" t="str">
        <f t="shared" si="12"/>
        <v/>
      </c>
      <c r="B377" s="4"/>
      <c r="C377" s="4"/>
      <c r="D377" s="4"/>
      <c r="E377" s="4"/>
      <c r="F377" s="4"/>
      <c r="G377" s="6"/>
      <c r="H377" s="4"/>
      <c r="I377" s="4"/>
      <c r="J377" s="4"/>
      <c r="K377" s="4" t="str">
        <f t="shared" ca="1" si="11"/>
        <v>Sin fecha</v>
      </c>
      <c r="L377" s="8"/>
      <c r="M377" s="8"/>
      <c r="N377" s="4"/>
      <c r="O377" s="4"/>
      <c r="P377" s="4"/>
      <c r="Q377" s="4"/>
      <c r="R377" s="4"/>
      <c r="S377" s="4"/>
      <c r="T377" s="4"/>
      <c r="U377" s="4"/>
      <c r="V377" s="4"/>
      <c r="W377" s="4"/>
      <c r="X377" s="4"/>
      <c r="Y377" s="4"/>
      <c r="Z377" s="4"/>
      <c r="AA377" s="4"/>
      <c r="AB377" s="6"/>
      <c r="AC377" s="4"/>
      <c r="AD377" s="4"/>
    </row>
    <row r="378" spans="1:30">
      <c r="A378" s="4" t="str">
        <f t="shared" si="12"/>
        <v/>
      </c>
      <c r="B378" s="4"/>
      <c r="C378" s="4"/>
      <c r="D378" s="4"/>
      <c r="E378" s="4"/>
      <c r="F378" s="4"/>
      <c r="G378" s="6"/>
      <c r="H378" s="4"/>
      <c r="I378" s="4"/>
      <c r="J378" s="4"/>
      <c r="K378" s="4" t="str">
        <f t="shared" ca="1" si="11"/>
        <v>Sin fecha</v>
      </c>
      <c r="L378" s="8"/>
      <c r="M378" s="8"/>
      <c r="N378" s="4"/>
      <c r="O378" s="4"/>
      <c r="P378" s="4"/>
      <c r="Q378" s="4"/>
      <c r="R378" s="4"/>
      <c r="S378" s="4"/>
      <c r="T378" s="4"/>
      <c r="U378" s="4"/>
      <c r="V378" s="4"/>
      <c r="W378" s="4"/>
      <c r="X378" s="4"/>
      <c r="Y378" s="4"/>
      <c r="Z378" s="4"/>
      <c r="AA378" s="4"/>
      <c r="AB378" s="6"/>
      <c r="AC378" s="4"/>
      <c r="AD378" s="4"/>
    </row>
    <row r="379" spans="1:30">
      <c r="A379" s="4" t="str">
        <f t="shared" si="12"/>
        <v/>
      </c>
      <c r="B379" s="4"/>
      <c r="C379" s="4"/>
      <c r="D379" s="4"/>
      <c r="E379" s="4"/>
      <c r="F379" s="4"/>
      <c r="G379" s="6"/>
      <c r="H379" s="4"/>
      <c r="I379" s="4"/>
      <c r="J379" s="4"/>
      <c r="K379" s="4" t="str">
        <f t="shared" ca="1" si="11"/>
        <v>Sin fecha</v>
      </c>
      <c r="L379" s="8"/>
      <c r="M379" s="8"/>
      <c r="N379" s="4"/>
      <c r="O379" s="4"/>
      <c r="P379" s="4"/>
      <c r="Q379" s="4"/>
      <c r="R379" s="4"/>
      <c r="S379" s="4"/>
      <c r="T379" s="4"/>
      <c r="U379" s="4"/>
      <c r="V379" s="4"/>
      <c r="W379" s="4"/>
      <c r="X379" s="4"/>
      <c r="Y379" s="4"/>
      <c r="Z379" s="4"/>
      <c r="AA379" s="4"/>
      <c r="AB379" s="6"/>
      <c r="AC379" s="4"/>
      <c r="AD379" s="4"/>
    </row>
    <row r="380" spans="1:30">
      <c r="A380" s="4" t="str">
        <f t="shared" si="12"/>
        <v/>
      </c>
      <c r="B380" s="4"/>
      <c r="C380" s="4"/>
      <c r="D380" s="4"/>
      <c r="E380" s="4"/>
      <c r="F380" s="4"/>
      <c r="G380" s="6"/>
      <c r="H380" s="4"/>
      <c r="I380" s="4"/>
      <c r="J380" s="4"/>
      <c r="K380" s="4" t="str">
        <f t="shared" ca="1" si="11"/>
        <v>Sin fecha</v>
      </c>
      <c r="L380" s="8"/>
      <c r="M380" s="8"/>
      <c r="N380" s="4"/>
      <c r="O380" s="4"/>
      <c r="P380" s="4"/>
      <c r="Q380" s="4"/>
      <c r="R380" s="4"/>
      <c r="S380" s="4"/>
      <c r="T380" s="4"/>
      <c r="U380" s="4"/>
      <c r="V380" s="4"/>
      <c r="W380" s="4"/>
      <c r="X380" s="4"/>
      <c r="Y380" s="4"/>
      <c r="Z380" s="4"/>
      <c r="AA380" s="4"/>
      <c r="AB380" s="6"/>
      <c r="AC380" s="4"/>
      <c r="AD380" s="4"/>
    </row>
    <row r="381" spans="1:30">
      <c r="A381" s="4" t="str">
        <f t="shared" si="12"/>
        <v/>
      </c>
      <c r="B381" s="4"/>
      <c r="C381" s="4"/>
      <c r="D381" s="4"/>
      <c r="E381" s="4"/>
      <c r="F381" s="4"/>
      <c r="G381" s="6"/>
      <c r="H381" s="4"/>
      <c r="I381" s="4"/>
      <c r="J381" s="4"/>
      <c r="K381" s="4" t="str">
        <f t="shared" ca="1" si="11"/>
        <v>Sin fecha</v>
      </c>
      <c r="L381" s="8"/>
      <c r="M381" s="8"/>
      <c r="N381" s="4"/>
      <c r="O381" s="4"/>
      <c r="P381" s="4"/>
      <c r="Q381" s="4"/>
      <c r="R381" s="4"/>
      <c r="S381" s="4"/>
      <c r="T381" s="4"/>
      <c r="U381" s="4"/>
      <c r="V381" s="4"/>
      <c r="W381" s="4"/>
      <c r="X381" s="4"/>
      <c r="Y381" s="4"/>
      <c r="Z381" s="4"/>
      <c r="AA381" s="4"/>
      <c r="AB381" s="6"/>
      <c r="AC381" s="4"/>
      <c r="AD381" s="4"/>
    </row>
    <row r="382" spans="1:30">
      <c r="A382" s="4" t="str">
        <f t="shared" si="12"/>
        <v/>
      </c>
      <c r="B382" s="4"/>
      <c r="C382" s="4"/>
      <c r="D382" s="4"/>
      <c r="E382" s="4"/>
      <c r="F382" s="4"/>
      <c r="G382" s="6"/>
      <c r="H382" s="4"/>
      <c r="I382" s="4"/>
      <c r="J382" s="4"/>
      <c r="K382" s="4" t="str">
        <f t="shared" ca="1" si="11"/>
        <v>Sin fecha</v>
      </c>
      <c r="L382" s="8"/>
      <c r="M382" s="8"/>
      <c r="N382" s="4"/>
      <c r="O382" s="4"/>
      <c r="P382" s="4"/>
      <c r="Q382" s="4"/>
      <c r="R382" s="4"/>
      <c r="S382" s="4"/>
      <c r="T382" s="4"/>
      <c r="U382" s="4"/>
      <c r="V382" s="4"/>
      <c r="W382" s="4"/>
      <c r="X382" s="4"/>
      <c r="Y382" s="4"/>
      <c r="Z382" s="4"/>
      <c r="AA382" s="4"/>
      <c r="AB382" s="6"/>
      <c r="AC382" s="4"/>
      <c r="AD382" s="4"/>
    </row>
    <row r="383" spans="1:30">
      <c r="A383" s="4" t="str">
        <f t="shared" si="12"/>
        <v/>
      </c>
      <c r="B383" s="4"/>
      <c r="C383" s="4"/>
      <c r="D383" s="4"/>
      <c r="E383" s="4"/>
      <c r="F383" s="4"/>
      <c r="G383" s="6"/>
      <c r="H383" s="4"/>
      <c r="I383" s="4"/>
      <c r="J383" s="4"/>
      <c r="K383" s="4" t="str">
        <f t="shared" ca="1" si="11"/>
        <v>Sin fecha</v>
      </c>
      <c r="L383" s="8"/>
      <c r="M383" s="8"/>
      <c r="N383" s="4"/>
      <c r="O383" s="4"/>
      <c r="P383" s="4"/>
      <c r="Q383" s="4"/>
      <c r="R383" s="4"/>
      <c r="S383" s="4"/>
      <c r="T383" s="4"/>
      <c r="U383" s="4"/>
      <c r="V383" s="4"/>
      <c r="W383" s="4"/>
      <c r="X383" s="4"/>
      <c r="Y383" s="4"/>
      <c r="Z383" s="4"/>
      <c r="AA383" s="4"/>
      <c r="AB383" s="6"/>
      <c r="AC383" s="4"/>
      <c r="AD383" s="4"/>
    </row>
    <row r="384" spans="1:30">
      <c r="A384" s="4" t="str">
        <f t="shared" si="12"/>
        <v/>
      </c>
      <c r="B384" s="4"/>
      <c r="C384" s="4"/>
      <c r="D384" s="4"/>
      <c r="E384" s="4"/>
      <c r="F384" s="4"/>
      <c r="G384" s="6"/>
      <c r="H384" s="4"/>
      <c r="I384" s="4"/>
      <c r="J384" s="4"/>
      <c r="K384" s="4" t="str">
        <f t="shared" ref="K384:K447" ca="1" si="13">IF(J384="Cerrada","Cerrada",IF(J384="Suspendida","Suspendida",IF(G384="","Sin fecha",IF(G384&lt;TODAY(),"Vencida",IF(G384-TODAY()&lt;=30,"Próxima a vencer","Abierta")))))</f>
        <v>Sin fecha</v>
      </c>
      <c r="L384" s="8"/>
      <c r="M384" s="8"/>
      <c r="N384" s="4"/>
      <c r="O384" s="4"/>
      <c r="P384" s="4"/>
      <c r="Q384" s="4"/>
      <c r="R384" s="4"/>
      <c r="S384" s="4"/>
      <c r="T384" s="4"/>
      <c r="U384" s="4"/>
      <c r="V384" s="4"/>
      <c r="W384" s="4"/>
      <c r="X384" s="4"/>
      <c r="Y384" s="4"/>
      <c r="Z384" s="4"/>
      <c r="AA384" s="4"/>
      <c r="AB384" s="6"/>
      <c r="AC384" s="4"/>
      <c r="AD384" s="4"/>
    </row>
    <row r="385" spans="1:30">
      <c r="A385" s="4" t="str">
        <f t="shared" ref="A385:A448" si="14">IF(C385="","","OP-"&amp;TEXT(ROW()-1,"0000"))</f>
        <v/>
      </c>
      <c r="B385" s="4"/>
      <c r="C385" s="4"/>
      <c r="D385" s="4"/>
      <c r="E385" s="4"/>
      <c r="F385" s="4"/>
      <c r="G385" s="6"/>
      <c r="H385" s="4"/>
      <c r="I385" s="4"/>
      <c r="J385" s="4"/>
      <c r="K385" s="4" t="str">
        <f t="shared" ca="1" si="13"/>
        <v>Sin fecha</v>
      </c>
      <c r="L385" s="8"/>
      <c r="M385" s="8"/>
      <c r="N385" s="4"/>
      <c r="O385" s="4"/>
      <c r="P385" s="4"/>
      <c r="Q385" s="4"/>
      <c r="R385" s="4"/>
      <c r="S385" s="4"/>
      <c r="T385" s="4"/>
      <c r="U385" s="4"/>
      <c r="V385" s="4"/>
      <c r="W385" s="4"/>
      <c r="X385" s="4"/>
      <c r="Y385" s="4"/>
      <c r="Z385" s="4"/>
      <c r="AA385" s="4"/>
      <c r="AB385" s="6"/>
      <c r="AC385" s="4"/>
      <c r="AD385" s="4"/>
    </row>
    <row r="386" spans="1:30">
      <c r="A386" s="4" t="str">
        <f t="shared" si="14"/>
        <v/>
      </c>
      <c r="B386" s="4"/>
      <c r="C386" s="4"/>
      <c r="D386" s="4"/>
      <c r="E386" s="4"/>
      <c r="F386" s="4"/>
      <c r="G386" s="6"/>
      <c r="H386" s="4"/>
      <c r="I386" s="4"/>
      <c r="J386" s="4"/>
      <c r="K386" s="4" t="str">
        <f t="shared" ca="1" si="13"/>
        <v>Sin fecha</v>
      </c>
      <c r="L386" s="8"/>
      <c r="M386" s="8"/>
      <c r="N386" s="4"/>
      <c r="O386" s="4"/>
      <c r="P386" s="4"/>
      <c r="Q386" s="4"/>
      <c r="R386" s="4"/>
      <c r="S386" s="4"/>
      <c r="T386" s="4"/>
      <c r="U386" s="4"/>
      <c r="V386" s="4"/>
      <c r="W386" s="4"/>
      <c r="X386" s="4"/>
      <c r="Y386" s="4"/>
      <c r="Z386" s="4"/>
      <c r="AA386" s="4"/>
      <c r="AB386" s="6"/>
      <c r="AC386" s="4"/>
      <c r="AD386" s="4"/>
    </row>
    <row r="387" spans="1:30">
      <c r="A387" s="4" t="str">
        <f t="shared" si="14"/>
        <v/>
      </c>
      <c r="B387" s="4"/>
      <c r="C387" s="4"/>
      <c r="D387" s="4"/>
      <c r="E387" s="4"/>
      <c r="F387" s="4"/>
      <c r="G387" s="6"/>
      <c r="H387" s="4"/>
      <c r="I387" s="4"/>
      <c r="J387" s="4"/>
      <c r="K387" s="4" t="str">
        <f t="shared" ca="1" si="13"/>
        <v>Sin fecha</v>
      </c>
      <c r="L387" s="8"/>
      <c r="M387" s="8"/>
      <c r="N387" s="4"/>
      <c r="O387" s="4"/>
      <c r="P387" s="4"/>
      <c r="Q387" s="4"/>
      <c r="R387" s="4"/>
      <c r="S387" s="4"/>
      <c r="T387" s="4"/>
      <c r="U387" s="4"/>
      <c r="V387" s="4"/>
      <c r="W387" s="4"/>
      <c r="X387" s="4"/>
      <c r="Y387" s="4"/>
      <c r="Z387" s="4"/>
      <c r="AA387" s="4"/>
      <c r="AB387" s="6"/>
      <c r="AC387" s="4"/>
      <c r="AD387" s="4"/>
    </row>
    <row r="388" spans="1:30">
      <c r="A388" s="4" t="str">
        <f t="shared" si="14"/>
        <v/>
      </c>
      <c r="B388" s="4"/>
      <c r="C388" s="4"/>
      <c r="D388" s="4"/>
      <c r="E388" s="4"/>
      <c r="F388" s="4"/>
      <c r="G388" s="6"/>
      <c r="H388" s="4"/>
      <c r="I388" s="4"/>
      <c r="J388" s="4"/>
      <c r="K388" s="4" t="str">
        <f t="shared" ca="1" si="13"/>
        <v>Sin fecha</v>
      </c>
      <c r="L388" s="8"/>
      <c r="M388" s="8"/>
      <c r="N388" s="4"/>
      <c r="O388" s="4"/>
      <c r="P388" s="4"/>
      <c r="Q388" s="4"/>
      <c r="R388" s="4"/>
      <c r="S388" s="4"/>
      <c r="T388" s="4"/>
      <c r="U388" s="4"/>
      <c r="V388" s="4"/>
      <c r="W388" s="4"/>
      <c r="X388" s="4"/>
      <c r="Y388" s="4"/>
      <c r="Z388" s="4"/>
      <c r="AA388" s="4"/>
      <c r="AB388" s="6"/>
      <c r="AC388" s="4"/>
      <c r="AD388" s="4"/>
    </row>
    <row r="389" spans="1:30">
      <c r="A389" s="4" t="str">
        <f t="shared" si="14"/>
        <v/>
      </c>
      <c r="B389" s="4"/>
      <c r="C389" s="4"/>
      <c r="D389" s="4"/>
      <c r="E389" s="4"/>
      <c r="F389" s="4"/>
      <c r="G389" s="6"/>
      <c r="H389" s="4"/>
      <c r="I389" s="4"/>
      <c r="J389" s="4"/>
      <c r="K389" s="4" t="str">
        <f t="shared" ca="1" si="13"/>
        <v>Sin fecha</v>
      </c>
      <c r="L389" s="8"/>
      <c r="M389" s="8"/>
      <c r="N389" s="4"/>
      <c r="O389" s="4"/>
      <c r="P389" s="4"/>
      <c r="Q389" s="4"/>
      <c r="R389" s="4"/>
      <c r="S389" s="4"/>
      <c r="T389" s="4"/>
      <c r="U389" s="4"/>
      <c r="V389" s="4"/>
      <c r="W389" s="4"/>
      <c r="X389" s="4"/>
      <c r="Y389" s="4"/>
      <c r="Z389" s="4"/>
      <c r="AA389" s="4"/>
      <c r="AB389" s="6"/>
      <c r="AC389" s="4"/>
      <c r="AD389" s="4"/>
    </row>
    <row r="390" spans="1:30">
      <c r="A390" s="4" t="str">
        <f t="shared" si="14"/>
        <v/>
      </c>
      <c r="B390" s="4"/>
      <c r="C390" s="4"/>
      <c r="D390" s="4"/>
      <c r="E390" s="4"/>
      <c r="F390" s="4"/>
      <c r="G390" s="6"/>
      <c r="H390" s="4"/>
      <c r="I390" s="4"/>
      <c r="J390" s="4"/>
      <c r="K390" s="4" t="str">
        <f t="shared" ca="1" si="13"/>
        <v>Sin fecha</v>
      </c>
      <c r="L390" s="8"/>
      <c r="M390" s="8"/>
      <c r="N390" s="4"/>
      <c r="O390" s="4"/>
      <c r="P390" s="4"/>
      <c r="Q390" s="4"/>
      <c r="R390" s="4"/>
      <c r="S390" s="4"/>
      <c r="T390" s="4"/>
      <c r="U390" s="4"/>
      <c r="V390" s="4"/>
      <c r="W390" s="4"/>
      <c r="X390" s="4"/>
      <c r="Y390" s="4"/>
      <c r="Z390" s="4"/>
      <c r="AA390" s="4"/>
      <c r="AB390" s="6"/>
      <c r="AC390" s="4"/>
      <c r="AD390" s="4"/>
    </row>
    <row r="391" spans="1:30">
      <c r="A391" s="4" t="str">
        <f t="shared" si="14"/>
        <v/>
      </c>
      <c r="B391" s="4"/>
      <c r="C391" s="4"/>
      <c r="D391" s="4"/>
      <c r="E391" s="4"/>
      <c r="F391" s="4"/>
      <c r="G391" s="6"/>
      <c r="H391" s="4"/>
      <c r="I391" s="4"/>
      <c r="J391" s="4"/>
      <c r="K391" s="4" t="str">
        <f t="shared" ca="1" si="13"/>
        <v>Sin fecha</v>
      </c>
      <c r="L391" s="8"/>
      <c r="M391" s="8"/>
      <c r="N391" s="4"/>
      <c r="O391" s="4"/>
      <c r="P391" s="4"/>
      <c r="Q391" s="4"/>
      <c r="R391" s="4"/>
      <c r="S391" s="4"/>
      <c r="T391" s="4"/>
      <c r="U391" s="4"/>
      <c r="V391" s="4"/>
      <c r="W391" s="4"/>
      <c r="X391" s="4"/>
      <c r="Y391" s="4"/>
      <c r="Z391" s="4"/>
      <c r="AA391" s="4"/>
      <c r="AB391" s="6"/>
      <c r="AC391" s="4"/>
      <c r="AD391" s="4"/>
    </row>
    <row r="392" spans="1:30">
      <c r="A392" s="4" t="str">
        <f t="shared" si="14"/>
        <v/>
      </c>
      <c r="B392" s="4"/>
      <c r="C392" s="4"/>
      <c r="D392" s="4"/>
      <c r="E392" s="4"/>
      <c r="F392" s="4"/>
      <c r="G392" s="6"/>
      <c r="H392" s="4"/>
      <c r="I392" s="4"/>
      <c r="J392" s="4"/>
      <c r="K392" s="4" t="str">
        <f t="shared" ca="1" si="13"/>
        <v>Sin fecha</v>
      </c>
      <c r="L392" s="8"/>
      <c r="M392" s="8"/>
      <c r="N392" s="4"/>
      <c r="O392" s="4"/>
      <c r="P392" s="4"/>
      <c r="Q392" s="4"/>
      <c r="R392" s="4"/>
      <c r="S392" s="4"/>
      <c r="T392" s="4"/>
      <c r="U392" s="4"/>
      <c r="V392" s="4"/>
      <c r="W392" s="4"/>
      <c r="X392" s="4"/>
      <c r="Y392" s="4"/>
      <c r="Z392" s="4"/>
      <c r="AA392" s="4"/>
      <c r="AB392" s="6"/>
      <c r="AC392" s="4"/>
      <c r="AD392" s="4"/>
    </row>
    <row r="393" spans="1:30">
      <c r="A393" s="4" t="str">
        <f t="shared" si="14"/>
        <v/>
      </c>
      <c r="B393" s="4"/>
      <c r="C393" s="4"/>
      <c r="D393" s="4"/>
      <c r="E393" s="4"/>
      <c r="F393" s="4"/>
      <c r="G393" s="6"/>
      <c r="H393" s="4"/>
      <c r="I393" s="4"/>
      <c r="J393" s="4"/>
      <c r="K393" s="4" t="str">
        <f t="shared" ca="1" si="13"/>
        <v>Sin fecha</v>
      </c>
      <c r="L393" s="8"/>
      <c r="M393" s="8"/>
      <c r="N393" s="4"/>
      <c r="O393" s="4"/>
      <c r="P393" s="4"/>
      <c r="Q393" s="4"/>
      <c r="R393" s="4"/>
      <c r="S393" s="4"/>
      <c r="T393" s="4"/>
      <c r="U393" s="4"/>
      <c r="V393" s="4"/>
      <c r="W393" s="4"/>
      <c r="X393" s="4"/>
      <c r="Y393" s="4"/>
      <c r="Z393" s="4"/>
      <c r="AA393" s="4"/>
      <c r="AB393" s="6"/>
      <c r="AC393" s="4"/>
      <c r="AD393" s="4"/>
    </row>
    <row r="394" spans="1:30">
      <c r="A394" s="4" t="str">
        <f t="shared" si="14"/>
        <v/>
      </c>
      <c r="B394" s="4"/>
      <c r="C394" s="4"/>
      <c r="D394" s="4"/>
      <c r="E394" s="4"/>
      <c r="F394" s="4"/>
      <c r="G394" s="6"/>
      <c r="H394" s="4"/>
      <c r="I394" s="4"/>
      <c r="J394" s="4"/>
      <c r="K394" s="4" t="str">
        <f t="shared" ca="1" si="13"/>
        <v>Sin fecha</v>
      </c>
      <c r="L394" s="8"/>
      <c r="M394" s="8"/>
      <c r="N394" s="4"/>
      <c r="O394" s="4"/>
      <c r="P394" s="4"/>
      <c r="Q394" s="4"/>
      <c r="R394" s="4"/>
      <c r="S394" s="4"/>
      <c r="T394" s="4"/>
      <c r="U394" s="4"/>
      <c r="V394" s="4"/>
      <c r="W394" s="4"/>
      <c r="X394" s="4"/>
      <c r="Y394" s="4"/>
      <c r="Z394" s="4"/>
      <c r="AA394" s="4"/>
      <c r="AB394" s="6"/>
      <c r="AC394" s="4"/>
      <c r="AD394" s="4"/>
    </row>
    <row r="395" spans="1:30">
      <c r="A395" s="4" t="str">
        <f t="shared" si="14"/>
        <v/>
      </c>
      <c r="B395" s="4"/>
      <c r="C395" s="4"/>
      <c r="D395" s="4"/>
      <c r="E395" s="4"/>
      <c r="F395" s="4"/>
      <c r="G395" s="6"/>
      <c r="H395" s="4"/>
      <c r="I395" s="4"/>
      <c r="J395" s="4"/>
      <c r="K395" s="4" t="str">
        <f t="shared" ca="1" si="13"/>
        <v>Sin fecha</v>
      </c>
      <c r="L395" s="8"/>
      <c r="M395" s="8"/>
      <c r="N395" s="4"/>
      <c r="O395" s="4"/>
      <c r="P395" s="4"/>
      <c r="Q395" s="4"/>
      <c r="R395" s="4"/>
      <c r="S395" s="4"/>
      <c r="T395" s="4"/>
      <c r="U395" s="4"/>
      <c r="V395" s="4"/>
      <c r="W395" s="4"/>
      <c r="X395" s="4"/>
      <c r="Y395" s="4"/>
      <c r="Z395" s="4"/>
      <c r="AA395" s="4"/>
      <c r="AB395" s="6"/>
      <c r="AC395" s="4"/>
      <c r="AD395" s="4"/>
    </row>
    <row r="396" spans="1:30">
      <c r="A396" s="4" t="str">
        <f t="shared" si="14"/>
        <v/>
      </c>
      <c r="B396" s="4"/>
      <c r="C396" s="4"/>
      <c r="D396" s="4"/>
      <c r="E396" s="4"/>
      <c r="F396" s="4"/>
      <c r="G396" s="6"/>
      <c r="H396" s="4"/>
      <c r="I396" s="4"/>
      <c r="J396" s="4"/>
      <c r="K396" s="4" t="str">
        <f t="shared" ca="1" si="13"/>
        <v>Sin fecha</v>
      </c>
      <c r="L396" s="8"/>
      <c r="M396" s="8"/>
      <c r="N396" s="4"/>
      <c r="O396" s="4"/>
      <c r="P396" s="4"/>
      <c r="Q396" s="4"/>
      <c r="R396" s="4"/>
      <c r="S396" s="4"/>
      <c r="T396" s="4"/>
      <c r="U396" s="4"/>
      <c r="V396" s="4"/>
      <c r="W396" s="4"/>
      <c r="X396" s="4"/>
      <c r="Y396" s="4"/>
      <c r="Z396" s="4"/>
      <c r="AA396" s="4"/>
      <c r="AB396" s="6"/>
      <c r="AC396" s="4"/>
      <c r="AD396" s="4"/>
    </row>
    <row r="397" spans="1:30">
      <c r="A397" s="4" t="str">
        <f t="shared" si="14"/>
        <v/>
      </c>
      <c r="B397" s="4"/>
      <c r="C397" s="4"/>
      <c r="D397" s="4"/>
      <c r="E397" s="4"/>
      <c r="F397" s="4"/>
      <c r="G397" s="6"/>
      <c r="H397" s="4"/>
      <c r="I397" s="4"/>
      <c r="J397" s="4"/>
      <c r="K397" s="4" t="str">
        <f t="shared" ca="1" si="13"/>
        <v>Sin fecha</v>
      </c>
      <c r="L397" s="8"/>
      <c r="M397" s="8"/>
      <c r="N397" s="4"/>
      <c r="O397" s="4"/>
      <c r="P397" s="4"/>
      <c r="Q397" s="4"/>
      <c r="R397" s="4"/>
      <c r="S397" s="4"/>
      <c r="T397" s="4"/>
      <c r="U397" s="4"/>
      <c r="V397" s="4"/>
      <c r="W397" s="4"/>
      <c r="X397" s="4"/>
      <c r="Y397" s="4"/>
      <c r="Z397" s="4"/>
      <c r="AA397" s="4"/>
      <c r="AB397" s="6"/>
      <c r="AC397" s="4"/>
      <c r="AD397" s="4"/>
    </row>
    <row r="398" spans="1:30">
      <c r="A398" s="4" t="str">
        <f t="shared" si="14"/>
        <v/>
      </c>
      <c r="B398" s="4"/>
      <c r="C398" s="4"/>
      <c r="D398" s="4"/>
      <c r="E398" s="4"/>
      <c r="F398" s="4"/>
      <c r="G398" s="6"/>
      <c r="H398" s="4"/>
      <c r="I398" s="4"/>
      <c r="J398" s="4"/>
      <c r="K398" s="4" t="str">
        <f t="shared" ca="1" si="13"/>
        <v>Sin fecha</v>
      </c>
      <c r="L398" s="8"/>
      <c r="M398" s="8"/>
      <c r="N398" s="4"/>
      <c r="O398" s="4"/>
      <c r="P398" s="4"/>
      <c r="Q398" s="4"/>
      <c r="R398" s="4"/>
      <c r="S398" s="4"/>
      <c r="T398" s="4"/>
      <c r="U398" s="4"/>
      <c r="V398" s="4"/>
      <c r="W398" s="4"/>
      <c r="X398" s="4"/>
      <c r="Y398" s="4"/>
      <c r="Z398" s="4"/>
      <c r="AA398" s="4"/>
      <c r="AB398" s="6"/>
      <c r="AC398" s="4"/>
      <c r="AD398" s="4"/>
    </row>
    <row r="399" spans="1:30">
      <c r="A399" s="4" t="str">
        <f t="shared" si="14"/>
        <v/>
      </c>
      <c r="B399" s="4"/>
      <c r="C399" s="4"/>
      <c r="D399" s="4"/>
      <c r="E399" s="4"/>
      <c r="F399" s="4"/>
      <c r="G399" s="6"/>
      <c r="H399" s="4"/>
      <c r="I399" s="4"/>
      <c r="J399" s="4"/>
      <c r="K399" s="4" t="str">
        <f t="shared" ca="1" si="13"/>
        <v>Sin fecha</v>
      </c>
      <c r="L399" s="8"/>
      <c r="M399" s="8"/>
      <c r="N399" s="4"/>
      <c r="O399" s="4"/>
      <c r="P399" s="4"/>
      <c r="Q399" s="4"/>
      <c r="R399" s="4"/>
      <c r="S399" s="4"/>
      <c r="T399" s="4"/>
      <c r="U399" s="4"/>
      <c r="V399" s="4"/>
      <c r="W399" s="4"/>
      <c r="X399" s="4"/>
      <c r="Y399" s="4"/>
      <c r="Z399" s="4"/>
      <c r="AA399" s="4"/>
      <c r="AB399" s="6"/>
      <c r="AC399" s="4"/>
      <c r="AD399" s="4"/>
    </row>
    <row r="400" spans="1:30">
      <c r="A400" s="4" t="str">
        <f t="shared" si="14"/>
        <v/>
      </c>
      <c r="B400" s="4"/>
      <c r="C400" s="4"/>
      <c r="D400" s="4"/>
      <c r="E400" s="4"/>
      <c r="F400" s="4"/>
      <c r="G400" s="6"/>
      <c r="H400" s="4"/>
      <c r="I400" s="4"/>
      <c r="J400" s="4"/>
      <c r="K400" s="4" t="str">
        <f t="shared" ca="1" si="13"/>
        <v>Sin fecha</v>
      </c>
      <c r="L400" s="8"/>
      <c r="M400" s="8"/>
      <c r="N400" s="4"/>
      <c r="O400" s="4"/>
      <c r="P400" s="4"/>
      <c r="Q400" s="4"/>
      <c r="R400" s="4"/>
      <c r="S400" s="4"/>
      <c r="T400" s="4"/>
      <c r="U400" s="4"/>
      <c r="V400" s="4"/>
      <c r="W400" s="4"/>
      <c r="X400" s="4"/>
      <c r="Y400" s="4"/>
      <c r="Z400" s="4"/>
      <c r="AA400" s="4"/>
      <c r="AB400" s="6"/>
      <c r="AC400" s="4"/>
      <c r="AD400" s="4"/>
    </row>
    <row r="401" spans="1:30">
      <c r="A401" s="4" t="str">
        <f t="shared" si="14"/>
        <v/>
      </c>
      <c r="B401" s="4"/>
      <c r="C401" s="4"/>
      <c r="D401" s="4"/>
      <c r="E401" s="4"/>
      <c r="F401" s="4"/>
      <c r="G401" s="6"/>
      <c r="H401" s="4"/>
      <c r="I401" s="4"/>
      <c r="J401" s="4"/>
      <c r="K401" s="4" t="str">
        <f t="shared" ca="1" si="13"/>
        <v>Sin fecha</v>
      </c>
      <c r="L401" s="8"/>
      <c r="M401" s="8"/>
      <c r="N401" s="4"/>
      <c r="O401" s="4"/>
      <c r="P401" s="4"/>
      <c r="Q401" s="4"/>
      <c r="R401" s="4"/>
      <c r="S401" s="4"/>
      <c r="T401" s="4"/>
      <c r="U401" s="4"/>
      <c r="V401" s="4"/>
      <c r="W401" s="4"/>
      <c r="X401" s="4"/>
      <c r="Y401" s="4"/>
      <c r="Z401" s="4"/>
      <c r="AA401" s="4"/>
      <c r="AB401" s="6"/>
      <c r="AC401" s="4"/>
      <c r="AD401" s="4"/>
    </row>
    <row r="402" spans="1:30">
      <c r="A402" s="4" t="str">
        <f t="shared" si="14"/>
        <v/>
      </c>
      <c r="B402" s="4"/>
      <c r="C402" s="4"/>
      <c r="D402" s="4"/>
      <c r="E402" s="4"/>
      <c r="F402" s="4"/>
      <c r="G402" s="6"/>
      <c r="H402" s="4"/>
      <c r="I402" s="4"/>
      <c r="J402" s="4"/>
      <c r="K402" s="4" t="str">
        <f t="shared" ca="1" si="13"/>
        <v>Sin fecha</v>
      </c>
      <c r="L402" s="8"/>
      <c r="M402" s="8"/>
      <c r="N402" s="4"/>
      <c r="O402" s="4"/>
      <c r="P402" s="4"/>
      <c r="Q402" s="4"/>
      <c r="R402" s="4"/>
      <c r="S402" s="4"/>
      <c r="T402" s="4"/>
      <c r="U402" s="4"/>
      <c r="V402" s="4"/>
      <c r="W402" s="4"/>
      <c r="X402" s="4"/>
      <c r="Y402" s="4"/>
      <c r="Z402" s="4"/>
      <c r="AA402" s="4"/>
      <c r="AB402" s="6"/>
      <c r="AC402" s="4"/>
      <c r="AD402" s="4"/>
    </row>
    <row r="403" spans="1:30">
      <c r="A403" s="4" t="str">
        <f t="shared" si="14"/>
        <v/>
      </c>
      <c r="B403" s="4"/>
      <c r="C403" s="4"/>
      <c r="D403" s="4"/>
      <c r="E403" s="4"/>
      <c r="F403" s="4"/>
      <c r="G403" s="6"/>
      <c r="H403" s="4"/>
      <c r="I403" s="4"/>
      <c r="J403" s="4"/>
      <c r="K403" s="4" t="str">
        <f t="shared" ca="1" si="13"/>
        <v>Sin fecha</v>
      </c>
      <c r="L403" s="8"/>
      <c r="M403" s="8"/>
      <c r="N403" s="4"/>
      <c r="O403" s="4"/>
      <c r="P403" s="4"/>
      <c r="Q403" s="4"/>
      <c r="R403" s="4"/>
      <c r="S403" s="4"/>
      <c r="T403" s="4"/>
      <c r="U403" s="4"/>
      <c r="V403" s="4"/>
      <c r="W403" s="4"/>
      <c r="X403" s="4"/>
      <c r="Y403" s="4"/>
      <c r="Z403" s="4"/>
      <c r="AA403" s="4"/>
      <c r="AB403" s="6"/>
      <c r="AC403" s="4"/>
      <c r="AD403" s="4"/>
    </row>
    <row r="404" spans="1:30">
      <c r="A404" s="4" t="str">
        <f t="shared" si="14"/>
        <v/>
      </c>
      <c r="B404" s="4"/>
      <c r="C404" s="4"/>
      <c r="D404" s="4"/>
      <c r="E404" s="4"/>
      <c r="F404" s="4"/>
      <c r="G404" s="6"/>
      <c r="H404" s="4"/>
      <c r="I404" s="4"/>
      <c r="J404" s="4"/>
      <c r="K404" s="4" t="str">
        <f t="shared" ca="1" si="13"/>
        <v>Sin fecha</v>
      </c>
      <c r="L404" s="8"/>
      <c r="M404" s="8"/>
      <c r="N404" s="4"/>
      <c r="O404" s="4"/>
      <c r="P404" s="4"/>
      <c r="Q404" s="4"/>
      <c r="R404" s="4"/>
      <c r="S404" s="4"/>
      <c r="T404" s="4"/>
      <c r="U404" s="4"/>
      <c r="V404" s="4"/>
      <c r="W404" s="4"/>
      <c r="X404" s="4"/>
      <c r="Y404" s="4"/>
      <c r="Z404" s="4"/>
      <c r="AA404" s="4"/>
      <c r="AB404" s="6"/>
      <c r="AC404" s="4"/>
      <c r="AD404" s="4"/>
    </row>
    <row r="405" spans="1:30">
      <c r="A405" s="4" t="str">
        <f t="shared" si="14"/>
        <v/>
      </c>
      <c r="B405" s="4"/>
      <c r="C405" s="4"/>
      <c r="D405" s="4"/>
      <c r="E405" s="4"/>
      <c r="F405" s="4"/>
      <c r="G405" s="6"/>
      <c r="H405" s="4"/>
      <c r="I405" s="4"/>
      <c r="J405" s="4"/>
      <c r="K405" s="4" t="str">
        <f t="shared" ca="1" si="13"/>
        <v>Sin fecha</v>
      </c>
      <c r="L405" s="8"/>
      <c r="M405" s="8"/>
      <c r="N405" s="4"/>
      <c r="O405" s="4"/>
      <c r="P405" s="4"/>
      <c r="Q405" s="4"/>
      <c r="R405" s="4"/>
      <c r="S405" s="4"/>
      <c r="T405" s="4"/>
      <c r="U405" s="4"/>
      <c r="V405" s="4"/>
      <c r="W405" s="4"/>
      <c r="X405" s="4"/>
      <c r="Y405" s="4"/>
      <c r="Z405" s="4"/>
      <c r="AA405" s="4"/>
      <c r="AB405" s="6"/>
      <c r="AC405" s="4"/>
      <c r="AD405" s="4"/>
    </row>
    <row r="406" spans="1:30">
      <c r="A406" s="4" t="str">
        <f t="shared" si="14"/>
        <v/>
      </c>
      <c r="B406" s="4"/>
      <c r="C406" s="4"/>
      <c r="D406" s="4"/>
      <c r="E406" s="4"/>
      <c r="F406" s="4"/>
      <c r="G406" s="6"/>
      <c r="H406" s="4"/>
      <c r="I406" s="4"/>
      <c r="J406" s="4"/>
      <c r="K406" s="4" t="str">
        <f t="shared" ca="1" si="13"/>
        <v>Sin fecha</v>
      </c>
      <c r="L406" s="8"/>
      <c r="M406" s="8"/>
      <c r="N406" s="4"/>
      <c r="O406" s="4"/>
      <c r="P406" s="4"/>
      <c r="Q406" s="4"/>
      <c r="R406" s="4"/>
      <c r="S406" s="4"/>
      <c r="T406" s="4"/>
      <c r="U406" s="4"/>
      <c r="V406" s="4"/>
      <c r="W406" s="4"/>
      <c r="X406" s="4"/>
      <c r="Y406" s="4"/>
      <c r="Z406" s="4"/>
      <c r="AA406" s="4"/>
      <c r="AB406" s="6"/>
      <c r="AC406" s="4"/>
      <c r="AD406" s="4"/>
    </row>
    <row r="407" spans="1:30">
      <c r="A407" s="4" t="str">
        <f t="shared" si="14"/>
        <v/>
      </c>
      <c r="B407" s="4"/>
      <c r="C407" s="4"/>
      <c r="D407" s="4"/>
      <c r="E407" s="4"/>
      <c r="F407" s="4"/>
      <c r="G407" s="6"/>
      <c r="H407" s="4"/>
      <c r="I407" s="4"/>
      <c r="J407" s="4"/>
      <c r="K407" s="4" t="str">
        <f t="shared" ca="1" si="13"/>
        <v>Sin fecha</v>
      </c>
      <c r="L407" s="8"/>
      <c r="M407" s="8"/>
      <c r="N407" s="4"/>
      <c r="O407" s="4"/>
      <c r="P407" s="4"/>
      <c r="Q407" s="4"/>
      <c r="R407" s="4"/>
      <c r="S407" s="4"/>
      <c r="T407" s="4"/>
      <c r="U407" s="4"/>
      <c r="V407" s="4"/>
      <c r="W407" s="4"/>
      <c r="X407" s="4"/>
      <c r="Y407" s="4"/>
      <c r="Z407" s="4"/>
      <c r="AA407" s="4"/>
      <c r="AB407" s="6"/>
      <c r="AC407" s="4"/>
      <c r="AD407" s="4"/>
    </row>
    <row r="408" spans="1:30">
      <c r="A408" s="4" t="str">
        <f t="shared" si="14"/>
        <v/>
      </c>
      <c r="B408" s="4"/>
      <c r="C408" s="4"/>
      <c r="D408" s="4"/>
      <c r="E408" s="4"/>
      <c r="F408" s="4"/>
      <c r="G408" s="6"/>
      <c r="H408" s="4"/>
      <c r="I408" s="4"/>
      <c r="J408" s="4"/>
      <c r="K408" s="4" t="str">
        <f t="shared" ca="1" si="13"/>
        <v>Sin fecha</v>
      </c>
      <c r="L408" s="8"/>
      <c r="M408" s="8"/>
      <c r="N408" s="4"/>
      <c r="O408" s="4"/>
      <c r="P408" s="4"/>
      <c r="Q408" s="4"/>
      <c r="R408" s="4"/>
      <c r="S408" s="4"/>
      <c r="T408" s="4"/>
      <c r="U408" s="4"/>
      <c r="V408" s="4"/>
      <c r="W408" s="4"/>
      <c r="X408" s="4"/>
      <c r="Y408" s="4"/>
      <c r="Z408" s="4"/>
      <c r="AA408" s="4"/>
      <c r="AB408" s="6"/>
      <c r="AC408" s="4"/>
      <c r="AD408" s="4"/>
    </row>
    <row r="409" spans="1:30">
      <c r="A409" s="4" t="str">
        <f t="shared" si="14"/>
        <v/>
      </c>
      <c r="B409" s="4"/>
      <c r="C409" s="4"/>
      <c r="D409" s="4"/>
      <c r="E409" s="4"/>
      <c r="F409" s="4"/>
      <c r="G409" s="6"/>
      <c r="H409" s="4"/>
      <c r="I409" s="4"/>
      <c r="J409" s="4"/>
      <c r="K409" s="4" t="str">
        <f t="shared" ca="1" si="13"/>
        <v>Sin fecha</v>
      </c>
      <c r="L409" s="8"/>
      <c r="M409" s="8"/>
      <c r="N409" s="4"/>
      <c r="O409" s="4"/>
      <c r="P409" s="4"/>
      <c r="Q409" s="4"/>
      <c r="R409" s="4"/>
      <c r="S409" s="4"/>
      <c r="T409" s="4"/>
      <c r="U409" s="4"/>
      <c r="V409" s="4"/>
      <c r="W409" s="4"/>
      <c r="X409" s="4"/>
      <c r="Y409" s="4"/>
      <c r="Z409" s="4"/>
      <c r="AA409" s="4"/>
      <c r="AB409" s="6"/>
      <c r="AC409" s="4"/>
      <c r="AD409" s="4"/>
    </row>
    <row r="410" spans="1:30">
      <c r="A410" s="4" t="str">
        <f t="shared" si="14"/>
        <v/>
      </c>
      <c r="B410" s="4"/>
      <c r="C410" s="4"/>
      <c r="D410" s="4"/>
      <c r="E410" s="4"/>
      <c r="F410" s="4"/>
      <c r="G410" s="6"/>
      <c r="H410" s="4"/>
      <c r="I410" s="4"/>
      <c r="J410" s="4"/>
      <c r="K410" s="4" t="str">
        <f t="shared" ca="1" si="13"/>
        <v>Sin fecha</v>
      </c>
      <c r="L410" s="8"/>
      <c r="M410" s="8"/>
      <c r="N410" s="4"/>
      <c r="O410" s="4"/>
      <c r="P410" s="4"/>
      <c r="Q410" s="4"/>
      <c r="R410" s="4"/>
      <c r="S410" s="4"/>
      <c r="T410" s="4"/>
      <c r="U410" s="4"/>
      <c r="V410" s="4"/>
      <c r="W410" s="4"/>
      <c r="X410" s="4"/>
      <c r="Y410" s="4"/>
      <c r="Z410" s="4"/>
      <c r="AA410" s="4"/>
      <c r="AB410" s="6"/>
      <c r="AC410" s="4"/>
      <c r="AD410" s="4"/>
    </row>
    <row r="411" spans="1:30">
      <c r="A411" s="4" t="str">
        <f t="shared" si="14"/>
        <v/>
      </c>
      <c r="B411" s="4"/>
      <c r="C411" s="4"/>
      <c r="D411" s="4"/>
      <c r="E411" s="4"/>
      <c r="F411" s="4"/>
      <c r="G411" s="6"/>
      <c r="H411" s="4"/>
      <c r="I411" s="4"/>
      <c r="J411" s="4"/>
      <c r="K411" s="4" t="str">
        <f t="shared" ca="1" si="13"/>
        <v>Sin fecha</v>
      </c>
      <c r="L411" s="8"/>
      <c r="M411" s="8"/>
      <c r="N411" s="4"/>
      <c r="O411" s="4"/>
      <c r="P411" s="4"/>
      <c r="Q411" s="4"/>
      <c r="R411" s="4"/>
      <c r="S411" s="4"/>
      <c r="T411" s="4"/>
      <c r="U411" s="4"/>
      <c r="V411" s="4"/>
      <c r="W411" s="4"/>
      <c r="X411" s="4"/>
      <c r="Y411" s="4"/>
      <c r="Z411" s="4"/>
      <c r="AA411" s="4"/>
      <c r="AB411" s="6"/>
      <c r="AC411" s="4"/>
      <c r="AD411" s="4"/>
    </row>
    <row r="412" spans="1:30">
      <c r="A412" s="4" t="str">
        <f t="shared" si="14"/>
        <v/>
      </c>
      <c r="B412" s="4"/>
      <c r="C412" s="4"/>
      <c r="D412" s="4"/>
      <c r="E412" s="4"/>
      <c r="F412" s="4"/>
      <c r="G412" s="6"/>
      <c r="H412" s="4"/>
      <c r="I412" s="4"/>
      <c r="J412" s="4"/>
      <c r="K412" s="4" t="str">
        <f t="shared" ca="1" si="13"/>
        <v>Sin fecha</v>
      </c>
      <c r="L412" s="8"/>
      <c r="M412" s="8"/>
      <c r="N412" s="4"/>
      <c r="O412" s="4"/>
      <c r="P412" s="4"/>
      <c r="Q412" s="4"/>
      <c r="R412" s="4"/>
      <c r="S412" s="4"/>
      <c r="T412" s="4"/>
      <c r="U412" s="4"/>
      <c r="V412" s="4"/>
      <c r="W412" s="4"/>
      <c r="X412" s="4"/>
      <c r="Y412" s="4"/>
      <c r="Z412" s="4"/>
      <c r="AA412" s="4"/>
      <c r="AB412" s="6"/>
      <c r="AC412" s="4"/>
      <c r="AD412" s="4"/>
    </row>
    <row r="413" spans="1:30">
      <c r="A413" s="4" t="str">
        <f t="shared" si="14"/>
        <v/>
      </c>
      <c r="B413" s="4"/>
      <c r="C413" s="4"/>
      <c r="D413" s="4"/>
      <c r="E413" s="4"/>
      <c r="F413" s="4"/>
      <c r="G413" s="6"/>
      <c r="H413" s="4"/>
      <c r="I413" s="4"/>
      <c r="J413" s="4"/>
      <c r="K413" s="4" t="str">
        <f t="shared" ca="1" si="13"/>
        <v>Sin fecha</v>
      </c>
      <c r="L413" s="8"/>
      <c r="M413" s="8"/>
      <c r="N413" s="4"/>
      <c r="O413" s="4"/>
      <c r="P413" s="4"/>
      <c r="Q413" s="4"/>
      <c r="R413" s="4"/>
      <c r="S413" s="4"/>
      <c r="T413" s="4"/>
      <c r="U413" s="4"/>
      <c r="V413" s="4"/>
      <c r="W413" s="4"/>
      <c r="X413" s="4"/>
      <c r="Y413" s="4"/>
      <c r="Z413" s="4"/>
      <c r="AA413" s="4"/>
      <c r="AB413" s="6"/>
      <c r="AC413" s="4"/>
      <c r="AD413" s="4"/>
    </row>
    <row r="414" spans="1:30">
      <c r="A414" s="4" t="str">
        <f t="shared" si="14"/>
        <v/>
      </c>
      <c r="B414" s="4"/>
      <c r="C414" s="4"/>
      <c r="D414" s="4"/>
      <c r="E414" s="4"/>
      <c r="F414" s="4"/>
      <c r="G414" s="6"/>
      <c r="H414" s="4"/>
      <c r="I414" s="4"/>
      <c r="J414" s="4"/>
      <c r="K414" s="4" t="str">
        <f t="shared" ca="1" si="13"/>
        <v>Sin fecha</v>
      </c>
      <c r="L414" s="8"/>
      <c r="M414" s="8"/>
      <c r="N414" s="4"/>
      <c r="O414" s="4"/>
      <c r="P414" s="4"/>
      <c r="Q414" s="4"/>
      <c r="R414" s="4"/>
      <c r="S414" s="4"/>
      <c r="T414" s="4"/>
      <c r="U414" s="4"/>
      <c r="V414" s="4"/>
      <c r="W414" s="4"/>
      <c r="X414" s="4"/>
      <c r="Y414" s="4"/>
      <c r="Z414" s="4"/>
      <c r="AA414" s="4"/>
      <c r="AB414" s="6"/>
      <c r="AC414" s="4"/>
      <c r="AD414" s="4"/>
    </row>
    <row r="415" spans="1:30">
      <c r="A415" s="4" t="str">
        <f t="shared" si="14"/>
        <v/>
      </c>
      <c r="B415" s="4"/>
      <c r="C415" s="4"/>
      <c r="D415" s="4"/>
      <c r="E415" s="4"/>
      <c r="F415" s="4"/>
      <c r="G415" s="6"/>
      <c r="H415" s="4"/>
      <c r="I415" s="4"/>
      <c r="J415" s="4"/>
      <c r="K415" s="4" t="str">
        <f t="shared" ca="1" si="13"/>
        <v>Sin fecha</v>
      </c>
      <c r="L415" s="8"/>
      <c r="M415" s="8"/>
      <c r="N415" s="4"/>
      <c r="O415" s="4"/>
      <c r="P415" s="4"/>
      <c r="Q415" s="4"/>
      <c r="R415" s="4"/>
      <c r="S415" s="4"/>
      <c r="T415" s="4"/>
      <c r="U415" s="4"/>
      <c r="V415" s="4"/>
      <c r="W415" s="4"/>
      <c r="X415" s="4"/>
      <c r="Y415" s="4"/>
      <c r="Z415" s="4"/>
      <c r="AA415" s="4"/>
      <c r="AB415" s="6"/>
      <c r="AC415" s="4"/>
      <c r="AD415" s="4"/>
    </row>
    <row r="416" spans="1:30">
      <c r="A416" s="4" t="str">
        <f t="shared" si="14"/>
        <v/>
      </c>
      <c r="B416" s="4"/>
      <c r="C416" s="4"/>
      <c r="D416" s="4"/>
      <c r="E416" s="4"/>
      <c r="F416" s="4"/>
      <c r="G416" s="6"/>
      <c r="H416" s="4"/>
      <c r="I416" s="4"/>
      <c r="J416" s="4"/>
      <c r="K416" s="4" t="str">
        <f t="shared" ca="1" si="13"/>
        <v>Sin fecha</v>
      </c>
      <c r="L416" s="8"/>
      <c r="M416" s="8"/>
      <c r="N416" s="4"/>
      <c r="O416" s="4"/>
      <c r="P416" s="4"/>
      <c r="Q416" s="4"/>
      <c r="R416" s="4"/>
      <c r="S416" s="4"/>
      <c r="T416" s="4"/>
      <c r="U416" s="4"/>
      <c r="V416" s="4"/>
      <c r="W416" s="4"/>
      <c r="X416" s="4"/>
      <c r="Y416" s="4"/>
      <c r="Z416" s="4"/>
      <c r="AA416" s="4"/>
      <c r="AB416" s="6"/>
      <c r="AC416" s="4"/>
      <c r="AD416" s="4"/>
    </row>
    <row r="417" spans="1:30">
      <c r="A417" s="4" t="str">
        <f t="shared" si="14"/>
        <v/>
      </c>
      <c r="B417" s="4"/>
      <c r="C417" s="4"/>
      <c r="D417" s="4"/>
      <c r="E417" s="4"/>
      <c r="F417" s="4"/>
      <c r="G417" s="6"/>
      <c r="H417" s="4"/>
      <c r="I417" s="4"/>
      <c r="J417" s="4"/>
      <c r="K417" s="4" t="str">
        <f t="shared" ca="1" si="13"/>
        <v>Sin fecha</v>
      </c>
      <c r="L417" s="8"/>
      <c r="M417" s="8"/>
      <c r="N417" s="4"/>
      <c r="O417" s="4"/>
      <c r="P417" s="4"/>
      <c r="Q417" s="4"/>
      <c r="R417" s="4"/>
      <c r="S417" s="4"/>
      <c r="T417" s="4"/>
      <c r="U417" s="4"/>
      <c r="V417" s="4"/>
      <c r="W417" s="4"/>
      <c r="X417" s="4"/>
      <c r="Y417" s="4"/>
      <c r="Z417" s="4"/>
      <c r="AA417" s="4"/>
      <c r="AB417" s="6"/>
      <c r="AC417" s="4"/>
      <c r="AD417" s="4"/>
    </row>
    <row r="418" spans="1:30">
      <c r="A418" s="4" t="str">
        <f t="shared" si="14"/>
        <v/>
      </c>
      <c r="B418" s="4"/>
      <c r="C418" s="4"/>
      <c r="D418" s="4"/>
      <c r="E418" s="4"/>
      <c r="F418" s="4"/>
      <c r="G418" s="6"/>
      <c r="H418" s="4"/>
      <c r="I418" s="4"/>
      <c r="J418" s="4"/>
      <c r="K418" s="4" t="str">
        <f t="shared" ca="1" si="13"/>
        <v>Sin fecha</v>
      </c>
      <c r="L418" s="8"/>
      <c r="M418" s="8"/>
      <c r="N418" s="4"/>
      <c r="O418" s="4"/>
      <c r="P418" s="4"/>
      <c r="Q418" s="4"/>
      <c r="R418" s="4"/>
      <c r="S418" s="4"/>
      <c r="T418" s="4"/>
      <c r="U418" s="4"/>
      <c r="V418" s="4"/>
      <c r="W418" s="4"/>
      <c r="X418" s="4"/>
      <c r="Y418" s="4"/>
      <c r="Z418" s="4"/>
      <c r="AA418" s="4"/>
      <c r="AB418" s="6"/>
      <c r="AC418" s="4"/>
      <c r="AD418" s="4"/>
    </row>
    <row r="419" spans="1:30">
      <c r="A419" s="4" t="str">
        <f t="shared" si="14"/>
        <v/>
      </c>
      <c r="B419" s="4"/>
      <c r="C419" s="4"/>
      <c r="D419" s="4"/>
      <c r="E419" s="4"/>
      <c r="F419" s="4"/>
      <c r="G419" s="6"/>
      <c r="H419" s="4"/>
      <c r="I419" s="4"/>
      <c r="J419" s="4"/>
      <c r="K419" s="4" t="str">
        <f t="shared" ca="1" si="13"/>
        <v>Sin fecha</v>
      </c>
      <c r="L419" s="8"/>
      <c r="M419" s="8"/>
      <c r="N419" s="4"/>
      <c r="O419" s="4"/>
      <c r="P419" s="4"/>
      <c r="Q419" s="4"/>
      <c r="R419" s="4"/>
      <c r="S419" s="4"/>
      <c r="T419" s="4"/>
      <c r="U419" s="4"/>
      <c r="V419" s="4"/>
      <c r="W419" s="4"/>
      <c r="X419" s="4"/>
      <c r="Y419" s="4"/>
      <c r="Z419" s="4"/>
      <c r="AA419" s="4"/>
      <c r="AB419" s="6"/>
      <c r="AC419" s="4"/>
      <c r="AD419" s="4"/>
    </row>
    <row r="420" spans="1:30">
      <c r="A420" s="4" t="str">
        <f t="shared" si="14"/>
        <v/>
      </c>
      <c r="B420" s="4"/>
      <c r="C420" s="4"/>
      <c r="D420" s="4"/>
      <c r="E420" s="4"/>
      <c r="F420" s="4"/>
      <c r="G420" s="6"/>
      <c r="H420" s="4"/>
      <c r="I420" s="4"/>
      <c r="J420" s="4"/>
      <c r="K420" s="4" t="str">
        <f t="shared" ca="1" si="13"/>
        <v>Sin fecha</v>
      </c>
      <c r="L420" s="8"/>
      <c r="M420" s="8"/>
      <c r="N420" s="4"/>
      <c r="O420" s="4"/>
      <c r="P420" s="4"/>
      <c r="Q420" s="4"/>
      <c r="R420" s="4"/>
      <c r="S420" s="4"/>
      <c r="T420" s="4"/>
      <c r="U420" s="4"/>
      <c r="V420" s="4"/>
      <c r="W420" s="4"/>
      <c r="X420" s="4"/>
      <c r="Y420" s="4"/>
      <c r="Z420" s="4"/>
      <c r="AA420" s="4"/>
      <c r="AB420" s="6"/>
      <c r="AC420" s="4"/>
      <c r="AD420" s="4"/>
    </row>
    <row r="421" spans="1:30">
      <c r="A421" s="4" t="str">
        <f t="shared" si="14"/>
        <v/>
      </c>
      <c r="B421" s="4"/>
      <c r="C421" s="4"/>
      <c r="D421" s="4"/>
      <c r="E421" s="4"/>
      <c r="F421" s="4"/>
      <c r="G421" s="6"/>
      <c r="H421" s="4"/>
      <c r="I421" s="4"/>
      <c r="J421" s="4"/>
      <c r="K421" s="4" t="str">
        <f t="shared" ca="1" si="13"/>
        <v>Sin fecha</v>
      </c>
      <c r="L421" s="8"/>
      <c r="M421" s="8"/>
      <c r="N421" s="4"/>
      <c r="O421" s="4"/>
      <c r="P421" s="4"/>
      <c r="Q421" s="4"/>
      <c r="R421" s="4"/>
      <c r="S421" s="4"/>
      <c r="T421" s="4"/>
      <c r="U421" s="4"/>
      <c r="V421" s="4"/>
      <c r="W421" s="4"/>
      <c r="X421" s="4"/>
      <c r="Y421" s="4"/>
      <c r="Z421" s="4"/>
      <c r="AA421" s="4"/>
      <c r="AB421" s="6"/>
      <c r="AC421" s="4"/>
      <c r="AD421" s="4"/>
    </row>
    <row r="422" spans="1:30">
      <c r="A422" s="4" t="str">
        <f t="shared" si="14"/>
        <v/>
      </c>
      <c r="B422" s="4"/>
      <c r="C422" s="4"/>
      <c r="D422" s="4"/>
      <c r="E422" s="4"/>
      <c r="F422" s="4"/>
      <c r="G422" s="6"/>
      <c r="H422" s="4"/>
      <c r="I422" s="4"/>
      <c r="J422" s="4"/>
      <c r="K422" s="4" t="str">
        <f t="shared" ca="1" si="13"/>
        <v>Sin fecha</v>
      </c>
      <c r="L422" s="8"/>
      <c r="M422" s="8"/>
      <c r="N422" s="4"/>
      <c r="O422" s="4"/>
      <c r="P422" s="4"/>
      <c r="Q422" s="4"/>
      <c r="R422" s="4"/>
      <c r="S422" s="4"/>
      <c r="T422" s="4"/>
      <c r="U422" s="4"/>
      <c r="V422" s="4"/>
      <c r="W422" s="4"/>
      <c r="X422" s="4"/>
      <c r="Y422" s="4"/>
      <c r="Z422" s="4"/>
      <c r="AA422" s="4"/>
      <c r="AB422" s="6"/>
      <c r="AC422" s="4"/>
      <c r="AD422" s="4"/>
    </row>
    <row r="423" spans="1:30">
      <c r="A423" s="4" t="str">
        <f t="shared" si="14"/>
        <v/>
      </c>
      <c r="B423" s="4"/>
      <c r="C423" s="4"/>
      <c r="D423" s="4"/>
      <c r="E423" s="4"/>
      <c r="F423" s="4"/>
      <c r="G423" s="6"/>
      <c r="H423" s="4"/>
      <c r="I423" s="4"/>
      <c r="J423" s="4"/>
      <c r="K423" s="4" t="str">
        <f t="shared" ca="1" si="13"/>
        <v>Sin fecha</v>
      </c>
      <c r="L423" s="8"/>
      <c r="M423" s="8"/>
      <c r="N423" s="4"/>
      <c r="O423" s="4"/>
      <c r="P423" s="4"/>
      <c r="Q423" s="4"/>
      <c r="R423" s="4"/>
      <c r="S423" s="4"/>
      <c r="T423" s="4"/>
      <c r="U423" s="4"/>
      <c r="V423" s="4"/>
      <c r="W423" s="4"/>
      <c r="X423" s="4"/>
      <c r="Y423" s="4"/>
      <c r="Z423" s="4"/>
      <c r="AA423" s="4"/>
      <c r="AB423" s="6"/>
      <c r="AC423" s="4"/>
      <c r="AD423" s="4"/>
    </row>
    <row r="424" spans="1:30">
      <c r="A424" s="4" t="str">
        <f t="shared" si="14"/>
        <v/>
      </c>
      <c r="B424" s="4"/>
      <c r="C424" s="4"/>
      <c r="D424" s="4"/>
      <c r="E424" s="4"/>
      <c r="F424" s="4"/>
      <c r="G424" s="6"/>
      <c r="H424" s="4"/>
      <c r="I424" s="4"/>
      <c r="J424" s="4"/>
      <c r="K424" s="4" t="str">
        <f t="shared" ca="1" si="13"/>
        <v>Sin fecha</v>
      </c>
      <c r="L424" s="8"/>
      <c r="M424" s="8"/>
      <c r="N424" s="4"/>
      <c r="O424" s="4"/>
      <c r="P424" s="4"/>
      <c r="Q424" s="4"/>
      <c r="R424" s="4"/>
      <c r="S424" s="4"/>
      <c r="T424" s="4"/>
      <c r="U424" s="4"/>
      <c r="V424" s="4"/>
      <c r="W424" s="4"/>
      <c r="X424" s="4"/>
      <c r="Y424" s="4"/>
      <c r="Z424" s="4"/>
      <c r="AA424" s="4"/>
      <c r="AB424" s="6"/>
      <c r="AC424" s="4"/>
      <c r="AD424" s="4"/>
    </row>
    <row r="425" spans="1:30">
      <c r="A425" s="4" t="str">
        <f t="shared" si="14"/>
        <v/>
      </c>
      <c r="B425" s="4"/>
      <c r="C425" s="4"/>
      <c r="D425" s="4"/>
      <c r="E425" s="4"/>
      <c r="F425" s="4"/>
      <c r="G425" s="6"/>
      <c r="H425" s="4"/>
      <c r="I425" s="4"/>
      <c r="J425" s="4"/>
      <c r="K425" s="4" t="str">
        <f t="shared" ca="1" si="13"/>
        <v>Sin fecha</v>
      </c>
      <c r="L425" s="8"/>
      <c r="M425" s="8"/>
      <c r="N425" s="4"/>
      <c r="O425" s="4"/>
      <c r="P425" s="4"/>
      <c r="Q425" s="4"/>
      <c r="R425" s="4"/>
      <c r="S425" s="4"/>
      <c r="T425" s="4"/>
      <c r="U425" s="4"/>
      <c r="V425" s="4"/>
      <c r="W425" s="4"/>
      <c r="X425" s="4"/>
      <c r="Y425" s="4"/>
      <c r="Z425" s="4"/>
      <c r="AA425" s="4"/>
      <c r="AB425" s="6"/>
      <c r="AC425" s="4"/>
      <c r="AD425" s="4"/>
    </row>
    <row r="426" spans="1:30">
      <c r="A426" s="4" t="str">
        <f t="shared" si="14"/>
        <v/>
      </c>
      <c r="B426" s="4"/>
      <c r="C426" s="4"/>
      <c r="D426" s="4"/>
      <c r="E426" s="4"/>
      <c r="F426" s="4"/>
      <c r="G426" s="6"/>
      <c r="H426" s="4"/>
      <c r="I426" s="4"/>
      <c r="J426" s="4"/>
      <c r="K426" s="4" t="str">
        <f t="shared" ca="1" si="13"/>
        <v>Sin fecha</v>
      </c>
      <c r="L426" s="8"/>
      <c r="M426" s="8"/>
      <c r="N426" s="4"/>
      <c r="O426" s="4"/>
      <c r="P426" s="4"/>
      <c r="Q426" s="4"/>
      <c r="R426" s="4"/>
      <c r="S426" s="4"/>
      <c r="T426" s="4"/>
      <c r="U426" s="4"/>
      <c r="V426" s="4"/>
      <c r="W426" s="4"/>
      <c r="X426" s="4"/>
      <c r="Y426" s="4"/>
      <c r="Z426" s="4"/>
      <c r="AA426" s="4"/>
      <c r="AB426" s="6"/>
      <c r="AC426" s="4"/>
      <c r="AD426" s="4"/>
    </row>
    <row r="427" spans="1:30">
      <c r="A427" s="4" t="str">
        <f t="shared" si="14"/>
        <v/>
      </c>
      <c r="B427" s="4"/>
      <c r="C427" s="4"/>
      <c r="D427" s="4"/>
      <c r="E427" s="4"/>
      <c r="F427" s="4"/>
      <c r="G427" s="6"/>
      <c r="H427" s="4"/>
      <c r="I427" s="4"/>
      <c r="J427" s="4"/>
      <c r="K427" s="4" t="str">
        <f t="shared" ca="1" si="13"/>
        <v>Sin fecha</v>
      </c>
      <c r="L427" s="8"/>
      <c r="M427" s="8"/>
      <c r="N427" s="4"/>
      <c r="O427" s="4"/>
      <c r="P427" s="4"/>
      <c r="Q427" s="4"/>
      <c r="R427" s="4"/>
      <c r="S427" s="4"/>
      <c r="T427" s="4"/>
      <c r="U427" s="4"/>
      <c r="V427" s="4"/>
      <c r="W427" s="4"/>
      <c r="X427" s="4"/>
      <c r="Y427" s="4"/>
      <c r="Z427" s="4"/>
      <c r="AA427" s="4"/>
      <c r="AB427" s="6"/>
      <c r="AC427" s="4"/>
      <c r="AD427" s="4"/>
    </row>
    <row r="428" spans="1:30">
      <c r="A428" s="4" t="str">
        <f t="shared" si="14"/>
        <v/>
      </c>
      <c r="B428" s="4"/>
      <c r="C428" s="4"/>
      <c r="D428" s="4"/>
      <c r="E428" s="4"/>
      <c r="F428" s="4"/>
      <c r="G428" s="6"/>
      <c r="H428" s="4"/>
      <c r="I428" s="4"/>
      <c r="J428" s="4"/>
      <c r="K428" s="4" t="str">
        <f t="shared" ca="1" si="13"/>
        <v>Sin fecha</v>
      </c>
      <c r="L428" s="8"/>
      <c r="M428" s="8"/>
      <c r="N428" s="4"/>
      <c r="O428" s="4"/>
      <c r="P428" s="4"/>
      <c r="Q428" s="4"/>
      <c r="R428" s="4"/>
      <c r="S428" s="4"/>
      <c r="T428" s="4"/>
      <c r="U428" s="4"/>
      <c r="V428" s="4"/>
      <c r="W428" s="4"/>
      <c r="X428" s="4"/>
      <c r="Y428" s="4"/>
      <c r="Z428" s="4"/>
      <c r="AA428" s="4"/>
      <c r="AB428" s="6"/>
      <c r="AC428" s="4"/>
      <c r="AD428" s="4"/>
    </row>
    <row r="429" spans="1:30">
      <c r="A429" s="4" t="str">
        <f t="shared" si="14"/>
        <v/>
      </c>
      <c r="B429" s="4"/>
      <c r="C429" s="4"/>
      <c r="D429" s="4"/>
      <c r="E429" s="4"/>
      <c r="F429" s="4"/>
      <c r="G429" s="6"/>
      <c r="H429" s="4"/>
      <c r="I429" s="4"/>
      <c r="J429" s="4"/>
      <c r="K429" s="4" t="str">
        <f t="shared" ca="1" si="13"/>
        <v>Sin fecha</v>
      </c>
      <c r="L429" s="8"/>
      <c r="M429" s="8"/>
      <c r="N429" s="4"/>
      <c r="O429" s="4"/>
      <c r="P429" s="4"/>
      <c r="Q429" s="4"/>
      <c r="R429" s="4"/>
      <c r="S429" s="4"/>
      <c r="T429" s="4"/>
      <c r="U429" s="4"/>
      <c r="V429" s="4"/>
      <c r="W429" s="4"/>
      <c r="X429" s="4"/>
      <c r="Y429" s="4"/>
      <c r="Z429" s="4"/>
      <c r="AA429" s="4"/>
      <c r="AB429" s="6"/>
      <c r="AC429" s="4"/>
      <c r="AD429" s="4"/>
    </row>
    <row r="430" spans="1:30">
      <c r="A430" s="4" t="str">
        <f t="shared" si="14"/>
        <v/>
      </c>
      <c r="B430" s="4"/>
      <c r="C430" s="4"/>
      <c r="D430" s="4"/>
      <c r="E430" s="4"/>
      <c r="F430" s="4"/>
      <c r="G430" s="6"/>
      <c r="H430" s="4"/>
      <c r="I430" s="4"/>
      <c r="J430" s="4"/>
      <c r="K430" s="4" t="str">
        <f t="shared" ca="1" si="13"/>
        <v>Sin fecha</v>
      </c>
      <c r="L430" s="8"/>
      <c r="M430" s="8"/>
      <c r="N430" s="4"/>
      <c r="O430" s="4"/>
      <c r="P430" s="4"/>
      <c r="Q430" s="4"/>
      <c r="R430" s="4"/>
      <c r="S430" s="4"/>
      <c r="T430" s="4"/>
      <c r="U430" s="4"/>
      <c r="V430" s="4"/>
      <c r="W430" s="4"/>
      <c r="X430" s="4"/>
      <c r="Y430" s="4"/>
      <c r="Z430" s="4"/>
      <c r="AA430" s="4"/>
      <c r="AB430" s="6"/>
      <c r="AC430" s="4"/>
      <c r="AD430" s="4"/>
    </row>
    <row r="431" spans="1:30">
      <c r="A431" s="4" t="str">
        <f t="shared" si="14"/>
        <v/>
      </c>
      <c r="B431" s="4"/>
      <c r="C431" s="4"/>
      <c r="D431" s="4"/>
      <c r="E431" s="4"/>
      <c r="F431" s="4"/>
      <c r="G431" s="6"/>
      <c r="H431" s="4"/>
      <c r="I431" s="4"/>
      <c r="J431" s="4"/>
      <c r="K431" s="4" t="str">
        <f t="shared" ca="1" si="13"/>
        <v>Sin fecha</v>
      </c>
      <c r="L431" s="8"/>
      <c r="M431" s="8"/>
      <c r="N431" s="4"/>
      <c r="O431" s="4"/>
      <c r="P431" s="4"/>
      <c r="Q431" s="4"/>
      <c r="R431" s="4"/>
      <c r="S431" s="4"/>
      <c r="T431" s="4"/>
      <c r="U431" s="4"/>
      <c r="V431" s="4"/>
      <c r="W431" s="4"/>
      <c r="X431" s="4"/>
      <c r="Y431" s="4"/>
      <c r="Z431" s="4"/>
      <c r="AA431" s="4"/>
      <c r="AB431" s="6"/>
      <c r="AC431" s="4"/>
      <c r="AD431" s="4"/>
    </row>
    <row r="432" spans="1:30">
      <c r="A432" s="4" t="str">
        <f t="shared" si="14"/>
        <v/>
      </c>
      <c r="B432" s="4"/>
      <c r="C432" s="4"/>
      <c r="D432" s="4"/>
      <c r="E432" s="4"/>
      <c r="F432" s="4"/>
      <c r="G432" s="6"/>
      <c r="H432" s="4"/>
      <c r="I432" s="4"/>
      <c r="J432" s="4"/>
      <c r="K432" s="4" t="str">
        <f t="shared" ca="1" si="13"/>
        <v>Sin fecha</v>
      </c>
      <c r="L432" s="8"/>
      <c r="M432" s="8"/>
      <c r="N432" s="4"/>
      <c r="O432" s="4"/>
      <c r="P432" s="4"/>
      <c r="Q432" s="4"/>
      <c r="R432" s="4"/>
      <c r="S432" s="4"/>
      <c r="T432" s="4"/>
      <c r="U432" s="4"/>
      <c r="V432" s="4"/>
      <c r="W432" s="4"/>
      <c r="X432" s="4"/>
      <c r="Y432" s="4"/>
      <c r="Z432" s="4"/>
      <c r="AA432" s="4"/>
      <c r="AB432" s="6"/>
      <c r="AC432" s="4"/>
      <c r="AD432" s="4"/>
    </row>
    <row r="433" spans="1:30">
      <c r="A433" s="4" t="str">
        <f t="shared" si="14"/>
        <v/>
      </c>
      <c r="B433" s="4"/>
      <c r="C433" s="4"/>
      <c r="D433" s="4"/>
      <c r="E433" s="4"/>
      <c r="F433" s="4"/>
      <c r="G433" s="6"/>
      <c r="H433" s="4"/>
      <c r="I433" s="4"/>
      <c r="J433" s="4"/>
      <c r="K433" s="4" t="str">
        <f t="shared" ca="1" si="13"/>
        <v>Sin fecha</v>
      </c>
      <c r="L433" s="8"/>
      <c r="M433" s="8"/>
      <c r="N433" s="4"/>
      <c r="O433" s="4"/>
      <c r="P433" s="4"/>
      <c r="Q433" s="4"/>
      <c r="R433" s="4"/>
      <c r="S433" s="4"/>
      <c r="T433" s="4"/>
      <c r="U433" s="4"/>
      <c r="V433" s="4"/>
      <c r="W433" s="4"/>
      <c r="X433" s="4"/>
      <c r="Y433" s="4"/>
      <c r="Z433" s="4"/>
      <c r="AA433" s="4"/>
      <c r="AB433" s="6"/>
      <c r="AC433" s="4"/>
      <c r="AD433" s="4"/>
    </row>
    <row r="434" spans="1:30">
      <c r="A434" s="4" t="str">
        <f t="shared" si="14"/>
        <v/>
      </c>
      <c r="B434" s="4"/>
      <c r="C434" s="4"/>
      <c r="D434" s="4"/>
      <c r="E434" s="4"/>
      <c r="F434" s="4"/>
      <c r="G434" s="6"/>
      <c r="H434" s="4"/>
      <c r="I434" s="4"/>
      <c r="J434" s="4"/>
      <c r="K434" s="4" t="str">
        <f t="shared" ca="1" si="13"/>
        <v>Sin fecha</v>
      </c>
      <c r="L434" s="8"/>
      <c r="M434" s="8"/>
      <c r="N434" s="4"/>
      <c r="O434" s="4"/>
      <c r="P434" s="4"/>
      <c r="Q434" s="4"/>
      <c r="R434" s="4"/>
      <c r="S434" s="4"/>
      <c r="T434" s="4"/>
      <c r="U434" s="4"/>
      <c r="V434" s="4"/>
      <c r="W434" s="4"/>
      <c r="X434" s="4"/>
      <c r="Y434" s="4"/>
      <c r="Z434" s="4"/>
      <c r="AA434" s="4"/>
      <c r="AB434" s="6"/>
      <c r="AC434" s="4"/>
      <c r="AD434" s="4"/>
    </row>
    <row r="435" spans="1:30">
      <c r="A435" s="4" t="str">
        <f t="shared" si="14"/>
        <v/>
      </c>
      <c r="B435" s="4"/>
      <c r="C435" s="4"/>
      <c r="D435" s="4"/>
      <c r="E435" s="4"/>
      <c r="F435" s="4"/>
      <c r="G435" s="6"/>
      <c r="H435" s="4"/>
      <c r="I435" s="4"/>
      <c r="J435" s="4"/>
      <c r="K435" s="4" t="str">
        <f t="shared" ca="1" si="13"/>
        <v>Sin fecha</v>
      </c>
      <c r="L435" s="8"/>
      <c r="M435" s="8"/>
      <c r="N435" s="4"/>
      <c r="O435" s="4"/>
      <c r="P435" s="4"/>
      <c r="Q435" s="4"/>
      <c r="R435" s="4"/>
      <c r="S435" s="4"/>
      <c r="T435" s="4"/>
      <c r="U435" s="4"/>
      <c r="V435" s="4"/>
      <c r="W435" s="4"/>
      <c r="X435" s="4"/>
      <c r="Y435" s="4"/>
      <c r="Z435" s="4"/>
      <c r="AA435" s="4"/>
      <c r="AB435" s="6"/>
      <c r="AC435" s="4"/>
      <c r="AD435" s="4"/>
    </row>
    <row r="436" spans="1:30">
      <c r="A436" s="4" t="str">
        <f t="shared" si="14"/>
        <v/>
      </c>
      <c r="B436" s="4"/>
      <c r="C436" s="4"/>
      <c r="D436" s="4"/>
      <c r="E436" s="4"/>
      <c r="F436" s="4"/>
      <c r="G436" s="6"/>
      <c r="H436" s="4"/>
      <c r="I436" s="4"/>
      <c r="J436" s="4"/>
      <c r="K436" s="4" t="str">
        <f t="shared" ca="1" si="13"/>
        <v>Sin fecha</v>
      </c>
      <c r="L436" s="8"/>
      <c r="M436" s="8"/>
      <c r="N436" s="4"/>
      <c r="O436" s="4"/>
      <c r="P436" s="4"/>
      <c r="Q436" s="4"/>
      <c r="R436" s="4"/>
      <c r="S436" s="4"/>
      <c r="T436" s="4"/>
      <c r="U436" s="4"/>
      <c r="V436" s="4"/>
      <c r="W436" s="4"/>
      <c r="X436" s="4"/>
      <c r="Y436" s="4"/>
      <c r="Z436" s="4"/>
      <c r="AA436" s="4"/>
      <c r="AB436" s="6"/>
      <c r="AC436" s="4"/>
      <c r="AD436" s="4"/>
    </row>
    <row r="437" spans="1:30">
      <c r="A437" s="4" t="str">
        <f t="shared" si="14"/>
        <v/>
      </c>
      <c r="B437" s="4"/>
      <c r="C437" s="4"/>
      <c r="D437" s="4"/>
      <c r="E437" s="4"/>
      <c r="F437" s="4"/>
      <c r="G437" s="6"/>
      <c r="H437" s="4"/>
      <c r="I437" s="4"/>
      <c r="J437" s="4"/>
      <c r="K437" s="4" t="str">
        <f t="shared" ca="1" si="13"/>
        <v>Sin fecha</v>
      </c>
      <c r="L437" s="8"/>
      <c r="M437" s="8"/>
      <c r="N437" s="4"/>
      <c r="O437" s="4"/>
      <c r="P437" s="4"/>
      <c r="Q437" s="4"/>
      <c r="R437" s="4"/>
      <c r="S437" s="4"/>
      <c r="T437" s="4"/>
      <c r="U437" s="4"/>
      <c r="V437" s="4"/>
      <c r="W437" s="4"/>
      <c r="X437" s="4"/>
      <c r="Y437" s="4"/>
      <c r="Z437" s="4"/>
      <c r="AA437" s="4"/>
      <c r="AB437" s="6"/>
      <c r="AC437" s="4"/>
      <c r="AD437" s="4"/>
    </row>
    <row r="438" spans="1:30">
      <c r="A438" s="4" t="str">
        <f t="shared" si="14"/>
        <v/>
      </c>
      <c r="B438" s="4"/>
      <c r="C438" s="4"/>
      <c r="D438" s="4"/>
      <c r="E438" s="4"/>
      <c r="F438" s="4"/>
      <c r="G438" s="6"/>
      <c r="H438" s="4"/>
      <c r="I438" s="4"/>
      <c r="J438" s="4"/>
      <c r="K438" s="4" t="str">
        <f t="shared" ca="1" si="13"/>
        <v>Sin fecha</v>
      </c>
      <c r="L438" s="8"/>
      <c r="M438" s="8"/>
      <c r="N438" s="4"/>
      <c r="O438" s="4"/>
      <c r="P438" s="4"/>
      <c r="Q438" s="4"/>
      <c r="R438" s="4"/>
      <c r="S438" s="4"/>
      <c r="T438" s="4"/>
      <c r="U438" s="4"/>
      <c r="V438" s="4"/>
      <c r="W438" s="4"/>
      <c r="X438" s="4"/>
      <c r="Y438" s="4"/>
      <c r="Z438" s="4"/>
      <c r="AA438" s="4"/>
      <c r="AB438" s="6"/>
      <c r="AC438" s="4"/>
      <c r="AD438" s="4"/>
    </row>
    <row r="439" spans="1:30">
      <c r="A439" s="4" t="str">
        <f t="shared" si="14"/>
        <v/>
      </c>
      <c r="B439" s="4"/>
      <c r="C439" s="4"/>
      <c r="D439" s="4"/>
      <c r="E439" s="4"/>
      <c r="F439" s="4"/>
      <c r="G439" s="6"/>
      <c r="H439" s="4"/>
      <c r="I439" s="4"/>
      <c r="J439" s="4"/>
      <c r="K439" s="4" t="str">
        <f t="shared" ca="1" si="13"/>
        <v>Sin fecha</v>
      </c>
      <c r="L439" s="8"/>
      <c r="M439" s="8"/>
      <c r="N439" s="4"/>
      <c r="O439" s="4"/>
      <c r="P439" s="4"/>
      <c r="Q439" s="4"/>
      <c r="R439" s="4"/>
      <c r="S439" s="4"/>
      <c r="T439" s="4"/>
      <c r="U439" s="4"/>
      <c r="V439" s="4"/>
      <c r="W439" s="4"/>
      <c r="X439" s="4"/>
      <c r="Y439" s="4"/>
      <c r="Z439" s="4"/>
      <c r="AA439" s="4"/>
      <c r="AB439" s="6"/>
      <c r="AC439" s="4"/>
      <c r="AD439" s="4"/>
    </row>
    <row r="440" spans="1:30">
      <c r="A440" s="4" t="str">
        <f t="shared" si="14"/>
        <v/>
      </c>
      <c r="B440" s="4"/>
      <c r="C440" s="4"/>
      <c r="D440" s="4"/>
      <c r="E440" s="4"/>
      <c r="F440" s="4"/>
      <c r="G440" s="6"/>
      <c r="H440" s="4"/>
      <c r="I440" s="4"/>
      <c r="J440" s="4"/>
      <c r="K440" s="4" t="str">
        <f t="shared" ca="1" si="13"/>
        <v>Sin fecha</v>
      </c>
      <c r="L440" s="8"/>
      <c r="M440" s="8"/>
      <c r="N440" s="4"/>
      <c r="O440" s="4"/>
      <c r="P440" s="4"/>
      <c r="Q440" s="4"/>
      <c r="R440" s="4"/>
      <c r="S440" s="4"/>
      <c r="T440" s="4"/>
      <c r="U440" s="4"/>
      <c r="V440" s="4"/>
      <c r="W440" s="4"/>
      <c r="X440" s="4"/>
      <c r="Y440" s="4"/>
      <c r="Z440" s="4"/>
      <c r="AA440" s="4"/>
      <c r="AB440" s="6"/>
      <c r="AC440" s="4"/>
      <c r="AD440" s="4"/>
    </row>
    <row r="441" spans="1:30">
      <c r="A441" s="4" t="str">
        <f t="shared" si="14"/>
        <v/>
      </c>
      <c r="B441" s="4"/>
      <c r="C441" s="4"/>
      <c r="D441" s="4"/>
      <c r="E441" s="4"/>
      <c r="F441" s="4"/>
      <c r="G441" s="6"/>
      <c r="H441" s="4"/>
      <c r="I441" s="4"/>
      <c r="J441" s="4"/>
      <c r="K441" s="4" t="str">
        <f t="shared" ca="1" si="13"/>
        <v>Sin fecha</v>
      </c>
      <c r="L441" s="8"/>
      <c r="M441" s="8"/>
      <c r="N441" s="4"/>
      <c r="O441" s="4"/>
      <c r="P441" s="4"/>
      <c r="Q441" s="4"/>
      <c r="R441" s="4"/>
      <c r="S441" s="4"/>
      <c r="T441" s="4"/>
      <c r="U441" s="4"/>
      <c r="V441" s="4"/>
      <c r="W441" s="4"/>
      <c r="X441" s="4"/>
      <c r="Y441" s="4"/>
      <c r="Z441" s="4"/>
      <c r="AA441" s="4"/>
      <c r="AB441" s="6"/>
      <c r="AC441" s="4"/>
      <c r="AD441" s="4"/>
    </row>
    <row r="442" spans="1:30">
      <c r="A442" s="4" t="str">
        <f t="shared" si="14"/>
        <v/>
      </c>
      <c r="B442" s="4"/>
      <c r="C442" s="4"/>
      <c r="D442" s="4"/>
      <c r="E442" s="4"/>
      <c r="F442" s="4"/>
      <c r="G442" s="6"/>
      <c r="H442" s="4"/>
      <c r="I442" s="4"/>
      <c r="J442" s="4"/>
      <c r="K442" s="4" t="str">
        <f t="shared" ca="1" si="13"/>
        <v>Sin fecha</v>
      </c>
      <c r="L442" s="8"/>
      <c r="M442" s="8"/>
      <c r="N442" s="4"/>
      <c r="O442" s="4"/>
      <c r="P442" s="4"/>
      <c r="Q442" s="4"/>
      <c r="R442" s="4"/>
      <c r="S442" s="4"/>
      <c r="T442" s="4"/>
      <c r="U442" s="4"/>
      <c r="V442" s="4"/>
      <c r="W442" s="4"/>
      <c r="X442" s="4"/>
      <c r="Y442" s="4"/>
      <c r="Z442" s="4"/>
      <c r="AA442" s="4"/>
      <c r="AB442" s="6"/>
      <c r="AC442" s="4"/>
      <c r="AD442" s="4"/>
    </row>
    <row r="443" spans="1:30">
      <c r="A443" s="4" t="str">
        <f t="shared" si="14"/>
        <v/>
      </c>
      <c r="B443" s="4"/>
      <c r="C443" s="4"/>
      <c r="D443" s="4"/>
      <c r="E443" s="4"/>
      <c r="F443" s="4"/>
      <c r="G443" s="6"/>
      <c r="H443" s="4"/>
      <c r="I443" s="4"/>
      <c r="J443" s="4"/>
      <c r="K443" s="4" t="str">
        <f t="shared" ca="1" si="13"/>
        <v>Sin fecha</v>
      </c>
      <c r="L443" s="8"/>
      <c r="M443" s="8"/>
      <c r="N443" s="4"/>
      <c r="O443" s="4"/>
      <c r="P443" s="4"/>
      <c r="Q443" s="4"/>
      <c r="R443" s="4"/>
      <c r="S443" s="4"/>
      <c r="T443" s="4"/>
      <c r="U443" s="4"/>
      <c r="V443" s="4"/>
      <c r="W443" s="4"/>
      <c r="X443" s="4"/>
      <c r="Y443" s="4"/>
      <c r="Z443" s="4"/>
      <c r="AA443" s="4"/>
      <c r="AB443" s="6"/>
      <c r="AC443" s="4"/>
      <c r="AD443" s="4"/>
    </row>
    <row r="444" spans="1:30">
      <c r="A444" s="4" t="str">
        <f t="shared" si="14"/>
        <v/>
      </c>
      <c r="B444" s="4"/>
      <c r="C444" s="4"/>
      <c r="D444" s="4"/>
      <c r="E444" s="4"/>
      <c r="F444" s="4"/>
      <c r="G444" s="6"/>
      <c r="H444" s="4"/>
      <c r="I444" s="4"/>
      <c r="J444" s="4"/>
      <c r="K444" s="4" t="str">
        <f t="shared" ca="1" si="13"/>
        <v>Sin fecha</v>
      </c>
      <c r="L444" s="8"/>
      <c r="M444" s="8"/>
      <c r="N444" s="4"/>
      <c r="O444" s="4"/>
      <c r="P444" s="4"/>
      <c r="Q444" s="4"/>
      <c r="R444" s="4"/>
      <c r="S444" s="4"/>
      <c r="T444" s="4"/>
      <c r="U444" s="4"/>
      <c r="V444" s="4"/>
      <c r="W444" s="4"/>
      <c r="X444" s="4"/>
      <c r="Y444" s="4"/>
      <c r="Z444" s="4"/>
      <c r="AA444" s="4"/>
      <c r="AB444" s="6"/>
      <c r="AC444" s="4"/>
      <c r="AD444" s="4"/>
    </row>
    <row r="445" spans="1:30">
      <c r="A445" s="4" t="str">
        <f t="shared" si="14"/>
        <v/>
      </c>
      <c r="B445" s="4"/>
      <c r="C445" s="4"/>
      <c r="D445" s="4"/>
      <c r="E445" s="4"/>
      <c r="F445" s="4"/>
      <c r="G445" s="6"/>
      <c r="H445" s="4"/>
      <c r="I445" s="4"/>
      <c r="J445" s="4"/>
      <c r="K445" s="4" t="str">
        <f t="shared" ca="1" si="13"/>
        <v>Sin fecha</v>
      </c>
      <c r="L445" s="8"/>
      <c r="M445" s="8"/>
      <c r="N445" s="4"/>
      <c r="O445" s="4"/>
      <c r="P445" s="4"/>
      <c r="Q445" s="4"/>
      <c r="R445" s="4"/>
      <c r="S445" s="4"/>
      <c r="T445" s="4"/>
      <c r="U445" s="4"/>
      <c r="V445" s="4"/>
      <c r="W445" s="4"/>
      <c r="X445" s="4"/>
      <c r="Y445" s="4"/>
      <c r="Z445" s="4"/>
      <c r="AA445" s="4"/>
      <c r="AB445" s="6"/>
      <c r="AC445" s="4"/>
      <c r="AD445" s="4"/>
    </row>
    <row r="446" spans="1:30">
      <c r="A446" s="4" t="str">
        <f t="shared" si="14"/>
        <v/>
      </c>
      <c r="B446" s="4"/>
      <c r="C446" s="4"/>
      <c r="D446" s="4"/>
      <c r="E446" s="4"/>
      <c r="F446" s="4"/>
      <c r="G446" s="6"/>
      <c r="H446" s="4"/>
      <c r="I446" s="4"/>
      <c r="J446" s="4"/>
      <c r="K446" s="4" t="str">
        <f t="shared" ca="1" si="13"/>
        <v>Sin fecha</v>
      </c>
      <c r="L446" s="8"/>
      <c r="M446" s="8"/>
      <c r="N446" s="4"/>
      <c r="O446" s="4"/>
      <c r="P446" s="4"/>
      <c r="Q446" s="4"/>
      <c r="R446" s="4"/>
      <c r="S446" s="4"/>
      <c r="T446" s="4"/>
      <c r="U446" s="4"/>
      <c r="V446" s="4"/>
      <c r="W446" s="4"/>
      <c r="X446" s="4"/>
      <c r="Y446" s="4"/>
      <c r="Z446" s="4"/>
      <c r="AA446" s="4"/>
      <c r="AB446" s="6"/>
      <c r="AC446" s="4"/>
      <c r="AD446" s="4"/>
    </row>
    <row r="447" spans="1:30">
      <c r="A447" s="4" t="str">
        <f t="shared" si="14"/>
        <v/>
      </c>
      <c r="B447" s="4"/>
      <c r="C447" s="4"/>
      <c r="D447" s="4"/>
      <c r="E447" s="4"/>
      <c r="F447" s="4"/>
      <c r="G447" s="6"/>
      <c r="H447" s="4"/>
      <c r="I447" s="4"/>
      <c r="J447" s="4"/>
      <c r="K447" s="4" t="str">
        <f t="shared" ca="1" si="13"/>
        <v>Sin fecha</v>
      </c>
      <c r="L447" s="8"/>
      <c r="M447" s="8"/>
      <c r="N447" s="4"/>
      <c r="O447" s="4"/>
      <c r="P447" s="4"/>
      <c r="Q447" s="4"/>
      <c r="R447" s="4"/>
      <c r="S447" s="4"/>
      <c r="T447" s="4"/>
      <c r="U447" s="4"/>
      <c r="V447" s="4"/>
      <c r="W447" s="4"/>
      <c r="X447" s="4"/>
      <c r="Y447" s="4"/>
      <c r="Z447" s="4"/>
      <c r="AA447" s="4"/>
      <c r="AB447" s="6"/>
      <c r="AC447" s="4"/>
      <c r="AD447" s="4"/>
    </row>
    <row r="448" spans="1:30">
      <c r="A448" s="4" t="str">
        <f t="shared" si="14"/>
        <v/>
      </c>
      <c r="B448" s="4"/>
      <c r="C448" s="4"/>
      <c r="D448" s="4"/>
      <c r="E448" s="4"/>
      <c r="F448" s="4"/>
      <c r="G448" s="6"/>
      <c r="H448" s="4"/>
      <c r="I448" s="4"/>
      <c r="J448" s="4"/>
      <c r="K448" s="4" t="str">
        <f t="shared" ref="K448:K499" ca="1" si="15">IF(J448="Cerrada","Cerrada",IF(J448="Suspendida","Suspendida",IF(G448="","Sin fecha",IF(G448&lt;TODAY(),"Vencida",IF(G448-TODAY()&lt;=30,"Próxima a vencer","Abierta")))))</f>
        <v>Sin fecha</v>
      </c>
      <c r="L448" s="8"/>
      <c r="M448" s="8"/>
      <c r="N448" s="4"/>
      <c r="O448" s="4"/>
      <c r="P448" s="4"/>
      <c r="Q448" s="4"/>
      <c r="R448" s="4"/>
      <c r="S448" s="4"/>
      <c r="T448" s="4"/>
      <c r="U448" s="4"/>
      <c r="V448" s="4"/>
      <c r="W448" s="4"/>
      <c r="X448" s="4"/>
      <c r="Y448" s="4"/>
      <c r="Z448" s="4"/>
      <c r="AA448" s="4"/>
      <c r="AB448" s="6"/>
      <c r="AC448" s="4"/>
      <c r="AD448" s="4"/>
    </row>
    <row r="449" spans="1:30">
      <c r="A449" s="4" t="str">
        <f t="shared" ref="A449:A499" si="16">IF(C449="","","OP-"&amp;TEXT(ROW()-1,"0000"))</f>
        <v/>
      </c>
      <c r="B449" s="4"/>
      <c r="C449" s="4"/>
      <c r="D449" s="4"/>
      <c r="E449" s="4"/>
      <c r="F449" s="4"/>
      <c r="G449" s="6"/>
      <c r="H449" s="4"/>
      <c r="I449" s="4"/>
      <c r="J449" s="4"/>
      <c r="K449" s="4" t="str">
        <f t="shared" ca="1" si="15"/>
        <v>Sin fecha</v>
      </c>
      <c r="L449" s="8"/>
      <c r="M449" s="8"/>
      <c r="N449" s="4"/>
      <c r="O449" s="4"/>
      <c r="P449" s="4"/>
      <c r="Q449" s="4"/>
      <c r="R449" s="4"/>
      <c r="S449" s="4"/>
      <c r="T449" s="4"/>
      <c r="U449" s="4"/>
      <c r="V449" s="4"/>
      <c r="W449" s="4"/>
      <c r="X449" s="4"/>
      <c r="Y449" s="4"/>
      <c r="Z449" s="4"/>
      <c r="AA449" s="4"/>
      <c r="AB449" s="6"/>
      <c r="AC449" s="4"/>
      <c r="AD449" s="4"/>
    </row>
    <row r="450" spans="1:30">
      <c r="A450" s="4" t="str">
        <f t="shared" si="16"/>
        <v/>
      </c>
      <c r="B450" s="4"/>
      <c r="C450" s="4"/>
      <c r="D450" s="4"/>
      <c r="E450" s="4"/>
      <c r="F450" s="4"/>
      <c r="G450" s="6"/>
      <c r="H450" s="4"/>
      <c r="I450" s="4"/>
      <c r="J450" s="4"/>
      <c r="K450" s="4" t="str">
        <f t="shared" ca="1" si="15"/>
        <v>Sin fecha</v>
      </c>
      <c r="L450" s="8"/>
      <c r="M450" s="8"/>
      <c r="N450" s="4"/>
      <c r="O450" s="4"/>
      <c r="P450" s="4"/>
      <c r="Q450" s="4"/>
      <c r="R450" s="4"/>
      <c r="S450" s="4"/>
      <c r="T450" s="4"/>
      <c r="U450" s="4"/>
      <c r="V450" s="4"/>
      <c r="W450" s="4"/>
      <c r="X450" s="4"/>
      <c r="Y450" s="4"/>
      <c r="Z450" s="4"/>
      <c r="AA450" s="4"/>
      <c r="AB450" s="6"/>
      <c r="AC450" s="4"/>
      <c r="AD450" s="4"/>
    </row>
    <row r="451" spans="1:30">
      <c r="A451" s="4" t="str">
        <f t="shared" si="16"/>
        <v/>
      </c>
      <c r="B451" s="4"/>
      <c r="C451" s="4"/>
      <c r="D451" s="4"/>
      <c r="E451" s="4"/>
      <c r="F451" s="4"/>
      <c r="G451" s="6"/>
      <c r="H451" s="4"/>
      <c r="I451" s="4"/>
      <c r="J451" s="4"/>
      <c r="K451" s="4" t="str">
        <f t="shared" ca="1" si="15"/>
        <v>Sin fecha</v>
      </c>
      <c r="L451" s="8"/>
      <c r="M451" s="8"/>
      <c r="N451" s="4"/>
      <c r="O451" s="4"/>
      <c r="P451" s="4"/>
      <c r="Q451" s="4"/>
      <c r="R451" s="4"/>
      <c r="S451" s="4"/>
      <c r="T451" s="4"/>
      <c r="U451" s="4"/>
      <c r="V451" s="4"/>
      <c r="W451" s="4"/>
      <c r="X451" s="4"/>
      <c r="Y451" s="4"/>
      <c r="Z451" s="4"/>
      <c r="AA451" s="4"/>
      <c r="AB451" s="6"/>
      <c r="AC451" s="4"/>
      <c r="AD451" s="4"/>
    </row>
    <row r="452" spans="1:30">
      <c r="A452" s="4" t="str">
        <f t="shared" si="16"/>
        <v/>
      </c>
      <c r="B452" s="4"/>
      <c r="C452" s="4"/>
      <c r="D452" s="4"/>
      <c r="E452" s="4"/>
      <c r="F452" s="4"/>
      <c r="G452" s="6"/>
      <c r="H452" s="4"/>
      <c r="I452" s="4"/>
      <c r="J452" s="4"/>
      <c r="K452" s="4" t="str">
        <f t="shared" ca="1" si="15"/>
        <v>Sin fecha</v>
      </c>
      <c r="L452" s="8"/>
      <c r="M452" s="8"/>
      <c r="N452" s="4"/>
      <c r="O452" s="4"/>
      <c r="P452" s="4"/>
      <c r="Q452" s="4"/>
      <c r="R452" s="4"/>
      <c r="S452" s="4"/>
      <c r="T452" s="4"/>
      <c r="U452" s="4"/>
      <c r="V452" s="4"/>
      <c r="W452" s="4"/>
      <c r="X452" s="4"/>
      <c r="Y452" s="4"/>
      <c r="Z452" s="4"/>
      <c r="AA452" s="4"/>
      <c r="AB452" s="6"/>
      <c r="AC452" s="4"/>
      <c r="AD452" s="4"/>
    </row>
    <row r="453" spans="1:30">
      <c r="A453" s="4" t="str">
        <f t="shared" si="16"/>
        <v/>
      </c>
      <c r="B453" s="4"/>
      <c r="C453" s="4"/>
      <c r="D453" s="4"/>
      <c r="E453" s="4"/>
      <c r="F453" s="4"/>
      <c r="G453" s="6"/>
      <c r="H453" s="4"/>
      <c r="I453" s="4"/>
      <c r="J453" s="4"/>
      <c r="K453" s="4" t="str">
        <f t="shared" ca="1" si="15"/>
        <v>Sin fecha</v>
      </c>
      <c r="L453" s="8"/>
      <c r="M453" s="8"/>
      <c r="N453" s="4"/>
      <c r="O453" s="4"/>
      <c r="P453" s="4"/>
      <c r="Q453" s="4"/>
      <c r="R453" s="4"/>
      <c r="S453" s="4"/>
      <c r="T453" s="4"/>
      <c r="U453" s="4"/>
      <c r="V453" s="4"/>
      <c r="W453" s="4"/>
      <c r="X453" s="4"/>
      <c r="Y453" s="4"/>
      <c r="Z453" s="4"/>
      <c r="AA453" s="4"/>
      <c r="AB453" s="6"/>
      <c r="AC453" s="4"/>
      <c r="AD453" s="4"/>
    </row>
    <row r="454" spans="1:30">
      <c r="A454" s="4" t="str">
        <f t="shared" si="16"/>
        <v/>
      </c>
      <c r="B454" s="4"/>
      <c r="C454" s="4"/>
      <c r="D454" s="4"/>
      <c r="E454" s="4"/>
      <c r="F454" s="4"/>
      <c r="G454" s="6"/>
      <c r="H454" s="4"/>
      <c r="I454" s="4"/>
      <c r="J454" s="4"/>
      <c r="K454" s="4" t="str">
        <f t="shared" ca="1" si="15"/>
        <v>Sin fecha</v>
      </c>
      <c r="L454" s="8"/>
      <c r="M454" s="8"/>
      <c r="N454" s="4"/>
      <c r="O454" s="4"/>
      <c r="P454" s="4"/>
      <c r="Q454" s="4"/>
      <c r="R454" s="4"/>
      <c r="S454" s="4"/>
      <c r="T454" s="4"/>
      <c r="U454" s="4"/>
      <c r="V454" s="4"/>
      <c r="W454" s="4"/>
      <c r="X454" s="4"/>
      <c r="Y454" s="4"/>
      <c r="Z454" s="4"/>
      <c r="AA454" s="4"/>
      <c r="AB454" s="6"/>
      <c r="AC454" s="4"/>
      <c r="AD454" s="4"/>
    </row>
    <row r="455" spans="1:30">
      <c r="A455" s="4" t="str">
        <f t="shared" si="16"/>
        <v/>
      </c>
      <c r="B455" s="4"/>
      <c r="C455" s="4"/>
      <c r="D455" s="4"/>
      <c r="E455" s="4"/>
      <c r="F455" s="4"/>
      <c r="G455" s="6"/>
      <c r="H455" s="4"/>
      <c r="I455" s="4"/>
      <c r="J455" s="4"/>
      <c r="K455" s="4" t="str">
        <f t="shared" ca="1" si="15"/>
        <v>Sin fecha</v>
      </c>
      <c r="L455" s="8"/>
      <c r="M455" s="8"/>
      <c r="N455" s="4"/>
      <c r="O455" s="4"/>
      <c r="P455" s="4"/>
      <c r="Q455" s="4"/>
      <c r="R455" s="4"/>
      <c r="S455" s="4"/>
      <c r="T455" s="4"/>
      <c r="U455" s="4"/>
      <c r="V455" s="4"/>
      <c r="W455" s="4"/>
      <c r="X455" s="4"/>
      <c r="Y455" s="4"/>
      <c r="Z455" s="4"/>
      <c r="AA455" s="4"/>
      <c r="AB455" s="6"/>
      <c r="AC455" s="4"/>
      <c r="AD455" s="4"/>
    </row>
    <row r="456" spans="1:30">
      <c r="A456" s="4" t="str">
        <f t="shared" si="16"/>
        <v/>
      </c>
      <c r="B456" s="4"/>
      <c r="C456" s="4"/>
      <c r="D456" s="4"/>
      <c r="E456" s="4"/>
      <c r="F456" s="4"/>
      <c r="G456" s="6"/>
      <c r="H456" s="4"/>
      <c r="I456" s="4"/>
      <c r="J456" s="4"/>
      <c r="K456" s="4" t="str">
        <f t="shared" ca="1" si="15"/>
        <v>Sin fecha</v>
      </c>
      <c r="L456" s="8"/>
      <c r="M456" s="8"/>
      <c r="N456" s="4"/>
      <c r="O456" s="4"/>
      <c r="P456" s="4"/>
      <c r="Q456" s="4"/>
      <c r="R456" s="4"/>
      <c r="S456" s="4"/>
      <c r="T456" s="4"/>
      <c r="U456" s="4"/>
      <c r="V456" s="4"/>
      <c r="W456" s="4"/>
      <c r="X456" s="4"/>
      <c r="Y456" s="4"/>
      <c r="Z456" s="4"/>
      <c r="AA456" s="4"/>
      <c r="AB456" s="6"/>
      <c r="AC456" s="4"/>
      <c r="AD456" s="4"/>
    </row>
    <row r="457" spans="1:30">
      <c r="A457" s="4" t="str">
        <f t="shared" si="16"/>
        <v/>
      </c>
      <c r="B457" s="4"/>
      <c r="C457" s="4"/>
      <c r="D457" s="4"/>
      <c r="E457" s="4"/>
      <c r="F457" s="4"/>
      <c r="G457" s="6"/>
      <c r="H457" s="4"/>
      <c r="I457" s="4"/>
      <c r="J457" s="4"/>
      <c r="K457" s="4" t="str">
        <f t="shared" ca="1" si="15"/>
        <v>Sin fecha</v>
      </c>
      <c r="L457" s="8"/>
      <c r="M457" s="8"/>
      <c r="N457" s="4"/>
      <c r="O457" s="4"/>
      <c r="P457" s="4"/>
      <c r="Q457" s="4"/>
      <c r="R457" s="4"/>
      <c r="S457" s="4"/>
      <c r="T457" s="4"/>
      <c r="U457" s="4"/>
      <c r="V457" s="4"/>
      <c r="W457" s="4"/>
      <c r="X457" s="4"/>
      <c r="Y457" s="4"/>
      <c r="Z457" s="4"/>
      <c r="AA457" s="4"/>
      <c r="AB457" s="6"/>
      <c r="AC457" s="4"/>
      <c r="AD457" s="4"/>
    </row>
    <row r="458" spans="1:30">
      <c r="A458" s="4" t="str">
        <f t="shared" si="16"/>
        <v/>
      </c>
      <c r="B458" s="4"/>
      <c r="C458" s="4"/>
      <c r="D458" s="4"/>
      <c r="E458" s="4"/>
      <c r="F458" s="4"/>
      <c r="G458" s="6"/>
      <c r="H458" s="4"/>
      <c r="I458" s="4"/>
      <c r="J458" s="4"/>
      <c r="K458" s="4" t="str">
        <f t="shared" ca="1" si="15"/>
        <v>Sin fecha</v>
      </c>
      <c r="L458" s="8"/>
      <c r="M458" s="8"/>
      <c r="N458" s="4"/>
      <c r="O458" s="4"/>
      <c r="P458" s="4"/>
      <c r="Q458" s="4"/>
      <c r="R458" s="4"/>
      <c r="S458" s="4"/>
      <c r="T458" s="4"/>
      <c r="U458" s="4"/>
      <c r="V458" s="4"/>
      <c r="W458" s="4"/>
      <c r="X458" s="4"/>
      <c r="Y458" s="4"/>
      <c r="Z458" s="4"/>
      <c r="AA458" s="4"/>
      <c r="AB458" s="6"/>
      <c r="AC458" s="4"/>
      <c r="AD458" s="4"/>
    </row>
    <row r="459" spans="1:30">
      <c r="A459" s="4" t="str">
        <f t="shared" si="16"/>
        <v/>
      </c>
      <c r="B459" s="4"/>
      <c r="C459" s="4"/>
      <c r="D459" s="4"/>
      <c r="E459" s="4"/>
      <c r="F459" s="4"/>
      <c r="G459" s="6"/>
      <c r="H459" s="4"/>
      <c r="I459" s="4"/>
      <c r="J459" s="4"/>
      <c r="K459" s="4" t="str">
        <f t="shared" ca="1" si="15"/>
        <v>Sin fecha</v>
      </c>
      <c r="L459" s="8"/>
      <c r="M459" s="8"/>
      <c r="N459" s="4"/>
      <c r="O459" s="4"/>
      <c r="P459" s="4"/>
      <c r="Q459" s="4"/>
      <c r="R459" s="4"/>
      <c r="S459" s="4"/>
      <c r="T459" s="4"/>
      <c r="U459" s="4"/>
      <c r="V459" s="4"/>
      <c r="W459" s="4"/>
      <c r="X459" s="4"/>
      <c r="Y459" s="4"/>
      <c r="Z459" s="4"/>
      <c r="AA459" s="4"/>
      <c r="AB459" s="6"/>
      <c r="AC459" s="4"/>
      <c r="AD459" s="4"/>
    </row>
    <row r="460" spans="1:30">
      <c r="A460" s="4" t="str">
        <f t="shared" si="16"/>
        <v/>
      </c>
      <c r="B460" s="4"/>
      <c r="C460" s="4"/>
      <c r="D460" s="4"/>
      <c r="E460" s="4"/>
      <c r="F460" s="4"/>
      <c r="G460" s="6"/>
      <c r="H460" s="4"/>
      <c r="I460" s="4"/>
      <c r="J460" s="4"/>
      <c r="K460" s="4" t="str">
        <f t="shared" ca="1" si="15"/>
        <v>Sin fecha</v>
      </c>
      <c r="L460" s="8"/>
      <c r="M460" s="8"/>
      <c r="N460" s="4"/>
      <c r="O460" s="4"/>
      <c r="P460" s="4"/>
      <c r="Q460" s="4"/>
      <c r="R460" s="4"/>
      <c r="S460" s="4"/>
      <c r="T460" s="4"/>
      <c r="U460" s="4"/>
      <c r="V460" s="4"/>
      <c r="W460" s="4"/>
      <c r="X460" s="4"/>
      <c r="Y460" s="4"/>
      <c r="Z460" s="4"/>
      <c r="AA460" s="4"/>
      <c r="AB460" s="6"/>
      <c r="AC460" s="4"/>
      <c r="AD460" s="4"/>
    </row>
    <row r="461" spans="1:30">
      <c r="A461" s="4" t="str">
        <f t="shared" si="16"/>
        <v/>
      </c>
      <c r="B461" s="4"/>
      <c r="C461" s="4"/>
      <c r="D461" s="4"/>
      <c r="E461" s="4"/>
      <c r="F461" s="4"/>
      <c r="G461" s="6"/>
      <c r="H461" s="4"/>
      <c r="I461" s="4"/>
      <c r="J461" s="4"/>
      <c r="K461" s="4" t="str">
        <f t="shared" ca="1" si="15"/>
        <v>Sin fecha</v>
      </c>
      <c r="L461" s="8"/>
      <c r="M461" s="8"/>
      <c r="N461" s="4"/>
      <c r="O461" s="4"/>
      <c r="P461" s="4"/>
      <c r="Q461" s="4"/>
      <c r="R461" s="4"/>
      <c r="S461" s="4"/>
      <c r="T461" s="4"/>
      <c r="U461" s="4"/>
      <c r="V461" s="4"/>
      <c r="W461" s="4"/>
      <c r="X461" s="4"/>
      <c r="Y461" s="4"/>
      <c r="Z461" s="4"/>
      <c r="AA461" s="4"/>
      <c r="AB461" s="6"/>
      <c r="AC461" s="4"/>
      <c r="AD461" s="4"/>
    </row>
    <row r="462" spans="1:30">
      <c r="A462" s="4" t="str">
        <f t="shared" si="16"/>
        <v/>
      </c>
      <c r="B462" s="4"/>
      <c r="C462" s="4"/>
      <c r="D462" s="4"/>
      <c r="E462" s="4"/>
      <c r="F462" s="4"/>
      <c r="G462" s="6"/>
      <c r="H462" s="4"/>
      <c r="I462" s="4"/>
      <c r="J462" s="4"/>
      <c r="K462" s="4" t="str">
        <f t="shared" ca="1" si="15"/>
        <v>Sin fecha</v>
      </c>
      <c r="L462" s="8"/>
      <c r="M462" s="8"/>
      <c r="N462" s="4"/>
      <c r="O462" s="4"/>
      <c r="P462" s="4"/>
      <c r="Q462" s="4"/>
      <c r="R462" s="4"/>
      <c r="S462" s="4"/>
      <c r="T462" s="4"/>
      <c r="U462" s="4"/>
      <c r="V462" s="4"/>
      <c r="W462" s="4"/>
      <c r="X462" s="4"/>
      <c r="Y462" s="4"/>
      <c r="Z462" s="4"/>
      <c r="AA462" s="4"/>
      <c r="AB462" s="6"/>
      <c r="AC462" s="4"/>
      <c r="AD462" s="4"/>
    </row>
    <row r="463" spans="1:30">
      <c r="A463" s="4" t="str">
        <f t="shared" si="16"/>
        <v/>
      </c>
      <c r="B463" s="4"/>
      <c r="C463" s="4"/>
      <c r="D463" s="4"/>
      <c r="E463" s="4"/>
      <c r="F463" s="4"/>
      <c r="G463" s="6"/>
      <c r="H463" s="4"/>
      <c r="I463" s="4"/>
      <c r="J463" s="4"/>
      <c r="K463" s="4" t="str">
        <f t="shared" ca="1" si="15"/>
        <v>Sin fecha</v>
      </c>
      <c r="L463" s="8"/>
      <c r="M463" s="8"/>
      <c r="N463" s="4"/>
      <c r="O463" s="4"/>
      <c r="P463" s="4"/>
      <c r="Q463" s="4"/>
      <c r="R463" s="4"/>
      <c r="S463" s="4"/>
      <c r="T463" s="4"/>
      <c r="U463" s="4"/>
      <c r="V463" s="4"/>
      <c r="W463" s="4"/>
      <c r="X463" s="4"/>
      <c r="Y463" s="4"/>
      <c r="Z463" s="4"/>
      <c r="AA463" s="4"/>
      <c r="AB463" s="6"/>
      <c r="AC463" s="4"/>
      <c r="AD463" s="4"/>
    </row>
    <row r="464" spans="1:30">
      <c r="A464" s="4" t="str">
        <f t="shared" si="16"/>
        <v/>
      </c>
      <c r="B464" s="4"/>
      <c r="C464" s="4"/>
      <c r="D464" s="4"/>
      <c r="E464" s="4"/>
      <c r="F464" s="4"/>
      <c r="G464" s="6"/>
      <c r="H464" s="4"/>
      <c r="I464" s="4"/>
      <c r="J464" s="4"/>
      <c r="K464" s="4" t="str">
        <f t="shared" ca="1" si="15"/>
        <v>Sin fecha</v>
      </c>
      <c r="L464" s="8"/>
      <c r="M464" s="8"/>
      <c r="N464" s="4"/>
      <c r="O464" s="4"/>
      <c r="P464" s="4"/>
      <c r="Q464" s="4"/>
      <c r="R464" s="4"/>
      <c r="S464" s="4"/>
      <c r="T464" s="4"/>
      <c r="U464" s="4"/>
      <c r="V464" s="4"/>
      <c r="W464" s="4"/>
      <c r="X464" s="4"/>
      <c r="Y464" s="4"/>
      <c r="Z464" s="4"/>
      <c r="AA464" s="4"/>
      <c r="AB464" s="6"/>
      <c r="AC464" s="4"/>
      <c r="AD464" s="4"/>
    </row>
    <row r="465" spans="1:30">
      <c r="A465" s="4" t="str">
        <f t="shared" si="16"/>
        <v/>
      </c>
      <c r="B465" s="4"/>
      <c r="C465" s="4"/>
      <c r="D465" s="4"/>
      <c r="E465" s="4"/>
      <c r="F465" s="4"/>
      <c r="G465" s="6"/>
      <c r="H465" s="4"/>
      <c r="I465" s="4"/>
      <c r="J465" s="4"/>
      <c r="K465" s="4" t="str">
        <f t="shared" ca="1" si="15"/>
        <v>Sin fecha</v>
      </c>
      <c r="L465" s="8"/>
      <c r="M465" s="8"/>
      <c r="N465" s="4"/>
      <c r="O465" s="4"/>
      <c r="P465" s="4"/>
      <c r="Q465" s="4"/>
      <c r="R465" s="4"/>
      <c r="S465" s="4"/>
      <c r="T465" s="4"/>
      <c r="U465" s="4"/>
      <c r="V465" s="4"/>
      <c r="W465" s="4"/>
      <c r="X465" s="4"/>
      <c r="Y465" s="4"/>
      <c r="Z465" s="4"/>
      <c r="AA465" s="4"/>
      <c r="AB465" s="6"/>
      <c r="AC465" s="4"/>
      <c r="AD465" s="4"/>
    </row>
    <row r="466" spans="1:30">
      <c r="A466" s="4" t="str">
        <f t="shared" si="16"/>
        <v/>
      </c>
      <c r="B466" s="4"/>
      <c r="C466" s="4"/>
      <c r="D466" s="4"/>
      <c r="E466" s="4"/>
      <c r="F466" s="4"/>
      <c r="G466" s="6"/>
      <c r="H466" s="4"/>
      <c r="I466" s="4"/>
      <c r="J466" s="4"/>
      <c r="K466" s="4" t="str">
        <f t="shared" ca="1" si="15"/>
        <v>Sin fecha</v>
      </c>
      <c r="L466" s="8"/>
      <c r="M466" s="8"/>
      <c r="N466" s="4"/>
      <c r="O466" s="4"/>
      <c r="P466" s="4"/>
      <c r="Q466" s="4"/>
      <c r="R466" s="4"/>
      <c r="S466" s="4"/>
      <c r="T466" s="4"/>
      <c r="U466" s="4"/>
      <c r="V466" s="4"/>
      <c r="W466" s="4"/>
      <c r="X466" s="4"/>
      <c r="Y466" s="4"/>
      <c r="Z466" s="4"/>
      <c r="AA466" s="4"/>
      <c r="AB466" s="6"/>
      <c r="AC466" s="4"/>
      <c r="AD466" s="4"/>
    </row>
    <row r="467" spans="1:30">
      <c r="A467" s="4" t="str">
        <f t="shared" si="16"/>
        <v/>
      </c>
      <c r="B467" s="4"/>
      <c r="C467" s="4"/>
      <c r="D467" s="4"/>
      <c r="E467" s="4"/>
      <c r="F467" s="4"/>
      <c r="G467" s="6"/>
      <c r="H467" s="4"/>
      <c r="I467" s="4"/>
      <c r="J467" s="4"/>
      <c r="K467" s="4" t="str">
        <f t="shared" ca="1" si="15"/>
        <v>Sin fecha</v>
      </c>
      <c r="L467" s="8"/>
      <c r="M467" s="8"/>
      <c r="N467" s="4"/>
      <c r="O467" s="4"/>
      <c r="P467" s="4"/>
      <c r="Q467" s="4"/>
      <c r="R467" s="4"/>
      <c r="S467" s="4"/>
      <c r="T467" s="4"/>
      <c r="U467" s="4"/>
      <c r="V467" s="4"/>
      <c r="W467" s="4"/>
      <c r="X467" s="4"/>
      <c r="Y467" s="4"/>
      <c r="Z467" s="4"/>
      <c r="AA467" s="4"/>
      <c r="AB467" s="6"/>
      <c r="AC467" s="4"/>
      <c r="AD467" s="4"/>
    </row>
    <row r="468" spans="1:30">
      <c r="A468" s="4" t="str">
        <f t="shared" si="16"/>
        <v/>
      </c>
      <c r="B468" s="4"/>
      <c r="C468" s="4"/>
      <c r="D468" s="4"/>
      <c r="E468" s="4"/>
      <c r="F468" s="4"/>
      <c r="G468" s="6"/>
      <c r="H468" s="4"/>
      <c r="I468" s="4"/>
      <c r="J468" s="4"/>
      <c r="K468" s="4" t="str">
        <f t="shared" ca="1" si="15"/>
        <v>Sin fecha</v>
      </c>
      <c r="L468" s="8"/>
      <c r="M468" s="8"/>
      <c r="N468" s="4"/>
      <c r="O468" s="4"/>
      <c r="P468" s="4"/>
      <c r="Q468" s="4"/>
      <c r="R468" s="4"/>
      <c r="S468" s="4"/>
      <c r="T468" s="4"/>
      <c r="U468" s="4"/>
      <c r="V468" s="4"/>
      <c r="W468" s="4"/>
      <c r="X468" s="4"/>
      <c r="Y468" s="4"/>
      <c r="Z468" s="4"/>
      <c r="AA468" s="4"/>
      <c r="AB468" s="6"/>
      <c r="AC468" s="4"/>
      <c r="AD468" s="4"/>
    </row>
    <row r="469" spans="1:30">
      <c r="A469" s="4" t="str">
        <f t="shared" si="16"/>
        <v/>
      </c>
      <c r="B469" s="4"/>
      <c r="C469" s="4"/>
      <c r="D469" s="4"/>
      <c r="E469" s="4"/>
      <c r="F469" s="4"/>
      <c r="G469" s="6"/>
      <c r="H469" s="4"/>
      <c r="I469" s="4"/>
      <c r="J469" s="4"/>
      <c r="K469" s="4" t="str">
        <f t="shared" ca="1" si="15"/>
        <v>Sin fecha</v>
      </c>
      <c r="L469" s="8"/>
      <c r="M469" s="8"/>
      <c r="N469" s="4"/>
      <c r="O469" s="4"/>
      <c r="P469" s="4"/>
      <c r="Q469" s="4"/>
      <c r="R469" s="4"/>
      <c r="S469" s="4"/>
      <c r="T469" s="4"/>
      <c r="U469" s="4"/>
      <c r="V469" s="4"/>
      <c r="W469" s="4"/>
      <c r="X469" s="4"/>
      <c r="Y469" s="4"/>
      <c r="Z469" s="4"/>
      <c r="AA469" s="4"/>
      <c r="AB469" s="6"/>
      <c r="AC469" s="4"/>
      <c r="AD469" s="4"/>
    </row>
    <row r="470" spans="1:30">
      <c r="A470" s="4" t="str">
        <f t="shared" si="16"/>
        <v/>
      </c>
      <c r="B470" s="4"/>
      <c r="C470" s="4"/>
      <c r="D470" s="4"/>
      <c r="E470" s="4"/>
      <c r="F470" s="4"/>
      <c r="G470" s="6"/>
      <c r="H470" s="4"/>
      <c r="I470" s="4"/>
      <c r="J470" s="4"/>
      <c r="K470" s="4" t="str">
        <f t="shared" ca="1" si="15"/>
        <v>Sin fecha</v>
      </c>
      <c r="L470" s="8"/>
      <c r="M470" s="8"/>
      <c r="N470" s="4"/>
      <c r="O470" s="4"/>
      <c r="P470" s="4"/>
      <c r="Q470" s="4"/>
      <c r="R470" s="4"/>
      <c r="S470" s="4"/>
      <c r="T470" s="4"/>
      <c r="U470" s="4"/>
      <c r="V470" s="4"/>
      <c r="W470" s="4"/>
      <c r="X470" s="4"/>
      <c r="Y470" s="4"/>
      <c r="Z470" s="4"/>
      <c r="AA470" s="4"/>
      <c r="AB470" s="6"/>
      <c r="AC470" s="4"/>
      <c r="AD470" s="4"/>
    </row>
    <row r="471" spans="1:30">
      <c r="A471" s="4" t="str">
        <f t="shared" si="16"/>
        <v/>
      </c>
      <c r="B471" s="4"/>
      <c r="C471" s="4"/>
      <c r="D471" s="4"/>
      <c r="E471" s="4"/>
      <c r="F471" s="4"/>
      <c r="G471" s="6"/>
      <c r="H471" s="4"/>
      <c r="I471" s="4"/>
      <c r="J471" s="4"/>
      <c r="K471" s="4" t="str">
        <f t="shared" ca="1" si="15"/>
        <v>Sin fecha</v>
      </c>
      <c r="L471" s="8"/>
      <c r="M471" s="8"/>
      <c r="N471" s="4"/>
      <c r="O471" s="4"/>
      <c r="P471" s="4"/>
      <c r="Q471" s="4"/>
      <c r="R471" s="4"/>
      <c r="S471" s="4"/>
      <c r="T471" s="4"/>
      <c r="U471" s="4"/>
      <c r="V471" s="4"/>
      <c r="W471" s="4"/>
      <c r="X471" s="4"/>
      <c r="Y471" s="4"/>
      <c r="Z471" s="4"/>
      <c r="AA471" s="4"/>
      <c r="AB471" s="6"/>
      <c r="AC471" s="4"/>
      <c r="AD471" s="4"/>
    </row>
    <row r="472" spans="1:30">
      <c r="A472" s="4" t="str">
        <f t="shared" si="16"/>
        <v/>
      </c>
      <c r="B472" s="4"/>
      <c r="C472" s="4"/>
      <c r="D472" s="4"/>
      <c r="E472" s="4"/>
      <c r="F472" s="4"/>
      <c r="G472" s="6"/>
      <c r="H472" s="4"/>
      <c r="I472" s="4"/>
      <c r="J472" s="4"/>
      <c r="K472" s="4" t="str">
        <f t="shared" ca="1" si="15"/>
        <v>Sin fecha</v>
      </c>
      <c r="L472" s="8"/>
      <c r="M472" s="8"/>
      <c r="N472" s="4"/>
      <c r="O472" s="4"/>
      <c r="P472" s="4"/>
      <c r="Q472" s="4"/>
      <c r="R472" s="4"/>
      <c r="S472" s="4"/>
      <c r="T472" s="4"/>
      <c r="U472" s="4"/>
      <c r="V472" s="4"/>
      <c r="W472" s="4"/>
      <c r="X472" s="4"/>
      <c r="Y472" s="4"/>
      <c r="Z472" s="4"/>
      <c r="AA472" s="4"/>
      <c r="AB472" s="6"/>
      <c r="AC472" s="4"/>
      <c r="AD472" s="4"/>
    </row>
    <row r="473" spans="1:30">
      <c r="A473" s="4" t="str">
        <f t="shared" si="16"/>
        <v/>
      </c>
      <c r="B473" s="4"/>
      <c r="C473" s="4"/>
      <c r="D473" s="4"/>
      <c r="E473" s="4"/>
      <c r="F473" s="4"/>
      <c r="G473" s="6"/>
      <c r="H473" s="4"/>
      <c r="I473" s="4"/>
      <c r="J473" s="4"/>
      <c r="K473" s="4" t="str">
        <f t="shared" ca="1" si="15"/>
        <v>Sin fecha</v>
      </c>
      <c r="L473" s="8"/>
      <c r="M473" s="8"/>
      <c r="N473" s="4"/>
      <c r="O473" s="4"/>
      <c r="P473" s="4"/>
      <c r="Q473" s="4"/>
      <c r="R473" s="4"/>
      <c r="S473" s="4"/>
      <c r="T473" s="4"/>
      <c r="U473" s="4"/>
      <c r="V473" s="4"/>
      <c r="W473" s="4"/>
      <c r="X473" s="4"/>
      <c r="Y473" s="4"/>
      <c r="Z473" s="4"/>
      <c r="AA473" s="4"/>
      <c r="AB473" s="6"/>
      <c r="AC473" s="4"/>
      <c r="AD473" s="4"/>
    </row>
    <row r="474" spans="1:30">
      <c r="A474" s="4" t="str">
        <f t="shared" si="16"/>
        <v/>
      </c>
      <c r="B474" s="4"/>
      <c r="C474" s="4"/>
      <c r="D474" s="4"/>
      <c r="E474" s="4"/>
      <c r="F474" s="4"/>
      <c r="G474" s="6"/>
      <c r="H474" s="4"/>
      <c r="I474" s="4"/>
      <c r="J474" s="4"/>
      <c r="K474" s="4" t="str">
        <f t="shared" ca="1" si="15"/>
        <v>Sin fecha</v>
      </c>
      <c r="L474" s="8"/>
      <c r="M474" s="8"/>
      <c r="N474" s="4"/>
      <c r="O474" s="4"/>
      <c r="P474" s="4"/>
      <c r="Q474" s="4"/>
      <c r="R474" s="4"/>
      <c r="S474" s="4"/>
      <c r="T474" s="4"/>
      <c r="U474" s="4"/>
      <c r="V474" s="4"/>
      <c r="W474" s="4"/>
      <c r="X474" s="4"/>
      <c r="Y474" s="4"/>
      <c r="Z474" s="4"/>
      <c r="AA474" s="4"/>
      <c r="AB474" s="6"/>
      <c r="AC474" s="4"/>
      <c r="AD474" s="4"/>
    </row>
    <row r="475" spans="1:30">
      <c r="A475" s="4" t="str">
        <f t="shared" si="16"/>
        <v/>
      </c>
      <c r="B475" s="4"/>
      <c r="C475" s="4"/>
      <c r="D475" s="4"/>
      <c r="E475" s="4"/>
      <c r="F475" s="4"/>
      <c r="G475" s="6"/>
      <c r="H475" s="4"/>
      <c r="I475" s="4"/>
      <c r="J475" s="4"/>
      <c r="K475" s="4" t="str">
        <f t="shared" ca="1" si="15"/>
        <v>Sin fecha</v>
      </c>
      <c r="L475" s="8"/>
      <c r="M475" s="8"/>
      <c r="N475" s="4"/>
      <c r="O475" s="4"/>
      <c r="P475" s="4"/>
      <c r="Q475" s="4"/>
      <c r="R475" s="4"/>
      <c r="S475" s="4"/>
      <c r="T475" s="4"/>
      <c r="U475" s="4"/>
      <c r="V475" s="4"/>
      <c r="W475" s="4"/>
      <c r="X475" s="4"/>
      <c r="Y475" s="4"/>
      <c r="Z475" s="4"/>
      <c r="AA475" s="4"/>
      <c r="AB475" s="6"/>
      <c r="AC475" s="4"/>
      <c r="AD475" s="4"/>
    </row>
    <row r="476" spans="1:30">
      <c r="A476" s="4" t="str">
        <f t="shared" si="16"/>
        <v/>
      </c>
      <c r="B476" s="4"/>
      <c r="C476" s="4"/>
      <c r="D476" s="4"/>
      <c r="E476" s="4"/>
      <c r="F476" s="4"/>
      <c r="G476" s="6"/>
      <c r="H476" s="4"/>
      <c r="I476" s="4"/>
      <c r="J476" s="4"/>
      <c r="K476" s="4" t="str">
        <f t="shared" ca="1" si="15"/>
        <v>Sin fecha</v>
      </c>
      <c r="L476" s="8"/>
      <c r="M476" s="8"/>
      <c r="N476" s="4"/>
      <c r="O476" s="4"/>
      <c r="P476" s="4"/>
      <c r="Q476" s="4"/>
      <c r="R476" s="4"/>
      <c r="S476" s="4"/>
      <c r="T476" s="4"/>
      <c r="U476" s="4"/>
      <c r="V476" s="4"/>
      <c r="W476" s="4"/>
      <c r="X476" s="4"/>
      <c r="Y476" s="4"/>
      <c r="Z476" s="4"/>
      <c r="AA476" s="4"/>
      <c r="AB476" s="6"/>
      <c r="AC476" s="4"/>
      <c r="AD476" s="4"/>
    </row>
    <row r="477" spans="1:30">
      <c r="A477" s="4" t="str">
        <f t="shared" si="16"/>
        <v/>
      </c>
      <c r="B477" s="4"/>
      <c r="C477" s="4"/>
      <c r="D477" s="4"/>
      <c r="E477" s="4"/>
      <c r="F477" s="4"/>
      <c r="G477" s="6"/>
      <c r="H477" s="4"/>
      <c r="I477" s="4"/>
      <c r="J477" s="4"/>
      <c r="K477" s="4" t="str">
        <f t="shared" ca="1" si="15"/>
        <v>Sin fecha</v>
      </c>
      <c r="L477" s="8"/>
      <c r="M477" s="8"/>
      <c r="N477" s="4"/>
      <c r="O477" s="4"/>
      <c r="P477" s="4"/>
      <c r="Q477" s="4"/>
      <c r="R477" s="4"/>
      <c r="S477" s="4"/>
      <c r="T477" s="4"/>
      <c r="U477" s="4"/>
      <c r="V477" s="4"/>
      <c r="W477" s="4"/>
      <c r="X477" s="4"/>
      <c r="Y477" s="4"/>
      <c r="Z477" s="4"/>
      <c r="AA477" s="4"/>
      <c r="AB477" s="6"/>
      <c r="AC477" s="4"/>
      <c r="AD477" s="4"/>
    </row>
    <row r="478" spans="1:30">
      <c r="A478" s="4" t="str">
        <f t="shared" si="16"/>
        <v/>
      </c>
      <c r="B478" s="4"/>
      <c r="C478" s="4"/>
      <c r="D478" s="4"/>
      <c r="E478" s="4"/>
      <c r="F478" s="4"/>
      <c r="G478" s="6"/>
      <c r="H478" s="4"/>
      <c r="I478" s="4"/>
      <c r="J478" s="4"/>
      <c r="K478" s="4" t="str">
        <f t="shared" ca="1" si="15"/>
        <v>Sin fecha</v>
      </c>
      <c r="L478" s="8"/>
      <c r="M478" s="8"/>
      <c r="N478" s="4"/>
      <c r="O478" s="4"/>
      <c r="P478" s="4"/>
      <c r="Q478" s="4"/>
      <c r="R478" s="4"/>
      <c r="S478" s="4"/>
      <c r="T478" s="4"/>
      <c r="U478" s="4"/>
      <c r="V478" s="4"/>
      <c r="W478" s="4"/>
      <c r="X478" s="4"/>
      <c r="Y478" s="4"/>
      <c r="Z478" s="4"/>
      <c r="AA478" s="4"/>
      <c r="AB478" s="6"/>
      <c r="AC478" s="4"/>
      <c r="AD478" s="4"/>
    </row>
    <row r="479" spans="1:30">
      <c r="A479" s="4" t="str">
        <f t="shared" si="16"/>
        <v/>
      </c>
      <c r="B479" s="4"/>
      <c r="C479" s="4"/>
      <c r="D479" s="4"/>
      <c r="E479" s="4"/>
      <c r="F479" s="4"/>
      <c r="G479" s="6"/>
      <c r="H479" s="4"/>
      <c r="I479" s="4"/>
      <c r="J479" s="4"/>
      <c r="K479" s="4" t="str">
        <f t="shared" ca="1" si="15"/>
        <v>Sin fecha</v>
      </c>
      <c r="L479" s="8"/>
      <c r="M479" s="8"/>
      <c r="N479" s="4"/>
      <c r="O479" s="4"/>
      <c r="P479" s="4"/>
      <c r="Q479" s="4"/>
      <c r="R479" s="4"/>
      <c r="S479" s="4"/>
      <c r="T479" s="4"/>
      <c r="U479" s="4"/>
      <c r="V479" s="4"/>
      <c r="W479" s="4"/>
      <c r="X479" s="4"/>
      <c r="Y479" s="4"/>
      <c r="Z479" s="4"/>
      <c r="AA479" s="4"/>
      <c r="AB479" s="6"/>
      <c r="AC479" s="4"/>
      <c r="AD479" s="4"/>
    </row>
    <row r="480" spans="1:30">
      <c r="A480" s="4" t="str">
        <f t="shared" si="16"/>
        <v/>
      </c>
      <c r="B480" s="4"/>
      <c r="C480" s="4"/>
      <c r="D480" s="4"/>
      <c r="E480" s="4"/>
      <c r="F480" s="4"/>
      <c r="G480" s="6"/>
      <c r="H480" s="4"/>
      <c r="I480" s="4"/>
      <c r="J480" s="4"/>
      <c r="K480" s="4" t="str">
        <f t="shared" ca="1" si="15"/>
        <v>Sin fecha</v>
      </c>
      <c r="L480" s="8"/>
      <c r="M480" s="8"/>
      <c r="N480" s="4"/>
      <c r="O480" s="4"/>
      <c r="P480" s="4"/>
      <c r="Q480" s="4"/>
      <c r="R480" s="4"/>
      <c r="S480" s="4"/>
      <c r="T480" s="4"/>
      <c r="U480" s="4"/>
      <c r="V480" s="4"/>
      <c r="W480" s="4"/>
      <c r="X480" s="4"/>
      <c r="Y480" s="4"/>
      <c r="Z480" s="4"/>
      <c r="AA480" s="4"/>
      <c r="AB480" s="6"/>
      <c r="AC480" s="4"/>
      <c r="AD480" s="4"/>
    </row>
    <row r="481" spans="1:30">
      <c r="A481" s="4" t="str">
        <f t="shared" si="16"/>
        <v/>
      </c>
      <c r="B481" s="4"/>
      <c r="C481" s="4"/>
      <c r="D481" s="4"/>
      <c r="E481" s="4"/>
      <c r="F481" s="4"/>
      <c r="G481" s="6"/>
      <c r="H481" s="4"/>
      <c r="I481" s="4"/>
      <c r="J481" s="4"/>
      <c r="K481" s="4" t="str">
        <f t="shared" ca="1" si="15"/>
        <v>Sin fecha</v>
      </c>
      <c r="L481" s="8"/>
      <c r="M481" s="8"/>
      <c r="N481" s="4"/>
      <c r="O481" s="4"/>
      <c r="P481" s="4"/>
      <c r="Q481" s="4"/>
      <c r="R481" s="4"/>
      <c r="S481" s="4"/>
      <c r="T481" s="4"/>
      <c r="U481" s="4"/>
      <c r="V481" s="4"/>
      <c r="W481" s="4"/>
      <c r="X481" s="4"/>
      <c r="Y481" s="4"/>
      <c r="Z481" s="4"/>
      <c r="AA481" s="4"/>
      <c r="AB481" s="6"/>
      <c r="AC481" s="4"/>
      <c r="AD481" s="4"/>
    </row>
    <row r="482" spans="1:30">
      <c r="A482" s="4" t="str">
        <f t="shared" si="16"/>
        <v/>
      </c>
      <c r="B482" s="4"/>
      <c r="C482" s="4"/>
      <c r="D482" s="4"/>
      <c r="E482" s="4"/>
      <c r="F482" s="4"/>
      <c r="G482" s="6"/>
      <c r="H482" s="4"/>
      <c r="I482" s="4"/>
      <c r="J482" s="4"/>
      <c r="K482" s="4" t="str">
        <f t="shared" ca="1" si="15"/>
        <v>Sin fecha</v>
      </c>
      <c r="L482" s="8"/>
      <c r="M482" s="8"/>
      <c r="N482" s="4"/>
      <c r="O482" s="4"/>
      <c r="P482" s="4"/>
      <c r="Q482" s="4"/>
      <c r="R482" s="4"/>
      <c r="S482" s="4"/>
      <c r="T482" s="4"/>
      <c r="U482" s="4"/>
      <c r="V482" s="4"/>
      <c r="W482" s="4"/>
      <c r="X482" s="4"/>
      <c r="Y482" s="4"/>
      <c r="Z482" s="4"/>
      <c r="AA482" s="4"/>
      <c r="AB482" s="6"/>
      <c r="AC482" s="4"/>
      <c r="AD482" s="4"/>
    </row>
    <row r="483" spans="1:30">
      <c r="A483" s="4" t="str">
        <f t="shared" si="16"/>
        <v/>
      </c>
      <c r="B483" s="4"/>
      <c r="C483" s="4"/>
      <c r="D483" s="4"/>
      <c r="E483" s="4"/>
      <c r="F483" s="4"/>
      <c r="G483" s="6"/>
      <c r="H483" s="4"/>
      <c r="I483" s="4"/>
      <c r="J483" s="4"/>
      <c r="K483" s="4" t="str">
        <f t="shared" ca="1" si="15"/>
        <v>Sin fecha</v>
      </c>
      <c r="L483" s="8"/>
      <c r="M483" s="8"/>
      <c r="N483" s="4"/>
      <c r="O483" s="4"/>
      <c r="P483" s="4"/>
      <c r="Q483" s="4"/>
      <c r="R483" s="4"/>
      <c r="S483" s="4"/>
      <c r="T483" s="4"/>
      <c r="U483" s="4"/>
      <c r="V483" s="4"/>
      <c r="W483" s="4"/>
      <c r="X483" s="4"/>
      <c r="Y483" s="4"/>
      <c r="Z483" s="4"/>
      <c r="AA483" s="4"/>
      <c r="AB483" s="6"/>
      <c r="AC483" s="4"/>
      <c r="AD483" s="4"/>
    </row>
    <row r="484" spans="1:30">
      <c r="A484" s="4" t="str">
        <f t="shared" si="16"/>
        <v/>
      </c>
      <c r="B484" s="4"/>
      <c r="C484" s="4"/>
      <c r="D484" s="4"/>
      <c r="E484" s="4"/>
      <c r="F484" s="4"/>
      <c r="G484" s="6"/>
      <c r="H484" s="4"/>
      <c r="I484" s="4"/>
      <c r="J484" s="4"/>
      <c r="K484" s="4" t="str">
        <f t="shared" ca="1" si="15"/>
        <v>Sin fecha</v>
      </c>
      <c r="L484" s="8"/>
      <c r="M484" s="8"/>
      <c r="N484" s="4"/>
      <c r="O484" s="4"/>
      <c r="P484" s="4"/>
      <c r="Q484" s="4"/>
      <c r="R484" s="4"/>
      <c r="S484" s="4"/>
      <c r="T484" s="4"/>
      <c r="U484" s="4"/>
      <c r="V484" s="4"/>
      <c r="W484" s="4"/>
      <c r="X484" s="4"/>
      <c r="Y484" s="4"/>
      <c r="Z484" s="4"/>
      <c r="AA484" s="4"/>
      <c r="AB484" s="6"/>
      <c r="AC484" s="4"/>
      <c r="AD484" s="4"/>
    </row>
    <row r="485" spans="1:30">
      <c r="A485" s="4" t="str">
        <f t="shared" si="16"/>
        <v/>
      </c>
      <c r="B485" s="4"/>
      <c r="C485" s="4"/>
      <c r="D485" s="4"/>
      <c r="E485" s="4"/>
      <c r="F485" s="4"/>
      <c r="G485" s="6"/>
      <c r="H485" s="4"/>
      <c r="I485" s="4"/>
      <c r="J485" s="4"/>
      <c r="K485" s="4" t="str">
        <f t="shared" ca="1" si="15"/>
        <v>Sin fecha</v>
      </c>
      <c r="L485" s="8"/>
      <c r="M485" s="8"/>
      <c r="N485" s="4"/>
      <c r="O485" s="4"/>
      <c r="P485" s="4"/>
      <c r="Q485" s="4"/>
      <c r="R485" s="4"/>
      <c r="S485" s="4"/>
      <c r="T485" s="4"/>
      <c r="U485" s="4"/>
      <c r="V485" s="4"/>
      <c r="W485" s="4"/>
      <c r="X485" s="4"/>
      <c r="Y485" s="4"/>
      <c r="Z485" s="4"/>
      <c r="AA485" s="4"/>
      <c r="AB485" s="6"/>
      <c r="AC485" s="4"/>
      <c r="AD485" s="4"/>
    </row>
    <row r="486" spans="1:30">
      <c r="A486" s="4" t="str">
        <f t="shared" si="16"/>
        <v/>
      </c>
      <c r="B486" s="4"/>
      <c r="C486" s="4"/>
      <c r="D486" s="4"/>
      <c r="E486" s="4"/>
      <c r="F486" s="4"/>
      <c r="G486" s="6"/>
      <c r="H486" s="4"/>
      <c r="I486" s="4"/>
      <c r="J486" s="4"/>
      <c r="K486" s="4" t="str">
        <f t="shared" ca="1" si="15"/>
        <v>Sin fecha</v>
      </c>
      <c r="L486" s="8"/>
      <c r="M486" s="8"/>
      <c r="N486" s="4"/>
      <c r="O486" s="4"/>
      <c r="P486" s="4"/>
      <c r="Q486" s="4"/>
      <c r="R486" s="4"/>
      <c r="S486" s="4"/>
      <c r="T486" s="4"/>
      <c r="U486" s="4"/>
      <c r="V486" s="4"/>
      <c r="W486" s="4"/>
      <c r="X486" s="4"/>
      <c r="Y486" s="4"/>
      <c r="Z486" s="4"/>
      <c r="AA486" s="4"/>
      <c r="AB486" s="6"/>
      <c r="AC486" s="4"/>
      <c r="AD486" s="4"/>
    </row>
    <row r="487" spans="1:30">
      <c r="A487" s="4" t="str">
        <f t="shared" si="16"/>
        <v/>
      </c>
      <c r="B487" s="4"/>
      <c r="C487" s="4"/>
      <c r="D487" s="4"/>
      <c r="E487" s="4"/>
      <c r="F487" s="4"/>
      <c r="G487" s="6"/>
      <c r="H487" s="4"/>
      <c r="I487" s="4"/>
      <c r="J487" s="4"/>
      <c r="K487" s="4" t="str">
        <f t="shared" ca="1" si="15"/>
        <v>Sin fecha</v>
      </c>
      <c r="L487" s="8"/>
      <c r="M487" s="8"/>
      <c r="N487" s="4"/>
      <c r="O487" s="4"/>
      <c r="P487" s="4"/>
      <c r="Q487" s="4"/>
      <c r="R487" s="4"/>
      <c r="S487" s="4"/>
      <c r="T487" s="4"/>
      <c r="U487" s="4"/>
      <c r="V487" s="4"/>
      <c r="W487" s="4"/>
      <c r="X487" s="4"/>
      <c r="Y487" s="4"/>
      <c r="Z487" s="4"/>
      <c r="AA487" s="4"/>
      <c r="AB487" s="6"/>
      <c r="AC487" s="4"/>
      <c r="AD487" s="4"/>
    </row>
    <row r="488" spans="1:30">
      <c r="A488" s="4" t="str">
        <f t="shared" si="16"/>
        <v/>
      </c>
      <c r="B488" s="4"/>
      <c r="C488" s="4"/>
      <c r="D488" s="4"/>
      <c r="E488" s="4"/>
      <c r="F488" s="4"/>
      <c r="G488" s="6"/>
      <c r="H488" s="4"/>
      <c r="I488" s="4"/>
      <c r="J488" s="4"/>
      <c r="K488" s="4" t="str">
        <f t="shared" ca="1" si="15"/>
        <v>Sin fecha</v>
      </c>
      <c r="L488" s="8"/>
      <c r="M488" s="8"/>
      <c r="N488" s="4"/>
      <c r="O488" s="4"/>
      <c r="P488" s="4"/>
      <c r="Q488" s="4"/>
      <c r="R488" s="4"/>
      <c r="S488" s="4"/>
      <c r="T488" s="4"/>
      <c r="U488" s="4"/>
      <c r="V488" s="4"/>
      <c r="W488" s="4"/>
      <c r="X488" s="4"/>
      <c r="Y488" s="4"/>
      <c r="Z488" s="4"/>
      <c r="AA488" s="4"/>
      <c r="AB488" s="6"/>
      <c r="AC488" s="4"/>
      <c r="AD488" s="4"/>
    </row>
    <row r="489" spans="1:30">
      <c r="A489" s="4" t="str">
        <f t="shared" si="16"/>
        <v/>
      </c>
      <c r="B489" s="4"/>
      <c r="C489" s="4"/>
      <c r="D489" s="4"/>
      <c r="E489" s="4"/>
      <c r="F489" s="4"/>
      <c r="G489" s="6"/>
      <c r="H489" s="4"/>
      <c r="I489" s="4"/>
      <c r="J489" s="4"/>
      <c r="K489" s="4" t="str">
        <f t="shared" ca="1" si="15"/>
        <v>Sin fecha</v>
      </c>
      <c r="L489" s="8"/>
      <c r="M489" s="8"/>
      <c r="N489" s="4"/>
      <c r="O489" s="4"/>
      <c r="P489" s="4"/>
      <c r="Q489" s="4"/>
      <c r="R489" s="4"/>
      <c r="S489" s="4"/>
      <c r="T489" s="4"/>
      <c r="U489" s="4"/>
      <c r="V489" s="4"/>
      <c r="W489" s="4"/>
      <c r="X489" s="4"/>
      <c r="Y489" s="4"/>
      <c r="Z489" s="4"/>
      <c r="AA489" s="4"/>
      <c r="AB489" s="6"/>
      <c r="AC489" s="4"/>
      <c r="AD489" s="4"/>
    </row>
    <row r="490" spans="1:30">
      <c r="A490" s="4" t="str">
        <f t="shared" si="16"/>
        <v/>
      </c>
      <c r="B490" s="4"/>
      <c r="C490" s="4"/>
      <c r="D490" s="4"/>
      <c r="E490" s="4"/>
      <c r="F490" s="4"/>
      <c r="G490" s="6"/>
      <c r="H490" s="4"/>
      <c r="I490" s="4"/>
      <c r="J490" s="4"/>
      <c r="K490" s="4" t="str">
        <f t="shared" ca="1" si="15"/>
        <v>Sin fecha</v>
      </c>
      <c r="L490" s="8"/>
      <c r="M490" s="8"/>
      <c r="N490" s="4"/>
      <c r="O490" s="4"/>
      <c r="P490" s="4"/>
      <c r="Q490" s="4"/>
      <c r="R490" s="4"/>
      <c r="S490" s="4"/>
      <c r="T490" s="4"/>
      <c r="U490" s="4"/>
      <c r="V490" s="4"/>
      <c r="W490" s="4"/>
      <c r="X490" s="4"/>
      <c r="Y490" s="4"/>
      <c r="Z490" s="4"/>
      <c r="AA490" s="4"/>
      <c r="AB490" s="6"/>
      <c r="AC490" s="4"/>
      <c r="AD490" s="4"/>
    </row>
    <row r="491" spans="1:30">
      <c r="A491" s="4" t="str">
        <f t="shared" si="16"/>
        <v/>
      </c>
      <c r="B491" s="4"/>
      <c r="C491" s="4"/>
      <c r="D491" s="4"/>
      <c r="E491" s="4"/>
      <c r="F491" s="4"/>
      <c r="G491" s="6"/>
      <c r="H491" s="4"/>
      <c r="I491" s="4"/>
      <c r="J491" s="4"/>
      <c r="K491" s="4" t="str">
        <f t="shared" ca="1" si="15"/>
        <v>Sin fecha</v>
      </c>
      <c r="L491" s="8"/>
      <c r="M491" s="8"/>
      <c r="N491" s="4"/>
      <c r="O491" s="4"/>
      <c r="P491" s="4"/>
      <c r="Q491" s="4"/>
      <c r="R491" s="4"/>
      <c r="S491" s="4"/>
      <c r="T491" s="4"/>
      <c r="U491" s="4"/>
      <c r="V491" s="4"/>
      <c r="W491" s="4"/>
      <c r="X491" s="4"/>
      <c r="Y491" s="4"/>
      <c r="Z491" s="4"/>
      <c r="AA491" s="4"/>
      <c r="AB491" s="6"/>
      <c r="AC491" s="4"/>
      <c r="AD491" s="4"/>
    </row>
    <row r="492" spans="1:30">
      <c r="A492" s="4" t="str">
        <f t="shared" si="16"/>
        <v/>
      </c>
      <c r="B492" s="4"/>
      <c r="C492" s="4"/>
      <c r="D492" s="4"/>
      <c r="E492" s="4"/>
      <c r="F492" s="4"/>
      <c r="G492" s="6"/>
      <c r="H492" s="4"/>
      <c r="I492" s="4"/>
      <c r="J492" s="4"/>
      <c r="K492" s="4" t="str">
        <f t="shared" ca="1" si="15"/>
        <v>Sin fecha</v>
      </c>
      <c r="L492" s="8"/>
      <c r="M492" s="8"/>
      <c r="N492" s="4"/>
      <c r="O492" s="4"/>
      <c r="P492" s="4"/>
      <c r="Q492" s="4"/>
      <c r="R492" s="4"/>
      <c r="S492" s="4"/>
      <c r="T492" s="4"/>
      <c r="U492" s="4"/>
      <c r="V492" s="4"/>
      <c r="W492" s="4"/>
      <c r="X492" s="4"/>
      <c r="Y492" s="4"/>
      <c r="Z492" s="4"/>
      <c r="AA492" s="4"/>
      <c r="AB492" s="6"/>
      <c r="AC492" s="4"/>
      <c r="AD492" s="4"/>
    </row>
    <row r="493" spans="1:30">
      <c r="A493" s="4" t="str">
        <f t="shared" si="16"/>
        <v/>
      </c>
      <c r="B493" s="4"/>
      <c r="C493" s="4"/>
      <c r="D493" s="4"/>
      <c r="E493" s="4"/>
      <c r="F493" s="4"/>
      <c r="G493" s="6"/>
      <c r="H493" s="4"/>
      <c r="I493" s="4"/>
      <c r="J493" s="4"/>
      <c r="K493" s="4" t="str">
        <f t="shared" ca="1" si="15"/>
        <v>Sin fecha</v>
      </c>
      <c r="L493" s="8"/>
      <c r="M493" s="8"/>
      <c r="N493" s="4"/>
      <c r="O493" s="4"/>
      <c r="P493" s="4"/>
      <c r="Q493" s="4"/>
      <c r="R493" s="4"/>
      <c r="S493" s="4"/>
      <c r="T493" s="4"/>
      <c r="U493" s="4"/>
      <c r="V493" s="4"/>
      <c r="W493" s="4"/>
      <c r="X493" s="4"/>
      <c r="Y493" s="4"/>
      <c r="Z493" s="4"/>
      <c r="AA493" s="4"/>
      <c r="AB493" s="6"/>
      <c r="AC493" s="4"/>
      <c r="AD493" s="4"/>
    </row>
    <row r="494" spans="1:30">
      <c r="A494" s="4" t="str">
        <f t="shared" si="16"/>
        <v/>
      </c>
      <c r="B494" s="4"/>
      <c r="C494" s="4"/>
      <c r="D494" s="4"/>
      <c r="E494" s="4"/>
      <c r="F494" s="4"/>
      <c r="G494" s="6"/>
      <c r="H494" s="4"/>
      <c r="I494" s="4"/>
      <c r="J494" s="4"/>
      <c r="K494" s="4" t="str">
        <f t="shared" ca="1" si="15"/>
        <v>Sin fecha</v>
      </c>
      <c r="L494" s="8"/>
      <c r="M494" s="8"/>
      <c r="N494" s="4"/>
      <c r="O494" s="4"/>
      <c r="P494" s="4"/>
      <c r="Q494" s="4"/>
      <c r="R494" s="4"/>
      <c r="S494" s="4"/>
      <c r="T494" s="4"/>
      <c r="U494" s="4"/>
      <c r="V494" s="4"/>
      <c r="W494" s="4"/>
      <c r="X494" s="4"/>
      <c r="Y494" s="4"/>
      <c r="Z494" s="4"/>
      <c r="AA494" s="4"/>
      <c r="AB494" s="6"/>
      <c r="AC494" s="4"/>
      <c r="AD494" s="4"/>
    </row>
    <row r="495" spans="1:30">
      <c r="A495" s="4" t="str">
        <f t="shared" si="16"/>
        <v/>
      </c>
      <c r="B495" s="4"/>
      <c r="C495" s="4"/>
      <c r="D495" s="4"/>
      <c r="E495" s="4"/>
      <c r="F495" s="4"/>
      <c r="G495" s="6"/>
      <c r="H495" s="4"/>
      <c r="I495" s="4"/>
      <c r="J495" s="4"/>
      <c r="K495" s="4" t="str">
        <f t="shared" ca="1" si="15"/>
        <v>Sin fecha</v>
      </c>
      <c r="L495" s="8"/>
      <c r="M495" s="8"/>
      <c r="N495" s="4"/>
      <c r="O495" s="4"/>
      <c r="P495" s="4"/>
      <c r="Q495" s="4"/>
      <c r="R495" s="4"/>
      <c r="S495" s="4"/>
      <c r="T495" s="4"/>
      <c r="U495" s="4"/>
      <c r="V495" s="4"/>
      <c r="W495" s="4"/>
      <c r="X495" s="4"/>
      <c r="Y495" s="4"/>
      <c r="Z495" s="4"/>
      <c r="AA495" s="4"/>
      <c r="AB495" s="6"/>
      <c r="AC495" s="4"/>
      <c r="AD495" s="4"/>
    </row>
    <row r="496" spans="1:30">
      <c r="A496" s="4" t="str">
        <f t="shared" si="16"/>
        <v/>
      </c>
      <c r="B496" s="4"/>
      <c r="C496" s="4"/>
      <c r="D496" s="4"/>
      <c r="E496" s="4"/>
      <c r="F496" s="4"/>
      <c r="G496" s="6"/>
      <c r="H496" s="4"/>
      <c r="I496" s="4"/>
      <c r="J496" s="4"/>
      <c r="K496" s="4" t="str">
        <f t="shared" ca="1" si="15"/>
        <v>Sin fecha</v>
      </c>
      <c r="L496" s="8"/>
      <c r="M496" s="8"/>
      <c r="N496" s="4"/>
      <c r="O496" s="4"/>
      <c r="P496" s="4"/>
      <c r="Q496" s="4"/>
      <c r="R496" s="4"/>
      <c r="S496" s="4"/>
      <c r="T496" s="4"/>
      <c r="U496" s="4"/>
      <c r="V496" s="4"/>
      <c r="W496" s="4"/>
      <c r="X496" s="4"/>
      <c r="Y496" s="4"/>
      <c r="Z496" s="4"/>
      <c r="AA496" s="4"/>
      <c r="AB496" s="6"/>
      <c r="AC496" s="4"/>
      <c r="AD496" s="4"/>
    </row>
    <row r="497" spans="1:30">
      <c r="A497" s="4" t="str">
        <f t="shared" si="16"/>
        <v/>
      </c>
      <c r="B497" s="4"/>
      <c r="C497" s="4"/>
      <c r="D497" s="4"/>
      <c r="E497" s="4"/>
      <c r="F497" s="4"/>
      <c r="G497" s="6"/>
      <c r="H497" s="4"/>
      <c r="I497" s="4"/>
      <c r="J497" s="4"/>
      <c r="K497" s="4" t="str">
        <f t="shared" ca="1" si="15"/>
        <v>Sin fecha</v>
      </c>
      <c r="L497" s="8"/>
      <c r="M497" s="8"/>
      <c r="N497" s="4"/>
      <c r="O497" s="4"/>
      <c r="P497" s="4"/>
      <c r="Q497" s="4"/>
      <c r="R497" s="4"/>
      <c r="S497" s="4"/>
      <c r="T497" s="4"/>
      <c r="U497" s="4"/>
      <c r="V497" s="4"/>
      <c r="W497" s="4"/>
      <c r="X497" s="4"/>
      <c r="Y497" s="4"/>
      <c r="Z497" s="4"/>
      <c r="AA497" s="4"/>
      <c r="AB497" s="6"/>
      <c r="AC497" s="4"/>
      <c r="AD497" s="4"/>
    </row>
    <row r="498" spans="1:30">
      <c r="A498" s="4" t="str">
        <f t="shared" si="16"/>
        <v/>
      </c>
      <c r="B498" s="4"/>
      <c r="C498" s="4"/>
      <c r="D498" s="4"/>
      <c r="E498" s="4"/>
      <c r="F498" s="4"/>
      <c r="G498" s="6"/>
      <c r="H498" s="4"/>
      <c r="I498" s="4"/>
      <c r="J498" s="4"/>
      <c r="K498" s="4" t="str">
        <f t="shared" ca="1" si="15"/>
        <v>Sin fecha</v>
      </c>
      <c r="L498" s="8"/>
      <c r="M498" s="8"/>
      <c r="N498" s="4"/>
      <c r="O498" s="4"/>
      <c r="P498" s="4"/>
      <c r="Q498" s="4"/>
      <c r="R498" s="4"/>
      <c r="S498" s="4"/>
      <c r="T498" s="4"/>
      <c r="U498" s="4"/>
      <c r="V498" s="4"/>
      <c r="W498" s="4"/>
      <c r="X498" s="4"/>
      <c r="Y498" s="4"/>
      <c r="Z498" s="4"/>
      <c r="AA498" s="4"/>
      <c r="AB498" s="6"/>
      <c r="AC498" s="4"/>
      <c r="AD498" s="4"/>
    </row>
    <row r="499" spans="1:30">
      <c r="A499" s="4" t="str">
        <f t="shared" si="16"/>
        <v/>
      </c>
      <c r="B499" s="4"/>
      <c r="C499" s="4"/>
      <c r="D499" s="4"/>
      <c r="E499" s="4"/>
      <c r="F499" s="4"/>
      <c r="G499" s="6"/>
      <c r="H499" s="4"/>
      <c r="I499" s="4"/>
      <c r="J499" s="4"/>
      <c r="K499" s="4" t="str">
        <f t="shared" ca="1" si="15"/>
        <v>Sin fecha</v>
      </c>
      <c r="L499" s="8"/>
      <c r="M499" s="8"/>
      <c r="N499" s="4"/>
      <c r="O499" s="4"/>
      <c r="P499" s="4"/>
      <c r="Q499" s="4"/>
      <c r="R499" s="4"/>
      <c r="S499" s="4"/>
      <c r="T499" s="4"/>
      <c r="U499" s="4"/>
      <c r="V499" s="4"/>
      <c r="W499" s="4"/>
      <c r="X499" s="4"/>
      <c r="Y499" s="4"/>
      <c r="Z499" s="4"/>
      <c r="AA499" s="4"/>
      <c r="AB499" s="6"/>
      <c r="AC499" s="4"/>
      <c r="AD499" s="4"/>
    </row>
  </sheetData>
  <conditionalFormatting sqref="K2:K499">
    <cfRule type="expression" dxfId="2" priority="1">
      <formula>K2="Próxima a vencer"</formula>
    </cfRule>
    <cfRule type="expression" dxfId="1" priority="2">
      <formula>K2="Vencida"</formula>
    </cfRule>
    <cfRule type="expression" dxfId="0" priority="3">
      <formula>K2="Abierta"</formula>
    </cfRule>
  </conditionalFormatting>
  <dataValidations count="2">
    <dataValidation type="list" allowBlank="1" showInputMessage="1" showErrorMessage="1" sqref="F2:F499" xr:uid="{D276CFF5-768A-468D-9AF4-70BEFC205A95}">
      <formula1>ListaPaises</formula1>
    </dataValidation>
    <dataValidation type="date" allowBlank="1" showInputMessage="1" showErrorMessage="1" sqref="G2:G499" xr:uid="{158AF163-2C09-4CF8-8007-D423D0B61CD9}">
      <formula1>46023</formula1>
      <formula2>73050</formula2>
    </dataValidation>
  </dataValidations>
  <hyperlinks>
    <hyperlink ref="Z2" r:id="rId1" xr:uid="{C78E0FCC-4188-4C4C-A1DF-827BFA36AB30}"/>
    <hyperlink ref="Z4" r:id="rId2" xr:uid="{6FD6CFBB-8AC7-447A-A390-86187CC17FA2}"/>
    <hyperlink ref="Z5" r:id="rId3" xr:uid="{CCED399D-0458-4F2B-9991-E34FC4315EA8}"/>
    <hyperlink ref="Z6" r:id="rId4" xr:uid="{66BCF7E3-7DDA-4E14-A4E7-C94F51B98C39}"/>
    <hyperlink ref="AA6" r:id="rId5" xr:uid="{302256B1-F484-4C36-AB85-363645B5A0E2}"/>
    <hyperlink ref="Z7" r:id="rId6" xr:uid="{551CCCCA-EE15-403B-BEEB-BDC8118C57A6}"/>
    <hyperlink ref="AA7" r:id="rId7" xr:uid="{283F7616-924B-434E-8320-B5763E77C5FB}"/>
    <hyperlink ref="Z8" r:id="rId8" xr:uid="{1DE7F1CD-C482-4BB4-B774-573F94DD51B0}"/>
    <hyperlink ref="Z9" r:id="rId9" xr:uid="{B9952CED-6A32-4513-937E-8F1630DC67A4}"/>
    <hyperlink ref="Z10" r:id="rId10" xr:uid="{ABC772D5-C73C-4AD1-A3A3-837DA04A1B9D}"/>
    <hyperlink ref="AA10" r:id="rId11" xr:uid="{82BD6AD1-94ED-4390-8B28-ABBAC4EB827A}"/>
    <hyperlink ref="Z11" r:id="rId12" xr:uid="{F07E4B3D-4F96-4348-A2BA-D4AC28F4BAE0}"/>
    <hyperlink ref="AA11" r:id="rId13" xr:uid="{3F3C0E3C-DF9B-4072-9DAC-DD1C967D7B28}"/>
    <hyperlink ref="Z12" r:id="rId14" xr:uid="{F872502C-FE0A-420C-B938-DBB0CD6B238C}"/>
    <hyperlink ref="Z13" r:id="rId15" xr:uid="{01F0AA5B-D78A-4F19-A009-CF0523CCB418}"/>
    <hyperlink ref="Z14" r:id="rId16" xr:uid="{D05FF4DF-1116-45D3-9B6F-8D7B84418772}"/>
    <hyperlink ref="Z15" r:id="rId17" xr:uid="{6ACE1176-275C-4722-B826-470447F186B4}"/>
    <hyperlink ref="AA15" r:id="rId18" xr:uid="{7F7B90AF-833E-443A-A46D-DBC340742EF5}"/>
    <hyperlink ref="Z16" r:id="rId19" xr:uid="{389666AF-4919-4E77-BA8F-31DD485B4348}"/>
    <hyperlink ref="Z83" r:id="rId20" xr:uid="{F7DA2652-5FEF-4A07-809E-8831DFC33492}"/>
  </hyperlinks>
  <pageMargins left="0.7" right="0.7" top="0.75" bottom="0.75" header="0.3" footer="0.3"/>
  <pageSetup orientation="portrait" verticalDpi="0" r:id="rId21"/>
  <tableParts count="1">
    <tablePart r:id="rId22"/>
  </tableParts>
  <extLst>
    <ext xmlns:x14="http://schemas.microsoft.com/office/spreadsheetml/2009/9/main" uri="{CCE6A557-97BC-4b89-ADB6-D9C93CAAB3DF}">
      <x14:dataValidations xmlns:xm="http://schemas.microsoft.com/office/excel/2006/main" count="9">
        <x14:dataValidation type="list" xr:uid="{00000000-0002-0000-0000-000006000000}">
          <x14:formula1>
            <xm:f>Catálogos!$G$2:$G$9</xm:f>
          </x14:formula1>
          <xm:sqref>P11 P13 P22:P499</xm:sqref>
        </x14:dataValidation>
        <x14:dataValidation type="list" showInputMessage="1" showErrorMessage="1" xr:uid="{AC736489-29FB-4747-821A-CFB72E448B5B}">
          <x14:formula1>
            <xm:f>Catálogos!$G$2:$G$11</xm:f>
          </x14:formula1>
          <xm:sqref>P2:P10</xm:sqref>
        </x14:dataValidation>
        <x14:dataValidation type="list" xr:uid="{A35CBE74-7E2E-474C-A170-1B3127731756}">
          <x14:formula1>
            <xm:f>Catálogos!$G$2:$G$11</xm:f>
          </x14:formula1>
          <xm:sqref>P12 P14:P21</xm:sqref>
        </x14:dataValidation>
        <x14:dataValidation type="list" xr:uid="{00000000-0002-0000-0000-000000000000}">
          <x14:formula1>
            <xm:f>Catálogos!$A$2:$A$3</xm:f>
          </x14:formula1>
          <xm:sqref>B2:B499</xm:sqref>
        </x14:dataValidation>
        <x14:dataValidation type="list" xr:uid="{00000000-0002-0000-0000-000001000000}">
          <x14:formula1>
            <xm:f>Catálogos!$B$2:$B$10</xm:f>
          </x14:formula1>
          <xm:sqref>E2:E499</xm:sqref>
        </x14:dataValidation>
        <x14:dataValidation type="list" xr:uid="{00000000-0002-0000-0000-000002000000}">
          <x14:formula1>
            <xm:f>Catálogos!$C$2:$C$5</xm:f>
          </x14:formula1>
          <xm:sqref>H2:H499</xm:sqref>
        </x14:dataValidation>
        <x14:dataValidation type="list" xr:uid="{00000000-0002-0000-0000-000003000000}">
          <x14:formula1>
            <xm:f>Catálogos!$D$2:$D$10</xm:f>
          </x14:formula1>
          <xm:sqref>I2:I499</xm:sqref>
        </x14:dataValidation>
        <x14:dataValidation type="list" xr:uid="{00000000-0002-0000-0000-000004000000}">
          <x14:formula1>
            <xm:f>Catálogos!$E$2:$E$5</xm:f>
          </x14:formula1>
          <xm:sqref>J2:J499</xm:sqref>
        </x14:dataValidation>
        <x14:dataValidation type="list" xr:uid="{00000000-0002-0000-0000-000005000000}">
          <x14:formula1>
            <xm:f>Catálogos!$F$2:$F$7</xm:f>
          </x14:formula1>
          <xm:sqref>N2:N499</xm:sqref>
        </x14:dataValidation>
      </x14:dataValidation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J11"/>
  <sheetViews>
    <sheetView workbookViewId="0">
      <selection activeCell="J11" sqref="J11"/>
    </sheetView>
  </sheetViews>
  <sheetFormatPr baseColWidth="10" defaultColWidth="9" defaultRowHeight="14.25"/>
  <cols>
    <col min="1" max="1" width="6.75" customWidth="1"/>
    <col min="2" max="2" width="20.375" customWidth="1"/>
    <col min="3" max="3" width="10.75" customWidth="1"/>
    <col min="4" max="4" width="15.625" customWidth="1"/>
    <col min="5" max="5" width="11.75" customWidth="1"/>
    <col min="6" max="6" width="7" customWidth="1"/>
    <col min="7" max="7" width="24.125" bestFit="1" customWidth="1"/>
    <col min="8" max="8" width="18.625" customWidth="1"/>
    <col min="9" max="9" width="18.625" bestFit="1" customWidth="1"/>
    <col min="10" max="10" width="25" customWidth="1"/>
  </cols>
  <sheetData>
    <row r="1" spans="1:10" ht="30">
      <c r="A1" s="1" t="s">
        <v>1</v>
      </c>
      <c r="B1" s="1" t="s">
        <v>4</v>
      </c>
      <c r="C1" s="1" t="s">
        <v>7</v>
      </c>
      <c r="D1" s="1" t="s">
        <v>8</v>
      </c>
      <c r="E1" s="1" t="s">
        <v>9</v>
      </c>
      <c r="F1" s="1" t="s">
        <v>13</v>
      </c>
      <c r="G1" s="1" t="s">
        <v>15</v>
      </c>
      <c r="H1" s="1" t="s">
        <v>16</v>
      </c>
      <c r="I1" s="1" t="s">
        <v>17</v>
      </c>
      <c r="J1" s="1" t="s">
        <v>134</v>
      </c>
    </row>
    <row r="2" spans="1:10">
      <c r="A2" t="s">
        <v>42</v>
      </c>
      <c r="B2" t="s">
        <v>43</v>
      </c>
      <c r="C2" t="s">
        <v>33</v>
      </c>
      <c r="D2" t="s">
        <v>44</v>
      </c>
      <c r="E2" t="s">
        <v>35</v>
      </c>
      <c r="F2" t="s">
        <v>36</v>
      </c>
      <c r="G2" t="s">
        <v>37</v>
      </c>
      <c r="H2" t="s">
        <v>45</v>
      </c>
      <c r="I2" t="s">
        <v>46</v>
      </c>
      <c r="J2" t="s">
        <v>32</v>
      </c>
    </row>
    <row r="3" spans="1:10">
      <c r="A3" t="s">
        <v>30</v>
      </c>
      <c r="B3" t="s">
        <v>47</v>
      </c>
      <c r="C3" t="s">
        <v>48</v>
      </c>
      <c r="D3" t="s">
        <v>49</v>
      </c>
      <c r="E3" t="s">
        <v>50</v>
      </c>
      <c r="F3" t="s">
        <v>51</v>
      </c>
      <c r="G3" t="s">
        <v>52</v>
      </c>
      <c r="H3" t="s">
        <v>53</v>
      </c>
      <c r="I3" t="s">
        <v>54</v>
      </c>
      <c r="J3" t="s">
        <v>135</v>
      </c>
    </row>
    <row r="4" spans="1:10">
      <c r="B4" t="s">
        <v>55</v>
      </c>
      <c r="C4" t="s">
        <v>56</v>
      </c>
      <c r="D4" t="s">
        <v>57</v>
      </c>
      <c r="E4" t="s">
        <v>58</v>
      </c>
      <c r="F4" t="s">
        <v>59</v>
      </c>
      <c r="G4" t="s">
        <v>60</v>
      </c>
      <c r="H4" t="s">
        <v>61</v>
      </c>
      <c r="I4" t="s">
        <v>62</v>
      </c>
      <c r="J4" t="s">
        <v>136</v>
      </c>
    </row>
    <row r="5" spans="1:10">
      <c r="B5" t="s">
        <v>31</v>
      </c>
      <c r="C5" t="s">
        <v>63</v>
      </c>
      <c r="D5" t="s">
        <v>34</v>
      </c>
      <c r="E5" t="s">
        <v>64</v>
      </c>
      <c r="F5" t="s">
        <v>65</v>
      </c>
      <c r="G5" t="s">
        <v>66</v>
      </c>
      <c r="H5" t="s">
        <v>67</v>
      </c>
      <c r="I5" t="s">
        <v>68</v>
      </c>
      <c r="J5" t="s">
        <v>187</v>
      </c>
    </row>
    <row r="6" spans="1:10">
      <c r="B6" t="s">
        <v>69</v>
      </c>
      <c r="D6" t="s">
        <v>70</v>
      </c>
      <c r="F6" t="s">
        <v>71</v>
      </c>
      <c r="G6" t="s">
        <v>72</v>
      </c>
      <c r="H6" t="s">
        <v>73</v>
      </c>
      <c r="I6" t="s">
        <v>74</v>
      </c>
      <c r="J6" t="s">
        <v>202</v>
      </c>
    </row>
    <row r="7" spans="1:10">
      <c r="B7" t="s">
        <v>46</v>
      </c>
      <c r="D7" t="s">
        <v>75</v>
      </c>
      <c r="F7" t="s">
        <v>76</v>
      </c>
      <c r="G7" t="s">
        <v>77</v>
      </c>
      <c r="H7" t="s">
        <v>78</v>
      </c>
      <c r="I7" t="s">
        <v>79</v>
      </c>
      <c r="J7" t="s">
        <v>258</v>
      </c>
    </row>
    <row r="8" spans="1:10">
      <c r="B8" t="s">
        <v>80</v>
      </c>
      <c r="D8" t="s">
        <v>81</v>
      </c>
      <c r="G8" t="s">
        <v>82</v>
      </c>
      <c r="H8" t="s">
        <v>83</v>
      </c>
      <c r="I8" t="s">
        <v>84</v>
      </c>
      <c r="J8" t="s">
        <v>737</v>
      </c>
    </row>
    <row r="9" spans="1:10">
      <c r="B9" t="s">
        <v>62</v>
      </c>
      <c r="D9" t="s">
        <v>22</v>
      </c>
      <c r="G9" t="s">
        <v>84</v>
      </c>
      <c r="J9" t="s">
        <v>957</v>
      </c>
    </row>
    <row r="10" spans="1:10" ht="28.5">
      <c r="B10" t="s">
        <v>84</v>
      </c>
      <c r="D10" t="s">
        <v>84</v>
      </c>
      <c r="G10" s="10" t="s">
        <v>126</v>
      </c>
      <c r="J10" t="s">
        <v>1020</v>
      </c>
    </row>
    <row r="11" spans="1:10">
      <c r="G11" t="s">
        <v>189</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F11"/>
  <sheetViews>
    <sheetView workbookViewId="0">
      <selection sqref="A1:F1"/>
    </sheetView>
  </sheetViews>
  <sheetFormatPr baseColWidth="10" defaultColWidth="9" defaultRowHeight="14.25"/>
  <cols>
    <col min="1" max="1" width="9" customWidth="1"/>
    <col min="2" max="2" width="34" customWidth="1"/>
    <col min="3" max="3" width="38" customWidth="1"/>
    <col min="4" max="4" width="22" customWidth="1"/>
    <col min="5" max="5" width="30" customWidth="1"/>
    <col min="6" max="6" width="14" customWidth="1"/>
  </cols>
  <sheetData>
    <row r="1" spans="1:6" ht="33.950000000000003" customHeight="1">
      <c r="A1" s="15" t="s">
        <v>85</v>
      </c>
      <c r="B1" s="15"/>
      <c r="C1" s="15"/>
      <c r="D1" s="15"/>
      <c r="E1" s="15"/>
      <c r="F1" s="15"/>
    </row>
    <row r="3" spans="1:6" ht="15">
      <c r="A3" s="9" t="s">
        <v>86</v>
      </c>
      <c r="B3" s="9" t="s">
        <v>87</v>
      </c>
      <c r="C3" s="9" t="s">
        <v>88</v>
      </c>
      <c r="D3" s="9" t="s">
        <v>89</v>
      </c>
      <c r="E3" s="9" t="s">
        <v>90</v>
      </c>
      <c r="F3" s="9" t="s">
        <v>91</v>
      </c>
    </row>
    <row r="4" spans="1:6" ht="28.5">
      <c r="A4" s="4">
        <v>1</v>
      </c>
      <c r="B4" s="4" t="s">
        <v>92</v>
      </c>
      <c r="C4" s="4" t="s">
        <v>93</v>
      </c>
      <c r="D4" s="4" t="s">
        <v>94</v>
      </c>
      <c r="E4" s="4" t="s">
        <v>95</v>
      </c>
      <c r="F4" s="4" t="s">
        <v>42</v>
      </c>
    </row>
    <row r="5" spans="1:6" ht="28.5">
      <c r="A5" s="4">
        <v>2</v>
      </c>
      <c r="B5" s="4" t="s">
        <v>96</v>
      </c>
      <c r="C5" s="4" t="s">
        <v>97</v>
      </c>
      <c r="D5" s="4" t="s">
        <v>6</v>
      </c>
      <c r="E5" s="4" t="s">
        <v>98</v>
      </c>
      <c r="F5" s="4" t="s">
        <v>99</v>
      </c>
    </row>
    <row r="6" spans="1:6">
      <c r="A6" s="4">
        <v>3</v>
      </c>
      <c r="B6" s="4" t="s">
        <v>100</v>
      </c>
      <c r="C6" s="4" t="s">
        <v>101</v>
      </c>
      <c r="D6" s="4" t="s">
        <v>102</v>
      </c>
      <c r="E6" s="4" t="s">
        <v>103</v>
      </c>
      <c r="F6" s="4" t="s">
        <v>104</v>
      </c>
    </row>
    <row r="7" spans="1:6" ht="28.5">
      <c r="A7" s="4">
        <v>4</v>
      </c>
      <c r="B7" s="4" t="s">
        <v>105</v>
      </c>
      <c r="C7" s="4" t="s">
        <v>106</v>
      </c>
      <c r="D7" s="4" t="s">
        <v>107</v>
      </c>
      <c r="E7" s="4" t="s">
        <v>37</v>
      </c>
      <c r="F7" s="4" t="s">
        <v>42</v>
      </c>
    </row>
    <row r="8" spans="1:6">
      <c r="A8" s="4">
        <v>5</v>
      </c>
      <c r="B8" s="4" t="s">
        <v>108</v>
      </c>
      <c r="C8" s="4" t="s">
        <v>109</v>
      </c>
      <c r="D8" s="4" t="s">
        <v>25</v>
      </c>
      <c r="E8" s="4" t="s">
        <v>110</v>
      </c>
      <c r="F8" s="4" t="s">
        <v>42</v>
      </c>
    </row>
    <row r="9" spans="1:6" ht="28.5">
      <c r="A9" s="4">
        <v>6</v>
      </c>
      <c r="B9" s="4" t="s">
        <v>111</v>
      </c>
      <c r="C9" s="4" t="s">
        <v>112</v>
      </c>
      <c r="D9" s="4" t="s">
        <v>27</v>
      </c>
      <c r="E9" s="4" t="s">
        <v>113</v>
      </c>
      <c r="F9" s="4" t="s">
        <v>42</v>
      </c>
    </row>
    <row r="10" spans="1:6">
      <c r="A10" s="4">
        <v>7</v>
      </c>
      <c r="B10" s="4" t="s">
        <v>114</v>
      </c>
      <c r="C10" s="4" t="s">
        <v>115</v>
      </c>
      <c r="D10" s="4" t="s">
        <v>1</v>
      </c>
      <c r="E10" s="4" t="s">
        <v>116</v>
      </c>
      <c r="F10" s="4" t="s">
        <v>42</v>
      </c>
    </row>
    <row r="11" spans="1:6" ht="28.5">
      <c r="A11" s="4">
        <v>8</v>
      </c>
      <c r="B11" s="4" t="s">
        <v>117</v>
      </c>
      <c r="C11" s="4" t="s">
        <v>118</v>
      </c>
      <c r="D11" s="4" t="s">
        <v>10</v>
      </c>
      <c r="E11" s="4" t="s">
        <v>119</v>
      </c>
      <c r="F11" s="4" t="s">
        <v>120</v>
      </c>
    </row>
  </sheetData>
  <mergeCells count="1">
    <mergeCell ref="A1:F1"/>
  </mergeCell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3</vt:i4>
      </vt:variant>
    </vt:vector>
  </HeadingPairs>
  <TitlesOfParts>
    <vt:vector size="3" baseType="lpstr">
      <vt:lpstr>Oportunidades</vt:lpstr>
      <vt:lpstr>Catálogos</vt:lpstr>
      <vt:lpstr>Guía de uso</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WILSON RAMIREZ ALMONTE</dc:creator>
  <cp:lastModifiedBy>WILSON RAMIREZ ALMONTE</cp:lastModifiedBy>
  <dcterms:created xsi:type="dcterms:W3CDTF">2026-07-15T13:38:12Z</dcterms:created>
  <dcterms:modified xsi:type="dcterms:W3CDTF">2026-07-23T17:12:59Z</dcterms:modified>
</cp:coreProperties>
</file>