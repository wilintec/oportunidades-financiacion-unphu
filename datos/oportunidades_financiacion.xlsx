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web\portal_financiamiento_github\datos\"/>
    </mc:Choice>
  </mc:AlternateContent>
  <xr:revisionPtr revIDLastSave="3" documentId="13_ncr:1_{1C8BC400-E995-42A4-AD2F-852A6B3ABAD0}" xr6:coauthVersionLast="36" xr6:coauthVersionMax="36" xr10:uidLastSave="{4CAF48B7-30E7-44F1-9225-C2FE8CCE66C7}"/>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<sst xmlns="http://schemas.openxmlformats.org/spreadsheetml/2006/main" count="3341" uniqueCount="1808">
  <si>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</si>
  <si>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</si>
  <si>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</si>
  <si>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</si>
  <si>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</si>
  <si>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</si>
  <si>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</si>
  <si>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</si>
  <si>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</si>
  <si>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</si>
  <si>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</si>
  <si>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</si>
  <si>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</si>
  <si>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</si>
  <si>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</si>
  <si>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</si>
  <si>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</si>
  <si>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</si>
  <si>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</si>
  <si>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</si>
  <si>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</si>
  <si>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</si>
  <si>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</si>
  <si>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</si>
  <si>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</si>
  <si>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</si>
  <si>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</si>
  <si>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</si>
  <si>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</si>
  <si>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</si>
  <si>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</si>
  <si>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</si>
  <si>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</si>
  <si>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</si>
  <si>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</si>
  <si>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</si>
  <si>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</si>
  <si>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</si>
  <si>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</si>
  <si>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</si>
  <si>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</si>
  <si>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</si>
  <si>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</si>
  <si>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</si>
  <si>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</si>
  <si>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</si>
  <si>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</si>
  <si>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</si>
  <si>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</si>
  <si>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</si>
  <si>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</si>
  <si>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</si>
  <si>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</si>
  <si>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</si>
  <si>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</si>
  <si>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</si>
  <si>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</si>
  <si>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</si>
  <si>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</si>
  <si>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</si>
  <si>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</si>
  <si>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</si>
  <si>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</si>
  <si>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</si>
  <si>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</si>
  <si>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</si>
  <si>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</si>
  <si>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</si>
  <si>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</si>
  <si>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</si>
  <si>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</si>
  <si>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</si>
  <si>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</si>
  <si>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</si>
  <si>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</si>
  <si>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</si>
  <si>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</si>
  <si>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</si>
  <si>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</si>
  <si>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</si>
  <si>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</si>
  <si>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</si>
  <si>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</si>
  <si>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</si>
  <si>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</si>
  <si>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</si>
  <si>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</si>
  <si>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</si>
  <si>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</si>
  <si>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</si>
  <si>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</si>
  <si>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</si>
  <si>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</si>
  <si>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</si>
  <si>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</si>
  <si>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</si>
  <si>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</si>
  <si>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</si>
  <si>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</si>
  <si>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</si>
  <si>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</si>
  <si>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</si>
  <si>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</si>
  <si>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</si>
  <si>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</si>
  <si>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</si>
  <si>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</si>
  <si>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</si>
  <si>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</si>
  <si>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</si>
  <si>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</si>
  <si>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</si>
  <si>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</si>
  <si>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</si>
  <si>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</si>
  <si>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</si>
  <si>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</si>
  <si>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</si>
  <si>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</si>
  <si>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</si>
  <si>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</si>
  <si>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</si>
  <si>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</si>
  <si>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</si>
  <si>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</si>
  <si>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</si>
  <si>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</si>
  <si>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</si>
  <si>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</si>
  <si>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</si>
  <si>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</si>
  <si>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</si>
  <si>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</si>
  <si>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</si>
  <si>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</si>
  <si>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</si>
  <si>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</si>
  <si>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</si>
  <si>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</si>
  <si>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</si>
  <si>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</si>
  <si>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</si>
  <si>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</si>
  <si>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</si>
  <si>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</si>
  <si>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</si>
  <si>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</si>
  <si>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</si>
  <si>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</si>
  <si>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</si>
  <si>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</si>
  <si>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</si>
  <si>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</si>
  <si>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</si>
  <si>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</si>
  <si>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</si>
  <si>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</si>
  <si>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</si>
  <si>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</si>
  <si>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</si>
  <si>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</si>
  <si>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</si>
  <si>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</si>
  <si>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</si>
  <si>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</si>
  <si>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</si>
  <si>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</si>
  <si>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</si>
  <si>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</si>
  <si>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</si>
  <si>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</si>
  <si>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</si>
  <si>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</si>
  <si>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</si>
  <si>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</si>
  <si>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</si>
  <si>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</si>
  <si>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</si>
  <si>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</si>
  <si>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</si>
  <si>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</si>
  <si>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</si>
  <si>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</si>
  <si>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</si>
  <si>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</si>
  <si>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</si>
  <si>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</si>
  <si>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</si>
  <si>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</si>
  <si>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</si>
  <si>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</si>
  <si>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</si>
  <si>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</si>
  <si>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</si>
  <si>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</si>
  <si>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</si>
  <si>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</si>
  <si>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</si>
  <si>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</si>
  <si>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</si>
  <si>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</si>
  <si>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</si>
  <si>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</si>
  <si>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</si>
  <si>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</si>
  <si>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</si>
  <si>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</si>
  <si>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</si>
  <si>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</si>
  <si>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</si>
  <si>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</si>
  <si>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</si>
  <si>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</si>
  <si>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</si>
  <si>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</si>
  <si>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</si>
  <si>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</si>
  <si>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</si>
  <si>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</si>
  <si>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</si>
  <si>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</si>
  <si>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</si>
  <si>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</si>
  <si>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</si>
  <si>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</si>
  <si>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</si>
  <si>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</si>
  <si>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</si>
  <si>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</si>
  <si>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</si>
  <si>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</si>
  <si>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</si>
  <si>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</si>
  <si>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</si>
  <si>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</si>
  <si>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</si>
  <si>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</si>
  <si>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</si>
  <si>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</si>
  <si>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</si>
  <si>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</si>
  <si>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</si>
  <si>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</si>
  <si>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</si>
  <si>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</si>
  <si>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</si>
  <si>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</si>
  <si>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</si>
  <si>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</si>
  <si>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</si>
  <si>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</si>
  <si>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</si>
  <si>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</si>
  <si>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</si>
  <si>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</si>
  <si>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</si>
  <si>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</si>
  <si>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</si>
  <si>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</si>
  <si>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</si>
  <si>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</si>
  <si>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</si>
  <si>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</si>
  <si>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</si>
  <si>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</si>
  <si>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</si>
  <si>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</si>
  <si>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</si>
  <si>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</si>
  <si>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</si>
  <si>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</si>
  <si>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</si>
  <si>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</si>
  <si>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</si>
  <si>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</si>
  <si>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</si>
  <si>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</si>
  <si>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</si>
  <si>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</si>
  <si>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</si>
  <si>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</si>
  <si>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</si>
  <si>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</si>
  <si>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</si>
  <si>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</si>
  <si>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</si>
  <si>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</si>
  <si>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</si>
  <si>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</si>
  <si>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</si>
  <si>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</si>
  <si>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</si>
  <si>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</si>
  <si>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</si>
  <si>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</si>
  <si>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</si>
  <si>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</si>
  <si>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</si>
  <si>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</si>
  <si>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</si>
  <si>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</si>
  <si>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</si>
  <si>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</si>
  <si>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</si>
  <si>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</si>
  <si>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</si>
  <si>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</si>
  <si>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</si>
  <si>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</si>
  <si>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</si>
  <si>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</si>
  <si>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</si>
  <si>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</si>
  <si>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</si>
  <si>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</si>
  <si>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</si>
  <si>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</si>
  <si>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</si>
  <si>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</si>
  <si>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</si>
  <si>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</si>
  <si>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</si>
  <si>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</si>
  <si>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</si>
  <si>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</si>
  <si>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</si>
  <si>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</si>
  <si>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</si>
  <si>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</si>
  <si>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</si>
  <si>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</si>
  <si>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</si>
  <si>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</si>
  <si>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</si>
  <si>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</si>
  <si>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</si>
  <si>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</si>
  <si>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</si>
  <si>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</si>
  <si>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</si>
  <si>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</si>
  <si>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</si>
  <si>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</si>
  <si>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</si>
  <si>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</si>
  <si>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</si>
  <si>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</si>
  <si>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</si>
  <si>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</si>
  <si>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</si>
  <si>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</si>
  <si>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</si>
  <si>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</si>
  <si>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</si>
  <si>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</si>
  <si>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</si>
  <si>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</si>
  <si>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</si>
  <si>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</si>
  <si>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</si>
  <si>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</si>
  <si>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</si>
  <si>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</si>
  <si>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</si>
  <si>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</si>
  <si>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</si>
  <si>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</si>
  <si>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</si>
  <si>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</si>
  <si>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</si>
  <si>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</si>
  <si>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</si>
  <si>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</si>
  <si>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</si>
  <si>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</si>
  <si>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</si>
  <si>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</si>
  <si>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</si>
  <si>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</si>
  <si>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</si>
  <si>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</si>
  <si>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</si>
  <si>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</si>
  <si>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</si>
  <si>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</si>
  <si>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</si>
  <si>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</si>
  <si>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</si>
  <si>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</si>
  <si>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</si>
  <si>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</si>
  <si>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</si>
  <si>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</si>
  <si>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</si>
  <si>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</si>
  <si>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</si>
  <si>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</si>
  <si>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</si>
  <si>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</si>
  <si>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</si>
  <si>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</si>
  <si>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</si>
  <si>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</si>
  <si>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</si>
  <si>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</si>
  <si>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</si>
  <si>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</si>
  <si>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</si>
  <si>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</si>
  <si>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</si>
  <si>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</si>
  <si>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</si>
  <si>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</si>
  <si>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</si>
  <si>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</si>
  <si>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</si>
  <si>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</si>
  <si>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</si>
  <si>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</si>
  <si>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</si>
  <si>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</si>
  <si>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</si>
  <si>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</si>
  <si>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</si>
  <si>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</si>
  <si>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</si>
  <si>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</si>
  <si>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</si>
  <si>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</si>
  <si>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</si>
  <si>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</si>
  <si>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</si>
  <si>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</si>
  <si>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</si>
  <si>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</si>
  <si>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</si>
  <si>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</si>
  <si>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</si>
  <si>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</si>
  <si>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</si>
  <si>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</si>
  <si>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</si>
  <si>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</si>
  <si>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</si>
  <si>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</si>
  <si>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</si>
  <si>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</si>
  <si>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</si>
  <si>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</si>
  <si>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</si>
  <si>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</si>
  <si>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</si>
  <si>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</si>
  <si>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</si>
  <si>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</si>
  <si>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</si>
  <si>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</si>
  <si>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</si>
  <si>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</si>
  <si>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</si>
  <si>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</si>
  <si>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</si>
  <si>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</si>
  <si>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</si>
  <si>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</si>
  <si>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</si>
  <si>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</si>
  <si>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</si>
  <si>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</si>
  <si>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</si>
  <si>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</si>
  <si>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</si>
  <si>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</si>
  <si>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</si>
  <si>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</si>
  <si>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</si>
  <si>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</si>
  <si>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</si>
  <si>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</si>
  <si>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</si>
  <si>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</si>
  <si>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</si>
  <si>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</si>
  <si>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</si>
  <si>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</si>
  <si>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</si>
  <si>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</si>
  <si>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</si>
  <si>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</si>
  <si>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</si>
  <si>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</si>
  <si>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</si>
  <si>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</si>
  <si>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</si>
  <si>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</si>
  <si>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</si>
  <si>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</si>
  <si>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</si>
  <si>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</si>
  <si>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</si>
  <si>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</si>
  <si>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</si>
  <si>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</si>
  <si>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</si>
  <si>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</si>
  <si>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</si>
  <si>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</si>
  <si>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</si>
  <si>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</si>
  <si>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</si>
  <si>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</si>
  <si>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</si>
  <si>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</si>
  <si>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</si>
  <si>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</si>
  <si>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</si>
  <si>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</si>
  <si>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</si>
  <si>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</si>
  <si>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</si>
  <si>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</si>
  <si>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</si>
  <si>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</si>
  <si>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</si>
  <si>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</si>
  <si>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</si>
  <si>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</si>
  <si>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</si>
  <si>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</si>
  <si>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</si>
  <si>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</si>
  <si>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</si>
  <si>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</si>
  <si>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</si>
  <si>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</si>
  <si>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</si>
  <si>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</si>
  <si>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</si>
  <si>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</si>
  <si>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</si>
  <si>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</si>
  <si>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</si>
  <si>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</si>
  <si>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</si>
  <si>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</si>
  <si>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</si>
  <si>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</si>
  <si>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</si>
  <si>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</si>
  <si>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</si>
  <si>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</si>
  <si>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</si>
  <si>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</si>
  <si>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</si>
  <si>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</si>
  <si>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</si>
  <si>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</si>
  <si>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</si>
  <si>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</si>
  <si>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</si>
  <si>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</si>
  <si>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</si>
  <si>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</si>
  <si>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</si>
  <si>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</si>
  <si>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</si>
  <si>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</si>
  <si>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</si>
  <si>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</si>
  <si>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</si>
  <si>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</si>
  <si>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</si>
  <si>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</si>
  <si>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</si>
  <si>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</si>
  <si>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</si>
  <si>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</si>
  <si>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</si>
  <si>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</si>
  <si>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</si>
  <si>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</si>
  <si>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</si>
  <si>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</si>
  <si>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</si>
  <si>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</si>
  <si>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</si>
  <si>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</si>
  <si>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</si>
  <si>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</si>
  <si>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</si>
  <si>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</si>
  <si>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</si>
  <si>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</si>
  <si>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</si>
  <si>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</si>
  <si>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</si>
  <si>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</si>
  <si>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</si>
  <si>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</si>
  <si>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</si>
  <si>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</si>
  <si>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</si>
  <si>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</si>
  <si>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</si>
  <si>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</si>
  <si>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</si>
  <si>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</si>
  <si>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</si>
  <si>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</si>
  <si>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</si>
  <si>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</si>
  <si>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</si>
  <si>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</si>
  <si>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</si>
  <si>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</si>
  <si>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</si>
  <si>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</si>
  <si>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</si>
  <si>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</si>
  <si>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</si>
  <si>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</si>
  <si>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</si>
  <si>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</si>
  <si>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</si>
  <si>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</si>
  <si>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</si>
  <si>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</si>
  <si>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</si>
  <si>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</si>
  <si>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</si>
  <si>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</si>
  <si>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</si>
  <si>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</si>
  <si>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</si>
  <si>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</si>
  <si>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</si>
  <si>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</si>
  <si>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</si>
  <si>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</si>
  <si>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</si>
  <si>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</si>
  <si>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</si>
  <si>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</si>
  <si>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</si>
  <si>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</si>
  <si>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</si>
  <si>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</si>
  <si>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</si>
  <si>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</si>
  <si>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</si>
  <si>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</si>
  <si>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</si>
  <si>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</si>
  <si>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</si>
  <si>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</si>
  <si>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</si>
  <si>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</si>
  <si>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</si>
  <si>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</si>
  <si>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</si>
  <si>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</si>
  <si>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</si>
  <si>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</si>
  <si>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</si>
  <si>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</si>
  <si>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</si>
  <si>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</si>
  <si>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</si>
  <si>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</si>
  <si>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</si>
  <si>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</si>
  <si>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</si>
  <si>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</si>
  <si>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</si>
  <si>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</si>
  <si>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</si>
  <si>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</si>
  <si>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</si>
  <si>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</si>
  <si>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</si>
  <si>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</si>
  <si>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</si>
  <si>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</si>
  <si>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</si>
  <si>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</si>
  <si>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</si>
  <si>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</si>
  <si>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</si>
  <si>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</si>
  <si>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</si>
  <si>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</si>
  <si>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</si>
  <si>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</si>
  <si>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</si>
  <si>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</si>
  <si>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</si>
  <si>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</si>
  <si>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</si>
  <si>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</si>
  <si>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</si>
  <si>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</si>
  <si>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</si>
  <si>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</si>
  <si>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</si>
  <si>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</si>
  <si>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</si>
  <si>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</si>
  <si>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</si>
  <si>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</si>
  <si>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</si>
  <si>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</si>
  <si>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</si>
  <si>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</si>
  <si>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</si>
  <si>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</si>
  <si>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</si>
  <si>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</si>
  <si>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</si>
  <si>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</si>
  <si>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</si>
  <si>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</si>
  <si>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</si>
  <si>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</si>
  <si>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</si>
  <si>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</si>
  <si>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</si>
  <si>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</si>
  <si>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</si>
  <si>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</si>
  <si>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</si>
  <si>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</si>
  <si>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</si>
  <si>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</si>
  <si>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</si>
  <si>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</si>
  <si>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</si>
  <si>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</si>
  <si>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</si>
  <si>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</si>
  <si>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</si>
  <si>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</si>
  <si>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</si>
  <si>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</si>
  <si>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</si>
  <si>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</si>
  <si>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</si>
  <si>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</si>
  <si>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</si>
  <si>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</si>
  <si>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</si>
  <si>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</si>
  <si>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</si>
  <si>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</si>
  <si>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</si>
  <si>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</si>
  <si>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</si>
  <si>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</si>
  <si>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</si>
  <si>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</si>
  <si>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</si>
  <si>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</si>
  <si>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</si>
  <si>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</si>
  <si>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</si>
  <si>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</si>
  <si>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</si>
  <si>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</si>
  <si>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</si>
  <si>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</si>
  <si>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</si>
  <si>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</si>
  <si>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</si>
  <si>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</si>
  <si>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</si>
  <si>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</si>
  <si>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</si>
  <si>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</si>
  <si>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</si>
  <si>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</si>
  <si>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</si>
  <si>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</si>
  <si>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</si>
  <si>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</si>
  <si>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</si>
  <si>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</si>
  <si>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</si>
  <si>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</si>
  <si>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</si>
  <si>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</si>
  <si>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</si>
  <si>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</si>
  <si>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</si>
  <si>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</si>
  <si>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</si>
  <si>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</si>
  <si>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</si>
  <si>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</si>
  <si>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</si>
  <si>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</si>
  <si>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</si>
  <si>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</si>
  <si>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</si>
  <si>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</si>
  <si>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</si>
  <si>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</si>
  <si>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</si>
  <si>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</si>
  <si>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</si>
  <si>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</si>
  <si>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</si>
  <si>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</si>
  <si>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</si>
  <si>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</si>
  <si>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</si>
  <si>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</si>
  <si>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</si>
  <si>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</si>
  <si>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</si>
  <si>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</si>
  <si>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</si>
  <si>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</si>
  <si>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</si>
  <si>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</si>
  <si>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</si>
  <si>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</si>
  <si>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</si>
  <si>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</si>
  <si>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</si>
  <si>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</si>
  <si>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</si>
  <si>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</si>
  <si>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</si>
  <si>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</si>
  <si>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</si>
  <si>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</si>
  <si>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</si>
  <si>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</si>
  <si>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</si>
  <si>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</si>
  <si>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</si>
  <si>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</si>
  <si>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</si>
  <si>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</si>
  <si>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</si>
  <si>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</si>
  <si>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</si>
  <si>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</si>
  <si>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</si>
  <si>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</si>
  <si>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</si>
  <si>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</si>
  <si>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</si>
  <si>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</si>
  <si>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</si>
  <si>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</si>
  <si>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</si>
  <si>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</si>
  <si>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</si>
  <si>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</si>
  <si>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</si>
  <si>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</si>
  <si>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</si>
  <si>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</si>
  <si>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</si>
  <si>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</si>
  <si>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</si>
  <si>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</si>
  <si>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</si>
  <si>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</si>
  <si>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</si>
  <si>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</si>
  <si>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</si>
  <si>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</si>
  <si>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</si>
  <si>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</si>
  <si>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</si>
  <si>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</si>
  <si>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</si>
  <si>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</si>
  <si>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</si>
  <si>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</si>
  <si>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</si>
  <si>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</si>
  <si>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</si>
  <si>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</si>
  <si>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</si>
  <si>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</si>
  <si>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</si>
  <si>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</si>
  <si>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</si>
  <si>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</si>
  <si>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</si>
  <si>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</si>
  <si>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</si>
  <si>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</si>
  <si>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</si>
  <si>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</si>
  <si>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</si>
  <si>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</si>
  <si>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</si>
  <si>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</si>
  <si>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</si>
  <si>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</si>
  <si>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</si>
  <si>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</si>
  <si>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</si>
  <si>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</si>
  <si>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</si>
  <si>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</si>
  <si>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</si>
  <si>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</si>
  <si>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</si>
  <si>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</si>
  <si>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</si>
  <si>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</si>
  <si>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</si>
  <si>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</si>
  <si>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</si>
  <si>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</si>
  <si>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</si>
  <si>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</si>
  <si>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</si>
  <si>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</si>
  <si>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</si>
  <si>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</si>
  <si>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</si>
  <si>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</si>
  <si>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</si>
  <si>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</si>
  <si>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</si>
  <si>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</si>
  <si>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</si>
  <si>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</si>
  <si>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</si>
  <si>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</si>
  <si>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</si>
  <si>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</si>
  <si>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</si>
  <si>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</si>
  <si>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</si>
  <si>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</si>
  <si>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</si>
  <si>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</si>
  <si>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</si>
  <si>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</si>
  <si>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</si>
  <si>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</si>
  <si>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</si>
  <si>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</si>
  <si>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</si>
  <si>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</si>
  <si>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</si>
  <si>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</si>
  <si>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</si>
  <si>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</si>
  <si>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</si>
  <si>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</si>
  <si>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</si>
  <si>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</si>
  <si>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</si>
  <si>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</si>
  <si>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</si>
  <si>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</si>
  <si>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</si>
  <si>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</si>
  <si>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</si>
  <si>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</si>
  <si>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</si>
  <si>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</si>
  <si>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</si>
  <si>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</si>
  <si>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</si>
  <si>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</si>
  <si>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</si>
  <si>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</si>
  <si>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</si>
  <si>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</si>
  <si>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</si>
  <si>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</si>
  <si>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</si>
  <si>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</si>
  <si>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</si>
  <si>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</si>
  <si>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</si>
  <si>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</si>
  <si>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</si>
  <si>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</si>
  <si>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</si>
  <si>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</si>
  <si>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</si>
  <si>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</si>
  <si>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</si>
  <si>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</si>
  <si>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</si>
  <si>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</si>
  <si>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</si>
  <si>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</si>
  <si>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</si>
  <si>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</si>
  <si>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</si>
  <si>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</si>
  <si>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</si>
  <si>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</si>
  <si>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</si>
  <si>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</si>
  <si>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</si>
  <si>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</si>
  <si>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</si>
  <si>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</si>
  <si>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</si>
  <si>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</si>
  <si>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</si>
  <si>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</si>
  <si>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</si>
  <si>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</si>
  <si>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</si>
  <si>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</si>
  <si>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</si>
  <si>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</si>
  <si>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</si>
  <si>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</si>
  <si>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</si>
  <si>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</si>
  <si>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</si>
  <si>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</si>
  <si>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</si>
  <si>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</si>
  <si>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</si>
  <si>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</si>
  <si>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</si>
  <si>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</si>
  <si>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</si>
  <si>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</si>
  <si>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</si>
  <si>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</si>
  <si>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</si>
  <si>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</si>
  <si>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</si>
  <si>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</si>
  <si>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</si>
  <si>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</si>
  <si>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</si>
  <si>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</si>
  <si>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</si>
  <si>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</si>
  <si>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</si>
  <si>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</si>
  <si>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</si>
  <si>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</si>
  <si>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</si>
  <si>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</si>
  <si>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</si>
  <si>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</si>
  <si>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</si>
  <si>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</si>
  <si>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</si>
  <si>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</si>
  <si>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</si>
  <si>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</si>
  <si>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</si>
  <si>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</si>
  <si>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</si>
  <si>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</si>
  <si>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</si>
  <si>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</si>
  <si>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</si>
  <si>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</si>
  <si>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</si>
  <si>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</si>
  <si>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</si>
  <si>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</si>
  <si>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</si>
  <si>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</si>
  <si>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</si>
  <si>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</si>
  <si>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</si>
  <si>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</si>
  <si>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</si>
  <si>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</si>
  <si>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</si>
  <si>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</si>
  <si>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</si>
  <si>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</si>
  <si>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</si>
  <si>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</si>
  <si>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</si>
  <si>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</si>
  <si>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</si>
  <si>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</si>
  <si>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</si>
  <si>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</si>
  <si>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</si>
  <si>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</si>
  <si>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</si>
  <si>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</si>
  <si>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</si>
  <si>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</si>
  <si>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</si>
  <si>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</si>
  <si>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</si>
  <si>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</si>
  <si>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</si>
  <si>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</si>
  <si>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</si>
  <si>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</si>
  <si>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</si>
  <si>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</si>
  <si>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</si>
  <si>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</si>
  <si>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</si>
  <si>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</si>
  <si>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</si>
  <si>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</si>
  <si>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</si>
  <si>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</si>
  <si>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</si>
  <si>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</si>
  <si>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</si>
  <si>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</si>
  <si>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</si>
  <si>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</si>
  <si>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</si>
  <si>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</si>
  <si>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</si>
  <si>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</si>
  <si>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</si>
  <si>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</si>
  <si>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</si>
  <si>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</si>
  <si>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</si>
  <si>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</si>
  <si>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</si>
  <si>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</si>
  <si>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</si>
  <si>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</si>
  <si>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</si>
  <si>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</si>
  <si>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</si>
  <si>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</si>
  <si>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</si>
  <si>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</si>
  <si>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</si>
  <si>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</si>
  <si>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</si>
  <si>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</si>
  <si>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</si>
  <si>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</si>
  <si>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</si>
  <si>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</si>
  <si>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</si>
  <si>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</si>
  <si>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</si>
  <si>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</si>
  <si>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</si>
  <si>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</si>
  <si>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</si>
  <si>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</si>
  <si>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</si>
  <si>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</si>
  <si>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</si>
  <si>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</si>
  <si>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</si>
  <si>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</si>
  <si>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</si>
  <si>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</si>
  <si>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</si>
  <si>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</si>
  <si>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</si>
  <si>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</si>
  <si>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</si>
  <si>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</si>
  <si>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</si>
  <si>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</si>
  <si>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</si>
  <si>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</si>
  <si>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</si>
  <si>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</si>
  <si>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</si>
  <si>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</si>
  <si>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</si>
  <si>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</si>
  <si>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</si>
  <si>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</si>
  <si>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</si>
  <si>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</si>
  <si>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</si>
  <si>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</si>
  <si>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</si>
  <si>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</si>
  <si>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</si>
  <si>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</si>
  <si>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</si>
  <si>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</si>
  <si>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</si>
  <si>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</si>
  <si>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</si>
  <si>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</si>
  <si>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</si>
  <si>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</si>
  <si>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</si>
  <si>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</si>
  <si>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</si>
  <si>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</si>
  <si>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</si>
  <si>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</si>
  <si>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</si>
  <si>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</si>
  <si>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</si>
  <si>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</si>
  <si>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</si>
  <si>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</si>
  <si>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</si>
  <si>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</si>
  <si>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</si>
  <si>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</si>
  <si>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</si>
  <si>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</si>
  <si>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</si>
  <si>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</si>
  <si>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</si>
  <si>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</si>
  <si>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</si>
  <si>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</si>
  <si>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</si>
  <si>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</si>
  <si>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</si>
  <si>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</si>
  <si>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</si>
  <si>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</si>
  <si>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</si>
  <si>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</si>
  <si>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</si>
  <si>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</si>
  <si>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</si>
  <si>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</si>
  <si>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</si>
  <si>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</si>
  <si>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</si>
  <si>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</si>
  <si>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</si>
  <si>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</si>
  <si>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</si>
  <si>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</si>
  <si>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</si>
  <si>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</si>
  <si>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</si>
  <si>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</si>
  <si>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</si>
  <si>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</si>
  <si>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</si>
  <si>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</si>
  <si>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</si>
  <si>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</si>
  <si>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</si>
  <si>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</si>
  <si>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</si>
  <si>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</si>
  <si>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</si>
  <si>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</si>
  <si>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</si>
  <si>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</si>
  <si>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</si>
  <si>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</si>
  <si>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</si>
  <si>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</si>
  <si>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</si>
  <si>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</si>
  <si>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</si>
  <si>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</si>
  <si>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</si>
  <si>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</si>
  <si>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</si>
  <si>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</si>
  <si>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</si>
  <si>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</si>
  <si>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</si>
  <si>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</si>
  <si>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</si>
  <si>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</si>
  <si>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</si>
  <si>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</si>
  <si>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</si>
  <si>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</si>
  <si>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</si>
  <si>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</si>
  <si>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</si>
  <si>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</si>
  <si>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</si>
  <si>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</si>
  <si>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</si>
  <si>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</si>
  <si>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</si>
  <si>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</si>
  <si>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</si>
  <si>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</si>
  <si>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</si>
  <si>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</si>
  <si>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</si>
  <si>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</si>
  <si>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</si>
  <si>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</si>
  <si>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</si>
  <si>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</si>
  <si>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</si>
  <si>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</si>
  <si>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</si>
  <si>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</si>
  <si>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</si>
  <si>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</si>
  <si>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</si>
  <si>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</si>
  <si>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</si>
  <si>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</si>
  <si>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</si>
  <si>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</si>
  <si>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</si>
  <si>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</si>
  <si>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</si>
  <si>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</si>
  <si>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</si>
  <si>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</si>
  <si>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</si>
  <si>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</si>
  <si>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</si>
  <si>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</si>
  <si>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</si>
  <si>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</si>
  <si>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</si>
  <si>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</si>
  <si>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</si>
  <si>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</si>
  <si>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</si>
  <si>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</si>
  <si>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</si>
  <si>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</si>
  <si>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</si>
  <si>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</si>
  <si>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</si>
  <si>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</si>
  <si>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</si>
  <si>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</si>
  <si>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</si>
  <si>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</si>
  <si>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</si>
  <si>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</si>
  <si>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</si>
  <si>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</si>
  <si>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</si>
  <si>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</si>
  <si>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</si>
  <si>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</si>
  <si>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</si>
  <si>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</si>
  <si>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</si>
  <si>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</si>
  <si>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</si>
  <si>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</si>
  <si>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</si>
  <si>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</si>
  <si>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</si>
  <si>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</si>
  <si>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</si>
  <si>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</si>
  <si>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</si>
  <si>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</si>
  <si>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</si>
  <si>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</si>
  <si>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</si>
  <si>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</si>
  <si>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</si>
  <si>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</si>
  <si>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</si>
  <si>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</si>
  <si>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</si>
  <si>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</si>
  <si>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</si>
  <si>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</si>
  <si>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</si>
  <si>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</si>
  <si>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</si>
  <si>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</si>
  <si>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</si>
  <si>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</si>
  <si>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</si>
  <si>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</si>
  <si>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</si>
  <si>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</si>
  <si>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</si>
  <si>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</si>
  <si>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</si>
  <si>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</si>
  <si>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</si>
  <si>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</si>
  <si>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</si>
  <si>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</si>
  <si>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</si>
  <si>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</si>
  <si>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</si>
  <si>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</si>
  <si>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</si>
  <si>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</si>
  <si>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</si>
  <si>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</si>
  <si>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</si>
  <si>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</si>
  <si>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</si>
  <si>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</si>
  <si>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</si>
  <si>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</si>
  <si>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</si>
  <si>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</si>
  <si>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</si>
  <si>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</si>
  <si>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</si>
  <si>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</si>
  <si>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</si>
  <si>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</si>
  <si>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</si>
  <si>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</si>
  <si>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</si>
  <si>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</si>
  <si>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</si>
  <si>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</si>
  <si>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</si>
  <si>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</si>
  <si>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</si>
  <si>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</si>
  <si>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</si>
  <si>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</si>
  <si>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</si>
  <si>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</si>
  <si>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</si>
  <si>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</si>
  <si>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</si>
  <si>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</si>
  <si>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</si>
  <si>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</si>
  <si>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</si>
  <si>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</si>
  <si>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</si>
  <si>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</si>
  <si>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</si>
  <si>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</si>
  <si>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</si>
  <si>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</si>
  <si>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</si>
  <si>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</si>
  <si>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</si>
  <si>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</si>
  <si>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</si>
  <si>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</si>
  <si>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</si>
  <si>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</si>
  <si>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</si>
  <si>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</si>
  <si>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</si>
  <si>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</si>
  <si>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</si>
  <si>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</si>
  <si>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</si>
  <si>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</si>
  <si>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</si>
  <si>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</si>
  <si>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</si>
  <si>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</si>
  <si>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</si>
  <si>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</si>
  <si>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</si>
  <si>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</si>
  <si>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</si>
  <si>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</si>
  <si>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</si>
  <si>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</si>
  <si>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</si>
  <si>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</si>
  <si>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</si>
  <si>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</si>
  <si>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</si>
  <si>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</si>
  <si>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</si>
  <si>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</si>
  <si>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</si>
  <si>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</si>
  <si>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</si>
  <si>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</si>
  <si>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</si>
  <si>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</si>
  <si>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</si>
  <si>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</si>
  <si>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</si>
  <si>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</si>
  <si>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</si>
  <si>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</si>
  <si>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</si>
  <si>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</si>
  <si>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</si>
  <si>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</si>
  <si>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</si>
  <si>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</si>
  <si>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</si>
  <si>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</si>
  <si>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</si>
  <si>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</si>
  <si>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</si>
  <si>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</si>
  <si>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</si>
  <si>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</si>
  <si>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</si>
  <si>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</si>
  <si>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</si>
  <si>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</si>
  <si>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</si>
  <si>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</si>
  <si>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</si>
  <si>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</si>
  <si>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</si>
  <si>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</si>
  <si>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</si>
  <si>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</si>
  <si>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</si>
  <si>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</si>
  <si>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</si>
  <si>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</si>
  <si>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</si>
  <si>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</si>
  <si>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</si>
  <si>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</si>
  <si>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</si>
  <si>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</si>
  <si>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</si>
  <si>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</si>
  <si>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</si>
  <si>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</si>
  <si>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</si>
  <si>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</si>
  <si>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</si>
  <si>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</si>
  <si>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</si>
  <si>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</si>
  <si>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</si>
  <si>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</si>
  <si>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</si>
  <si>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</si>
  <si>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</si>
  <si>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</si>
  <si>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</si>
  <si>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</si>
  <si>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</si>
  <si>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</si>
  <si>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</si>
  <si>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</si>
  <si>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</si>
  <si>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</si>
  <si>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</si>
  <si>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</si>
  <si>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</si>
  <si>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</si>
  <si>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</si>
  <si>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</si>
  <si>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</si>
  <si>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</si>
  <si>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</si>
  <si>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</si>
  <si>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</si>
  <si>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</si>
  <si>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</si>
  <si>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</si>
  <si>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</si>
  <si>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</si>
  <si>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</si>
  <si>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</si>
  <si>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</si>
  <si>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</si>
  <si>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</si>
  <si>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</si>
  <si>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</si>
  <si>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</si>
  <si>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</si>
  <si>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</si>
  <si>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</si>
  <si>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</si>
  <si>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</si>
  <si>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</si>
  <si>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</si>
  <si>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</si>
  <si>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</si>
  <si>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</si>
  <si>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</si>
  <si>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</si>
  <si>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</si>
  <si>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</si>
  <si>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</si>
  <si>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</si>
  <si>
    <t>2026-115</t>
  </si>
  <si>
    <t>Fonds Équipe France — FEF clásico</t>
  </si>
  <si>
    <t>Ministère de l’Europe et des Affaires étrangères — MEAE</t>
  </si>
  <si>
    <t>Investigadores universitarios; médicos; ingenieros; arquitectos; urbanistas; especialistas en innovación, tecnología, medioambiente y políticas públicas</t>
  </si>
  <si>
    <t>República Dominicana y, cuando corresponda, otros países del Caribe</t>
  </si>
  <si>
    <t>Tecnología; medicina y salud; arquitectura, urbanismo y desarrollo sostenible</t>
  </si>
  <si>
    <t>cooperación científica; innovación tecnológica; salud pública; tecnologías médicas; inteligencia artificial; arquitectura sostenible; resiliencia urbana; investigación aplicada</t>
  </si>
  <si>
    <t>Instrumento del Gobierno francés para financiar proyectos locales y regionales de cooperación de alto impacto, diseñados por las embajadas francesas con instituciones del país beneficiario y socios científicos franceses.</t>
  </si>
  <si>
    <t>La UNPHU puede participar como universidad beneficiaria, contraparte científica, coordinadora técnica o ejecutora local. La propuesta formal debe ser construida y presentada por la Embajada de Francia o la administración francesa competente.</t>
  </si>
  <si>
    <t>No existe un formulario público de solicitud directa. La UNPHU debe presentar una nota conceptual al Service de coopération et d’action culturelle — SCAC para valorar su incorporación al calendario interno del FEF.</t>
  </si>
  <si>
    <t>https://www.diplomatie.gouv.fr/fr/services/annuaire-et-contacts/representations-francaises/ambassade-de-france-en-republique-dominicaine/</t>
  </si>
  <si>
    <t>Ministère de l’Europe et des Affaires étrangères / Embajada de Francia en República Dominicana — SCAC</t>
  </si>
  <si>
    <t>Prioridad muy alta. El antecedente FEF-CARIBS confirma la compatibilidad de la UNPHU con el mecanismo. Recomendable incorporar socios científicos franceses y dimensión regional.</t>
  </si>
  <si>
    <t>2026-116</t>
  </si>
  <si>
    <t>Fonds Équipe France Rapide — FEF-R</t>
  </si>
  <si>
    <t>Investigadores; médicos; ingenieros; arquitectos; tecnólogos; especialistas en salud pública, ambiente, resiliencia, innovación y transferencia tecnológica</t>
  </si>
  <si>
    <t>República Dominicana; puede admitir alcance caribeño o regional</t>
  </si>
  <si>
    <t>Tecnología; medicina; arquitectura y urbanismo</t>
  </si>
  <si>
    <t>proyecto piloto; prueba de concepto; prototipo; estudio de viabilidad; formación; tecnología médica; salud digital; arquitectura resiliente; innovación aplicada</t>
  </si>
  <si>
    <t>Modalidad rápida del Fonds Équipe France para proyectos piloto y acciones de cooperación de ejecución breve que permitan demostrar una solución o preparar una iniciativa de mayor escala.</t>
  </si>
  <si>
    <t>La UNPHU puede proponer la iniciativa y actuar como beneficiaria o ejecutora, pero el expediente debe ser construido y canalizado por la Embajada de Francia y su SCAC.</t>
  </si>
  <si>
    <t>Adecuado para estudios de viabilidad, prototipos, movilidad científica, generación de datos, capacitación y preparación de un FEF clásico, FEF+ u otra financiación de mayor escala.</t>
  </si>
  <si>
    <t>Prioridad alta para propuestas de entrada: pilotos de salud digital, biomateriales, sargazo, arquitectura resiliente, monitoreo ambiental o impresión 3D farmacéutica.</t>
  </si>
  <si>
    <t>2026-117</t>
  </si>
  <si>
    <t>Fonds Équipe France Plus — FEF+</t>
  </si>
  <si>
    <t>Generalmente hasta 24 meses</t>
  </si>
  <si>
    <t>Consorcios de investigadores; universidades; organismos públicos; hospitales; centros tecnológicos; arquitectos; ingenieros y organizaciones francesas especializadas</t>
  </si>
  <si>
    <t>República Dominicana y proyectos regionales del Caribe</t>
  </si>
  <si>
    <t>Tecnología y transformación digital; medicina y sistemas sanitarios; arquitectura, vivienda, territorio y resiliencia climática</t>
  </si>
  <si>
    <t>programa regional; infraestructura científica; transferencia tecnológica; investigación aplicada; salud regional; ciudades sostenibles; resiliencia; Caribe</t>
  </si>
  <si>
    <t>Modalidad ampliada del Fonds Équipe France para proyectos estratégicos de mayor escala, con articulación multinacional o interinstitucional y resultados estructurales.</t>
  </si>
  <si>
    <t>La UNPHU puede participar como socio institucional y ejecutor. Requiere que la Embajada de Francia respalde y presente el proyecto, además de un consorcio sólido con instituciones francesas y actores dominicanos o caribeños.</t>
  </si>
  <si>
    <t>No es una convocatoria pública directa. Debe responder a prioridades diplomáticas y de desarrollo, demostrar impacto institucional, sostenibilidad y posibilidades de continuidad o escalamiento.</t>
  </si>
  <si>
    <t>Ministère de l’Europe et des Affaires étrangères / Embajada de Francia en República Dominicana</t>
  </si>
  <si>
    <t>Prioridad media-alta. Recomendable cuando exista un consorcio regional, respaldo institucional o gubernamental y evidencia obtenida mediante pilotos previos.</t>
  </si>
  <si>
    <t>2026-118</t>
  </si>
  <si>
    <t>Fonds d’Innovation pour le Développement — FID</t>
  </si>
  <si>
    <t>Agence Française de Développement — AFD / Fonds d’Innovation pour le Développement</t>
  </si>
  <si>
    <t>Según la etapa y el nivel de madurez de la innovación</t>
  </si>
  <si>
    <t>Investigadores; especialistas en innovación, salud pública, tecnología, ingeniería, urbanismo, evaluación de impacto y políticas públicas</t>
  </si>
  <si>
    <t>Países de ingresos bajos y medios elegibles para ayuda oficial al desarrollo, incluida República Dominicana</t>
  </si>
  <si>
    <t>Tecnología; medicina y salud; arquitectura y urbanismo sostenible bajo enfoque de innovación social</t>
  </si>
  <si>
    <t>innovación para el desarrollo; salud digital; tecnología sanitaria; ciudades sostenibles; servicios urbanos; evaluación de impacto; reducción de desigualdades; escalamiento</t>
  </si>
  <si>
    <t>Financia la preparación, prueba, evaluación de impacto y escalamiento de innovaciones capaces de reducir la pobreza y las desigualdades en países elegibles.</t>
  </si>
  <si>
    <t>La UNPHU puede presentar directamente como persona jurídica o participar en consorcio. República Dominicana es compatible como país de ejecución.</t>
  </si>
  <si>
    <t>La plataforma de las principales etapas reabre el 1 de septiembre de 2026. Las subvenciones preparatorias permanecerán cerradas hasta 2027. No exige cofinanciación obligatoria.</t>
  </si>
  <si>
    <t>https://fundinnovation.dev/launch-project</t>
  </si>
  <si>
    <t>Agence Française de Développement / Fonds d’Innovation pour le Développement</t>
  </si>
  <si>
    <t>Aplicación directa posible. Prioridad alta. Preparar teoría de cambio, indicadores, presupuesto y estrategia de evaluación antes de la reapertura.</t>
  </si>
  <si>
    <t>2026-119</t>
  </si>
  <si>
    <t>Fondo Francés para el Medio Ambiente Mundial — FFEM</t>
  </si>
  <si>
    <t>Fonds Français pour l’Environnement Mondial — FFEM</t>
  </si>
  <si>
    <t>Investigadores en arquitectura bioclimática, urbanismo, ingeniería ambiental, energía, biodiversidad, cambio climático, contaminación, salud ambiental y tecnologías limpias</t>
  </si>
  <si>
    <t>Países en desarrollo elegibles para ayuda oficial al desarrollo, incluida República Dominicana</t>
  </si>
  <si>
    <t>Arquitectura y ciudades sostenibles; tecnología ambiental; salud ambiental y One Health</t>
  </si>
  <si>
    <t>arquitectura bioclimática; resiliencia urbana; eficiencia energética; refrigeración sostenible; biodiversidad; clima; contaminación; economía circular</t>
  </si>
  <si>
    <t>Cofinancia proyectos demostrativos, innovadores y replicables sobre cambio climático, biodiversidad, aguas internacionales, degradación de tierras, contaminantes y desarrollo urbano sostenible.</t>
  </si>
  <si>
    <t>La UNPHU puede figurar como proponente o integrante de un consorcio, pero debe obtener el respaldo de una institución francesa miembro del Comité de Pilotaje del FFEM.</t>
  </si>
  <si>
    <t>Puede financiar hasta el 50 % del presupuesto de determinados proyectos; el resto debe proceder de otras fuentes. Prioriza investigación aplicada y demostración, no investigación básica aislada.</t>
  </si>
  <si>
    <t>https://www.ffem.fr/fr/soumettre-un-projet</t>
  </si>
  <si>
    <t>Fonds Français pour l’Environnement Mondial</t>
  </si>
  <si>
    <t>Prioridad alta para arquitectura sostenible, edificios eficientes, resiliencia urbana, agua, energía, economía circular y tecnologías ambientales.</t>
  </si>
  <si>
    <t>2026-120</t>
  </si>
  <si>
    <t>Programa INTERREG Caraïbes 2021–2027</t>
  </si>
  <si>
    <t>Unión Europea / Région Guadeloupe — Autoridad de gestión</t>
  </si>
  <si>
    <t>Según el proyecto y el eje de intervención</t>
  </si>
  <si>
    <t>Investigadores; universidades; hospitales; centros tecnológicos; arquitectos; urbanistas; ingenieros; autoridades públicas y organizaciones sociales</t>
  </si>
  <si>
    <t>Caribe, con asociación entre territorios franceses ultramarinos y al menos un país o territorio caribeño no perteneciente a la Unión Europea</t>
  </si>
  <si>
    <t>Tecnología, investigación e innovación; medicina y sistemas sanitarios; arquitectura, energía, resiliencia y desarrollo urbano</t>
  </si>
  <si>
    <t>I+D; innovación; digitalización; conectividad; energías renovables; acceso sanitario; enfermedades regionales; resiliencia climática; economía circular; movilidad</t>
  </si>
  <si>
    <t>Programa de cooperación territorial que financia proyectos conjuntos entre los territorios franceses del Caribe y países vecinos en investigación, innovación, salud, clima, biodiversidad, energía, movilidad y formación.</t>
  </si>
  <si>
    <t>La UNPHU puede participar como socia caribeña, pero el jefe de fila debe estar establecido en Guadalupe, Martinica, Guayana Francesa o Saint-Martin.</t>
  </si>
  <si>
    <t>La presentación se realiza mediante la plataforma Synergie CTE. Debe confirmarse con la Secretaría Conjunta el tratamiento presupuestario de los gastos correspondientes al socio dominicano.</t>
  </si>
  <si>
    <t>https://interreg-caraibes.eu/appel-projets</t>
  </si>
  <si>
    <t>Région Guadeloupe — Autoridad de gestión del programa INTERREG Caraïbes</t>
  </si>
  <si>
    <t>Prioridad alta para consorcios con universidades, hospitales o centros de Guadalupe y Martinica. La UNPHU participa como socia, no como coordinadora.</t>
  </si>
  <si>
    <t>Programa Junior Fellowship 2026 — Direct-to-Device (D2D)</t>
  </si>
  <si>
    <t>Centro de Estudios de Telecomunicaciones de América Latina (cet.la) | ASIET</t>
  </si>
  <si>
    <t>4 meses</t>
  </si>
  <si>
    <t>Jóvenes analistas, consultores, investigadores, estudiantes y recién egresados de universidades o centros de investigación con experiencia e interés en economía, regulación y políticas públicas de las telecomunicaciones y el desarrollo digital</t>
  </si>
  <si>
    <t>América Latina; actividad remota desde el lugar de residencia de la persona seleccionada</t>
  </si>
  <si>
    <t>Telecomunicaciones; conectividad; políticas públicas y regulación digital</t>
  </si>
  <si>
    <t>Direct-to-Device; D2D; redes no terrestres; NTN; conectividad satelital; brecha digital; telecomunicaciones; regulación; políticas públicas</t>
  </si>
  <si>
    <t>Programa de cuatro meses para desarrollar investigación aplicada sobre tecnologías Direct-to-Device (D2D) y su impacto en las telecomunicaciones, la conectividad y las políticas públicas de América Latina. La persona seleccionada trabaja como coautora de reportes, estudios y materiales de divulgación bajo dirección de cet.la.</t>
  </si>
  <si>
    <t>Postulación individual para jóvenes analistas, consultores, investigadores, estudiantes y recién egresados de universidades o centros de investigación. Se requiere experiencia o interés en economía, regulación y políticas públicas de telecomunicaciones y desarrollo digital, además de dominio de español e inglés en contextos académicos.</t>
  </si>
  <si>
    <t>Beca total de USD 2,000, equivalente a USD 500 mensuales durante cuatro meses. La postulación requiere formulario en línea, currículum vitae y propuesta de investigación de hasta 2,000 palabras vinculada al tema Direct-to-Device (D2D). Fecha límite: 12/09/2026 inclusive.</t>
  </si>
  <si>
    <t>https://cet.la/noticias/actualidad/cet-la-lanza-una-nueva-convocatoria-al-programa-de-becas-junior-fellowship/</t>
  </si>
  <si>
    <t>Convocatoria especialmente pertinente para líneas de investigación de la UNPHU sobre conectividad, brecha digital, telecomunicaciones, redes satelitales/NTN y políticas públicas. Modalidad remota y postulación individual.</t>
  </si>
  <si>
    <t>2026-121</t>
  </si>
  <si>
    <t>SATREPS FY2027 — Bioresources</t>
  </si>
  <si>
    <t>Japan Science and Technology Agency (JST) / Japan International Cooperation Agency (JICA)</t>
  </si>
  <si>
    <t>Japón</t>
  </si>
  <si>
    <t>3–5 años</t>
  </si>
  <si>
    <t>Países en desarrollo elegibles para cooperación ODA de Japón; República Dominicana</t>
  </si>
  <si>
    <t>Sin restricción; prevalece la afiliación institucional</t>
  </si>
  <si>
    <t>Biorrecursos</t>
  </si>
  <si>
    <t>biorrecursos; agricultura sostenible; biotecnología; biodiversidad; biomasa; bioeconomía; recursos genéticos; microorganismos</t>
  </si>
  <si>
    <t>Programa de investigación conjunta Japón–país socio para desarrollar soluciones científicas y tecnológicas orientadas a la producción y utilización sostenible de recursos biológicos.</t>
  </si>
  <si>
    <t>UNPHU puede participar como institución contraparte dominicana asociada a una universidad o centro de investigación japonés. La parte japonesa presenta ante JST y la contraparte dominicana debe tramitar una solicitud oficial de cooperación técnica ODA por la vía gubernamental correspondiente.</t>
  </si>
  <si>
    <t>SATREPS FY2027 está abierto del 18/08/2026 al 19/10/2026. La solicitud ODA del país contraparte debe llegar al Ministerio de Asuntos Exteriores de Japón a más tardar el 13/10/2026; el plazo interno dominicano será anterior. Financiación JICA: hasta JPY 300 millones para un proyecto de 5 años; JST financia separadamente al equipo japonés.</t>
  </si>
  <si>
    <t>https://www.jst.go.jp/global/english/koubo/</t>
  </si>
  <si>
    <t>JST / JICA — SATREPS FY2027</t>
  </si>
  <si>
    <t>Prioridad estratégica para UNPHU. Requiere identificar cuanto antes un investigador principal y una institución japonesa asociada. Potencial en agricultura tropical, biomasa, biodiversidad, bioeconomía y biotecnología.</t>
  </si>
  <si>
    <t>SATREPS FY2027 — Disaster Prevention and Mitigation</t>
  </si>
  <si>
    <t>Prevención y mitigación de desastres</t>
  </si>
  <si>
    <t>desastres; huracanes; inundaciones; terremotos; deslizamientos; resiliencia; infraestructura; alerta temprana; SIG; teledetección</t>
  </si>
  <si>
    <t>Programa de investigación conjunta Japón–país socio orientado al estudio, predicción, prevención y mitigación de desastres naturales y al fortalecimiento de sociedades e infraestructuras resilientes.</t>
  </si>
  <si>
    <t>Prioridad estratégica para Ingeniería, Arquitectura y áreas territoriales de UNPHU. Potencial en huracanes, inundaciones urbanas, riesgos costeros, deslizamientos, infraestructura resiliente, SIG y alerta temprana.</t>
  </si>
  <si>
    <t>SATREPS FY2027 — Environment and Energy</t>
  </si>
  <si>
    <t>Medio ambiente y energía</t>
  </si>
  <si>
    <t>medio ambiente; energía; cambio climático; carbono; recursos hídricos; contaminación; economía circular; sostenibilidad</t>
  </si>
  <si>
    <t>Programa de investigación conjunta Japón–país socio para abordar problemas ambientales y energéticos de escala global mediante ciencia y tecnología y fortalecer capacidades de investigación en el país contraparte.</t>
  </si>
  <si>
    <t>Prioridad estratégica para UNPHU. Potencial en cambio climático, recursos hídricos, contaminación, energía renovable, economía circular y tecnologías ambientales.</t>
  </si>
  <si>
    <t>29.ª Convocatoria para proyectos de cooperación triangular — Fondo Regional para la Cooperación Triangular</t>
  </si>
  <si>
    <t>Ministerio Federal de Cooperación Económica y Desarrollo de Alemania (BMZ) / Deutsche Gesellschaft für Internationale Zusammenarbeit (GIZ)</t>
  </si>
  <si>
    <t>Países receptores de Ayuda Oficial al Desarrollo (AOD); preferencia por América Latina y el Caribe. Al menos uno de los socios debe proceder de México, Brasil, Colombia, Ecuador, Bolivia o Perú.</t>
  </si>
  <si>
    <t>Multidisciplinar; desarrollo sostenible</t>
  </si>
  <si>
    <t>cooperación triangular; cooperación técnica; transferencia de conocimiento; fortalecimiento de capacidades; Agenda 2030; políticas públicas; enfoque multiactor; aprendizaje mutuo; América Latina; Caribe</t>
  </si>
  <si>
    <t>29.ª convocatoria del Fondo Regional para financiar proyectos de cooperación triangular cocreados. Los proyectos pueden abordar cualquier temática de desarrollo sostenible y deben articular un socio solicitante, un socio principal y al Fondo Regional/Alemania como socio facilitador. La financiación máxima del Fondo es de EUR 300.000 y la duración máxima es de dos años.</t>
  </si>
  <si>
    <t>UNPHU puede participar como socio solicitante/beneficiario en República Dominicana, país receptor de AOD. Para esta candidatura debe asociarse con una institución de México, Brasil, Colombia, Ecuador, Bolivia o Perú que aporte experiencia y buenas prácticas relevantes, además del socio facilitador alemán. La propuesta requiere respaldo de las instituciones rectoras de cooperación de los países socios y cartas de compromiso de las instituciones técnicas.</t>
  </si>
  <si>
    <t>Cierre: 31/10/2026. La primera fase consiste en presentar una idea de proyecto en el nuevo formulario oficial. Se exige cooperación técnica, principalmente asesoría, transferencia de conocimientos y capacitación. Socio solicitante, socio principal y socios adicionales deben aportar contribuciones propias financieras y/o en especie; no existe un mínimo obligatorio para el socio beneficiario, pero su aporte debe ser sustancial y adecuado. Se adjuntan carta(s) de aval y cartas de compromiso. La entrega oficial se realiza por correo electrónico a la(s) Embajada(s) de Alemania correspondiente(s), con copia de la propuesta a GIZ. Contacto técnico: fondotriangular@giz.de.</t>
  </si>
  <si>
    <t>https://fondo-cooperacion-triangular.net/convocatorias-de-proyecto/</t>
  </si>
  <si>
    <t>Fondo Regional para la Cooperación Triangular / BMZ / GIZ — 29.ª Convocatoria 2026</t>
  </si>
  <si>
    <t>Potencial estratégico para UNPHU–Escuela de Agronomía, La Vega. Prioridad inmediata: definir una demanda concreta del sector agrícola dominicano e identificar un socio principal con una experiencia exitosa transferible; gestionar tempranamente los avales de cooperación y el contacto con GIZ/Embajada de Alemania.</t>
  </si>
  <si>
    <t>Global EbA Fund — 8th Call for Proposals for Small-Size Grants</t>
  </si>
  <si>
    <t>Global EbA Fund / IUCN / UNEP / International Climate Initiative (IKI)</t>
  </si>
  <si>
    <t>18–24 meses</t>
  </si>
  <si>
    <t>Países elegibles para AOD; prioridad a SIDS y LDCs elegibles. República Dominicana está expresamente incluida entre los SIDS elegibles para AOD.</t>
  </si>
  <si>
    <t>Cambio climático; agricultura; medio ambiente; adaptación basada en ecosistemas</t>
  </si>
  <si>
    <t>EbA; adaptación basada en ecosistemas; SIDS; cambio climático; agricultura resiliente; conservación de suelos; agroforestería; gestión del agua; investigación aplicada; escalamiento; soluciones basadas en naturaleza</t>
  </si>
  <si>
    <t>Octava convocatoria de Small-Size Grants del Global EbA Fund para proyectos innovadores y catalíticos que eliminen barreras sistémicas para la adopción y el escalamiento de la Adaptación basada en Ecosistemas (EbA), fortaleciendo capacidades, evidencia, aprendizaje e inversión. Financia 10 proyectos de hasta USD 250.000.</t>
  </si>
  <si>
    <t>UNPHU es elegible como universidad y puede actuar como Applicant Organisation/solicitante principal. El proyecto debe ser EbA, basarse en trabajo existente, identificar impactos climáticos concretos y demostrar potencial innovador y catalítico. Para actividades a nivel de país se exige un consorcio con una o más organizaciones locales y al menos 25 % del presupuesto asignado a socios locales. Los socios deben ser entidades legalmente reconocidas y cumplir los requisitos de due diligence. Entidades gubernamentales pueden participar, pero no recibir fondos.</t>
  </si>
  <si>
    <t>Presentación por plataforma en línea del 28/09/2026 al 26/10/2026; la propuesta debe presentarse en inglés. Paquete inicial: Applicant Declaration, Co-applicant Mandate, Small-Size Grants Application Form, Project Proposal Budget Template y Due Diligence and Financial Capacity Questionnaire con los anexos iniciales requeridos. Duración: 18–24 meses. La propuesta debe contribuir a 1 Objetivo Estratégico y a 1–2 Pilares de Acción, incorporar al menos 3 indicadores del Core Indicator Framework y una estrategia de sostenibilidad/salida. No debe ser una intervención independiente ni consistir exclusivamente en implementación de campo.</t>
  </si>
  <si>
    <t>https://globalebafund.org/small-size-grants/</t>
  </si>
  <si>
    <t>Global EbA Fund — 8th Call for Proposals for Small-Size Grants 2026</t>
  </si>
  <si>
    <t>Alta pertinencia para UNPHU–Escuela de Agronomía. República Dominicana es un SIDS elegible para AOD y está dentro del foco geográfico prioritario. Conviene orientar la propuesta a investigación aplicada sobre resiliencia climática agrícola, conservación de suelos, agua, agroforestería o restauración de paisajes; identificar desde el inicio un socio local y estructurar el presupuesto considerando el mínimo del 25 % para socios locales. Confirmar con el Fondo cómo aplica ese 25 % cuando el Lead Applicant también es una entidad local dominicana.</t>
  </si>
  <si>
    <t>Community-Centered Connectivity Grant Program</t>
  </si>
  <si>
    <t>Internet Society Foundation</t>
  </si>
  <si>
    <t>Hasta 24 meses según modalidad</t>
  </si>
  <si>
    <t>ONG; institución sin fines de lucro; empresa social</t>
  </si>
  <si>
    <t>Sin restricción; prevalece la elegibilidad institucional</t>
  </si>
  <si>
    <t>Inclusión digital y conectividad</t>
  </si>
  <si>
    <t>brecha digital; conectividad comunitaria; acceso a Internet; asequibilidad; adopción; alfabetización digital; comunidades rurales; infraestructura</t>
  </si>
  <si>
    <t>Programa que financia soluciones de conectividad diseñadas con participación directa de comunidades digitalmente excluidas, abordando disponibilidad, asequibilidad y adopción de Internet.</t>
  </si>
  <si>
    <t>INTEC/PUCMM podrían ser elegibles si cumplen la condición de organización sin fines de lucro legalmente registrada, disponen de cuenta institucional capaz de recibir fondos de una fundación estadounidense, acreditan experiencia relevante en conectividad y cuentan con apoyo de la comunidad beneficiaria.</t>
  </si>
  <si>
    <t>Convocatoria 2026 cerrada. Catalyst: hasta USD 50,000 y 12 meses; Scaling: hasta USD 200,000 y 18 meses; Systems: más de USD 200,000, hasta 24 meses y solo por invitación. Catalyst y Scaling estuvieron abiertos al público.</t>
  </si>
  <si>
    <t>https://www.isocfoundation.org/grant-programme/community-centered-connectivity/</t>
  </si>
  <si>
    <t>Internet Society Foundation — Community-Centered Connectivity Grant Program</t>
  </si>
  <si>
    <t>Encaje temático alto con brecha digital, pero orientado a implementación de conectividad comunitaria más que a investigación académica pura. Mantener para seguimiento del próximo ciclo.</t>
  </si>
  <si>
    <t>Research Grant Program</t>
  </si>
  <si>
    <t>Persona individual; universidad pública; institución pública de investigación</t>
  </si>
  <si>
    <t>Sin restricción general de ciudadanía</t>
  </si>
  <si>
    <t>Investigación sobre Internet</t>
  </si>
  <si>
    <t>Inclusive Internet; digital divide; meaningful connectivity; Internet resilience; trustworthy Internet; cybersecurity; Internet infrastructure; digital inclusion; Internet measurement</t>
  </si>
  <si>
    <t>Financia investigación aplicada, abierta y colaborativa sobre Internet. Sus áreas incluyen Inclusive Internet, Greening the Internet, Measuring Meaningful Connectivity y A Trustworthy Internet.</t>
  </si>
  <si>
    <t>INTEC/PUCMM no son elegibles como instituciones receptoras si se consideran universidades privadas. Un investigador afiliado podría optar como investigador independiente si posee maestría o doctorado y producción académica demostrable.</t>
  </si>
  <si>
    <t>Convocatoria 2026 cerrada. Investigadores independientes: hasta USD 200,000. Organizaciones e instituciones elegibles: hasta USD 500,000. Las instituciones privadas no son elegibles para recibir financiación institucional. Solicitud mediante Fluxx; se aceptaron inglés, francés y español.</t>
  </si>
  <si>
    <t>https://www.isocfoundation.org/grant-programme/research-grant-programme/</t>
  </si>
  <si>
    <t>Internet Society Foundation — Research Grant Program</t>
  </si>
  <si>
    <t>Prioridad alta para próximo ciclo. Encaje directo con brecha digital, conectividad significativa, resiliencia y ciberseguridad; para INTEC/PUCMM la vía más viable sería la postulación individual de un investigador elegible.</t>
  </si>
  <si>
    <t>MSCA Doctoral Networks 2026</t>
  </si>
  <si>
    <t>Comisión Europea — Horizon Europe / Marie Skłodowska-Curie Actions</t>
  </si>
  <si>
    <t>Hasta 48 meses; Joint Doctorates hasta 60 meses</t>
  </si>
  <si>
    <t>Unión Europea, países asociados y terceros países; República Dominicana es elegible para financiación Horizon Europe</t>
  </si>
  <si>
    <t>Sin restricción general de ciudadanía para la entidad; los doctorandos pueden ser de cualquier nacionalidad sujetos a las reglas MSCA</t>
  </si>
  <si>
    <t>doctoral networks; Horizon Europe; investigación; doctorado; movilidad; formación investigadora; Internet; ciberseguridad; inteligencia artificial; conectividad; transformación digital</t>
  </si>
  <si>
    <t>Financia redes internacionales que implementan programas doctorales mediante consorcios de universidades, centros de investigación, empresas y otros actores, en todas las áreas científicas.</t>
  </si>
  <si>
    <t>INTEC/PUCMM pueden participar y recibir financiación como entidades de República Dominicana. El consorcio debe cumplir las reglas mínimas de Horizon Europe, incluyendo al menos tres entidades independientes de tres Estados miembros o países asociados distintos y al menos una de un Estado miembro de la UE.</t>
  </si>
  <si>
    <t>Convocatoria abierta desde el 28/05/2026. Deadline 24/11/2026. Presupuesto indicativo total de la convocatoria: EUR 593.034 millones. República Dominicana figura entre los terceros países de ingresos bajos y medios automáticamente elegibles para financiación de Horizon Europe.</t>
  </si>
  <si>
    <t>Comisión Europea / REA / Marie Skłodowska-Curie Actions</t>
  </si>
  <si>
    <t>Oportunidad estratégica para INTEC/PUCMM si se identifica o construye un consorcio europeo. Puede articularse alrededor de desigualdad digital, Internet resiliente, ciberseguridad, IA e infraestructuras críticas.</t>
  </si>
  <si>
    <t>SYNAPSE IDEATHON — Segunda Cohorte</t>
  </si>
  <si>
    <t>AION Synapse Foundation</t>
  </si>
  <si>
    <t>Emiratos Árabes Unidos</t>
  </si>
  <si>
    <t>No especificado para la segunda cohorte</t>
  </si>
  <si>
    <t>Estudiante de posgrado; Investigador emergente; Investigador establecido; Profesor</t>
  </si>
  <si>
    <t>América Latina y el Caribe</t>
  </si>
  <si>
    <t>Sin restricción específica publicada; se exige afiliación o aval de una institución elegible de América Latina y el Caribe</t>
  </si>
  <si>
    <t>Investigación aplicada, ciencia, tecnología e innovación social</t>
  </si>
  <si>
    <t>investigación aplicada; innovación; ciencia; tecnología; educación; impacto social; sostenibilidad; América Latina; Caribe</t>
  </si>
  <si>
    <t>Programa internacional de micro-subvenciones para proyectos de investigación e innovación con impacto social en América Latina y el Caribe. La segunda cohorte fue aprobada y se anunció su apertura antes de finalizar 2026.</t>
  </si>
  <si>
    <t>Investigadores, docentes y estudiantes de posgrado de INTEC/PUCMM pueden ser elegibles como personas físicas si cuentan con afiliación o carta de aval institucional. La universidad no presenta la propuesta como persona jurídica.</t>
  </si>
  <si>
    <t>Segunda cohorte aprobada: fondo total anunciado de USD 10,000 para hasta diez micro-subvenciones, con apertura antes de finalizar 2026. La fecha límite y las condiciones finales de la segunda cohorte aún no están publicadas. Como referencia, la primera cohorte otorgaba hasta USD 1,000 por proyecto.</t>
  </si>
  <si>
    <t>https://www.aionsynapse.org/en/synapse-ideathon/</t>
  </si>
  <si>
    <t>AION Synapse Foundation — SYNAPSE IDEATHON</t>
  </si>
  <si>
    <t>Financiación pequeña, útil para piloto o prueba de concepto. Verificar de nuevo las bases cuando abra oficialmente la segunda cohorte antes de postular.</t>
  </si>
  <si>
    <t>Fondo Sectorial de Educación: Inclusión Digital — Educación con Nuevos Horizontes</t>
  </si>
  <si>
    <t>Agencia Nacional de Investigación e Innovación (ANII) / Fundación Ceibal</t>
  </si>
  <si>
    <t>Uruguay</t>
  </si>
  <si>
    <t>Hasta 18 meses</t>
  </si>
  <si>
    <t>Institución académica; consorcio</t>
  </si>
  <si>
    <t>Uruguay e internacional; las instituciones extranjeras deben contar con contraparte nacional uruguaya</t>
  </si>
  <si>
    <t>Sin restricción de ciudadanía; prevalece la afiliación institucional</t>
  </si>
  <si>
    <t>Educación y tecnología digital</t>
  </si>
  <si>
    <t>inclusión digital; educación; tecnología educativa; enseñanza digital; aprendizaje; brecha digital; evidencia; política educativa</t>
  </si>
  <si>
    <t>Financia proyectos de investigación sobre enseñanza y aprendizaje mediados por tecnologías digitales, orientados a generar evidencia para el sistema educativo uruguayo.</t>
  </si>
  <si>
    <t>INTEC/PUCMM son elegibles como instituciones extranjeras públicas o privadas, pero si actúan como institución proponente deben contar con una contraparte nacional uruguaya y presentar conjuntamente las actividades de ambas instituciones.</t>
  </si>
  <si>
    <t>Apertura 06/08/2026; cierre 16/09/2026 a las 14:00 UYT. Subsidio de hasta UYU 2,900,000, equivalente a un máximo del 80% del costo total; se exige una contrapartida mínima institucional del 20%. Duración máxima: 18 meses.</t>
  </si>
  <si>
    <t>https://anii.org.uy/apoyos/investigacion/672/fondo-sectorial-de-educacion-inclusion-digital-educacion-con-nuevos-horizontes/</t>
  </si>
  <si>
    <t>ANII / Fundación Ceibal — Bases 2026</t>
  </si>
  <si>
    <t>Requiere adaptación del proyecto a generación de evidencia relevante para el sistema educativo uruguayo y una contraparte uruguaya. Moneda real del subsidio: UYU; en la columna Moneda se usa 'Otra' para respetar el catálogo existente.</t>
  </si>
  <si>
    <t>Economic Opportunities for Women and Men: The Role of Regulation and Fiscal Policy</t>
  </si>
  <si>
    <t>Banco Interamericano de Desarrollo (BID) — G&amp;D Lab / Institutions for Development</t>
  </si>
  <si>
    <t>No especificado en la página principal</t>
  </si>
  <si>
    <t>Persona individual; institución académica; centro de investigación</t>
  </si>
  <si>
    <t>Al menos uno de los 26 países prestatarios del BID; incluye República Dominicana</t>
  </si>
  <si>
    <t>Investigadores ciudadanos de uno de los 48 países miembros del BID</t>
  </si>
  <si>
    <t>Regulación, políticas públicas y oportunidades económicas</t>
  </si>
  <si>
    <t>digital government; regulación; gobierno digital; género; oportunidades económicas; causal inference; Difference-in-Differences; experimentos; cuasi-experimentos; política pública</t>
  </si>
  <si>
    <t>Convocatoria para investigación causal rigurosa sobre cómo reformas regulatorias, financieras, fiscales y laborales afectan las oportunidades económicas de mujeres y hombres en América Latina y el Caribe.</t>
  </si>
  <si>
    <t>INTEC/PUCMM pueden participar directamente mediante investigadores o equipos afiliados a universidades públicas o privadas. La propuesta debe analizar al menos un país prestatario del BID y utilizar métodos cuantitativos capaces de establecer relaciones causales.</t>
  </si>
  <si>
    <t>Deadline 24/09/2026 a las 12:00 p. m. ET. Categoría I: diagnósticos cuantitativos causales, hasta USD 20,000. Categoría II: intervenciones piloto, hasta USD 100,000. La postulación se realiza en inglés mediante Oxford Abstracts.</t>
  </si>
  <si>
    <t>https://gdlab.iadb.org/en/call</t>
  </si>
  <si>
    <t>Banco Interamericano de Desarrollo — G&amp;D Lab</t>
  </si>
  <si>
    <t>Elegible y abierta. Para maximizar encaje con brecha digital, conviene reformular hacia una pregunta causal vinculada con gobierno digital, regulación o conectividad y sus efectos diferenciados sobre oportunidades económicas.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</si>
</sst>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138" zoomScale="90" zoomScaleNormal="90" workbookViewId="0">
      <selection activeCell="B109" sqref="B109"/>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Vencida</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Vencida</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Vencida</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Vencida</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Próxima a vencer</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Próxima a vencer</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Próxima a vencer</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Próxima a vencer</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Próxima a vencer</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Próxima a vencer</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Próxima a vencer</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Próxima a vencer</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Vencida</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Próxima a vencer</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Próxima a vencer</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Vencida</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Vencida</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Próxima a vencer</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Próxima a vencer</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Próxima a vencer</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Vencida</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Próxima a vencer</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Próxima a vencer</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Vencida</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Vencida</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Vencida</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Próxima a vencer</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Próxima a vencer</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Próxima a vencer</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Vencida</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Vencida</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Próxima a vencer</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Vencida</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Próxima a vencer</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Vencida</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Vencida</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Próxima a vencer</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Próxima a vencer</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Próxima a vencer</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Próxima a vencer</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Próxima a vencer</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Próxima a vencer</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Vencida</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54</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1263</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Vencida</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99.75">
      <c r="A112" s="3" t="s">
        <v>1589</v>
      </c>
      <c r="B112" s="4" t="s">
        <v>54</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54</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54</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Vencida</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ht="128.25" customHeight="1">
      <c r="A116" s="4" t="s">
        <v>1593</v>
      </c>
      <c r="B116" s="4" t="s">
        <v>54</v>
      </c>
      <c r="C116" s="4" t="s">
        <v>1594</v>
      </c>
      <c r="D116" s="4" t="s">
        <v>1595</v>
      </c>
      <c r="E116" s="4" t="s">
        <v>139</v>
      </c>
      <c r="F116" s="4" t="s">
        <v>1136</v>
      </c>
      <c r="G116" s="6"/>
      <c r="H116" s="4" t="s">
        <v>225</v>
      </c>
      <c r="I116" s="4" t="s">
        <v>436</v>
      </c>
      <c r="J116" s="4" t="s">
        <v>38</v>
      </c>
      <c r="K116" s="4" t="str">
        <f t="shared" ca="1" si="2"/>
        <v>Sin fecha</v>
      </c>
      <c r="L116" s="8" t="s">
        <v>1199</v>
      </c>
      <c r="M116" s="8">
        <v>1000000</v>
      </c>
      <c r="N116" s="4" t="s">
        <v>197</v>
      </c>
      <c r="O116" s="4" t="s">
        <v>485</v>
      </c>
      <c r="P116" s="4" t="s">
        <v>124</v>
      </c>
      <c r="Q116" s="4" t="s">
        <v>1596</v>
      </c>
      <c r="R116" s="4" t="s">
        <v>313</v>
      </c>
      <c r="S116" s="4" t="s">
        <v>1597</v>
      </c>
      <c r="T116" s="4" t="s">
        <v>44</v>
      </c>
      <c r="U116" s="4" t="s">
        <v>1598</v>
      </c>
      <c r="V116" s="4" t="s">
        <v>1599</v>
      </c>
      <c r="W116" s="4" t="s">
        <v>1600</v>
      </c>
      <c r="X116" s="4" t="s">
        <v>1601</v>
      </c>
      <c r="Y116" s="4" t="s">
        <v>1602</v>
      </c>
      <c r="Z116" s="4" t="s">
        <v>1603</v>
      </c>
      <c r="AA116" s="4"/>
      <c r="AB116" s="6">
        <v>46238</v>
      </c>
      <c r="AC116" s="4" t="s">
        <v>1604</v>
      </c>
      <c r="AD116" s="4" t="s">
        <v>1605</v>
      </c>
    </row>
    <row r="117" spans="1:30" ht="128.25" customHeight="1">
      <c r="A117" s="4" t="s">
        <v>1606</v>
      </c>
      <c r="B117" s="4" t="s">
        <v>54</v>
      </c>
      <c r="C117" s="4" t="s">
        <v>1607</v>
      </c>
      <c r="D117" s="4" t="s">
        <v>1595</v>
      </c>
      <c r="E117" s="4" t="s">
        <v>139</v>
      </c>
      <c r="F117" s="4" t="s">
        <v>1136</v>
      </c>
      <c r="G117" s="6"/>
      <c r="H117" s="4" t="s">
        <v>225</v>
      </c>
      <c r="I117" s="4" t="s">
        <v>436</v>
      </c>
      <c r="J117" s="4" t="s">
        <v>38</v>
      </c>
      <c r="K117" s="4" t="str">
        <f t="shared" ca="1" si="2"/>
        <v>Sin fecha</v>
      </c>
      <c r="L117" s="8">
        <v>10000</v>
      </c>
      <c r="M117" s="8">
        <v>100000</v>
      </c>
      <c r="N117" s="4" t="s">
        <v>197</v>
      </c>
      <c r="O117" s="4" t="s">
        <v>1077</v>
      </c>
      <c r="P117" s="4" t="s">
        <v>242</v>
      </c>
      <c r="Q117" s="4" t="s">
        <v>1608</v>
      </c>
      <c r="R117" s="4" t="s">
        <v>313</v>
      </c>
      <c r="S117" s="4" t="s">
        <v>1609</v>
      </c>
      <c r="T117" s="4" t="s">
        <v>44</v>
      </c>
      <c r="U117" s="4" t="s">
        <v>1610</v>
      </c>
      <c r="V117" s="4" t="s">
        <v>1611</v>
      </c>
      <c r="W117" s="4" t="s">
        <v>1612</v>
      </c>
      <c r="X117" s="4" t="s">
        <v>1613</v>
      </c>
      <c r="Y117" s="4" t="s">
        <v>1614</v>
      </c>
      <c r="Z117" s="4" t="s">
        <v>1603</v>
      </c>
      <c r="AA117" s="4"/>
      <c r="AB117" s="6">
        <v>46238</v>
      </c>
      <c r="AC117" s="4" t="s">
        <v>1604</v>
      </c>
      <c r="AD117" s="4" t="s">
        <v>1615</v>
      </c>
    </row>
    <row r="118" spans="1:30" ht="128.25" customHeight="1">
      <c r="A118" s="4" t="s">
        <v>1616</v>
      </c>
      <c r="B118" s="4" t="s">
        <v>54</v>
      </c>
      <c r="C118" s="4" t="s">
        <v>1617</v>
      </c>
      <c r="D118" s="4" t="s">
        <v>1595</v>
      </c>
      <c r="E118" s="4" t="s">
        <v>139</v>
      </c>
      <c r="F118" s="4" t="s">
        <v>1136</v>
      </c>
      <c r="G118" s="6"/>
      <c r="H118" s="4" t="s">
        <v>225</v>
      </c>
      <c r="I118" s="4" t="s">
        <v>436</v>
      </c>
      <c r="J118" s="4" t="s">
        <v>38</v>
      </c>
      <c r="K118" s="4" t="str">
        <f t="shared" ca="1" si="2"/>
        <v>Sin fecha</v>
      </c>
      <c r="L118" s="8" t="s">
        <v>1199</v>
      </c>
      <c r="M118" s="8">
        <v>2000000</v>
      </c>
      <c r="N118" s="4" t="s">
        <v>197</v>
      </c>
      <c r="O118" s="4" t="s">
        <v>1618</v>
      </c>
      <c r="P118" s="4" t="s">
        <v>124</v>
      </c>
      <c r="Q118" s="4" t="s">
        <v>1619</v>
      </c>
      <c r="R118" s="4" t="s">
        <v>313</v>
      </c>
      <c r="S118" s="4" t="s">
        <v>1620</v>
      </c>
      <c r="T118" s="4" t="s">
        <v>44</v>
      </c>
      <c r="U118" s="4" t="s">
        <v>1621</v>
      </c>
      <c r="V118" s="4" t="s">
        <v>1622</v>
      </c>
      <c r="W118" s="4" t="s">
        <v>1623</v>
      </c>
      <c r="X118" s="4" t="s">
        <v>1624</v>
      </c>
      <c r="Y118" s="4" t="s">
        <v>1625</v>
      </c>
      <c r="Z118" s="4" t="s">
        <v>1603</v>
      </c>
      <c r="AA118" s="4"/>
      <c r="AB118" s="6">
        <v>46238</v>
      </c>
      <c r="AC118" s="4" t="s">
        <v>1626</v>
      </c>
      <c r="AD118" s="4" t="s">
        <v>1627</v>
      </c>
    </row>
    <row r="119" spans="1:30" ht="128.25" customHeight="1">
      <c r="A119" s="4" t="s">
        <v>1628</v>
      </c>
      <c r="B119" s="4" t="s">
        <v>54</v>
      </c>
      <c r="C119" s="4" t="s">
        <v>1629</v>
      </c>
      <c r="D119" s="4" t="s">
        <v>1630</v>
      </c>
      <c r="E119" s="4" t="s">
        <v>139</v>
      </c>
      <c r="F119" s="4" t="s">
        <v>1136</v>
      </c>
      <c r="G119" s="6"/>
      <c r="H119" s="4" t="s">
        <v>57</v>
      </c>
      <c r="I119" s="4" t="s">
        <v>58</v>
      </c>
      <c r="J119" s="4" t="s">
        <v>38</v>
      </c>
      <c r="K119" s="4" t="str">
        <f t="shared" ref="K119:K127" ca="1" si="3">IF(J119="Cerrada","Cerrada",IF(J119="Suspendida","Suspendida",IF(G119="","Sin fecha",IF(G119&lt;TODAY(),"Vencida",IF(G119-TODAY()&lt;=30,"Próxima a vencer","Abierta")))))</f>
        <v>Sin fecha</v>
      </c>
      <c r="L119" s="8" t="s">
        <v>1199</v>
      </c>
      <c r="M119" s="8">
        <v>4000000</v>
      </c>
      <c r="N119" s="4" t="s">
        <v>197</v>
      </c>
      <c r="O119" s="4" t="s">
        <v>1631</v>
      </c>
      <c r="P119" s="4" t="s">
        <v>242</v>
      </c>
      <c r="Q119" s="4" t="s">
        <v>1632</v>
      </c>
      <c r="R119" s="4" t="s">
        <v>379</v>
      </c>
      <c r="S119" s="4" t="s">
        <v>1633</v>
      </c>
      <c r="T119" s="4" t="s">
        <v>44</v>
      </c>
      <c r="U119" s="4" t="s">
        <v>1634</v>
      </c>
      <c r="V119" s="4" t="s">
        <v>1635</v>
      </c>
      <c r="W119" s="4" t="s">
        <v>1636</v>
      </c>
      <c r="X119" s="4" t="s">
        <v>1637</v>
      </c>
      <c r="Y119" s="4" t="s">
        <v>1638</v>
      </c>
      <c r="Z119" s="4" t="s">
        <v>1639</v>
      </c>
      <c r="AA119" s="4"/>
      <c r="AB119" s="6">
        <v>46238</v>
      </c>
      <c r="AC119" s="4" t="s">
        <v>1640</v>
      </c>
      <c r="AD119" s="4" t="s">
        <v>1641</v>
      </c>
    </row>
    <row r="120" spans="1:30" ht="128.25" customHeight="1">
      <c r="A120" s="4" t="s">
        <v>1642</v>
      </c>
      <c r="B120" s="4" t="s">
        <v>54</v>
      </c>
      <c r="C120" s="4" t="s">
        <v>1643</v>
      </c>
      <c r="D120" s="4" t="s">
        <v>1644</v>
      </c>
      <c r="E120" s="4" t="s">
        <v>139</v>
      </c>
      <c r="F120" s="4" t="s">
        <v>1136</v>
      </c>
      <c r="G120" s="6"/>
      <c r="H120" s="4" t="s">
        <v>57</v>
      </c>
      <c r="I120" s="4" t="s">
        <v>377</v>
      </c>
      <c r="J120" s="4" t="s">
        <v>38</v>
      </c>
      <c r="K120" s="4" t="str">
        <f t="shared" ca="1" si="3"/>
        <v>Sin fecha</v>
      </c>
      <c r="L120" s="8">
        <v>500000</v>
      </c>
      <c r="M120" s="8">
        <v>2000000</v>
      </c>
      <c r="N120" s="4" t="s">
        <v>197</v>
      </c>
      <c r="O120" s="4" t="s">
        <v>1415</v>
      </c>
      <c r="P120" s="4" t="s">
        <v>124</v>
      </c>
      <c r="Q120" s="4" t="s">
        <v>1645</v>
      </c>
      <c r="R120" s="4" t="s">
        <v>313</v>
      </c>
      <c r="S120" s="4" t="s">
        <v>1646</v>
      </c>
      <c r="T120" s="4" t="s">
        <v>44</v>
      </c>
      <c r="U120" s="4" t="s">
        <v>1647</v>
      </c>
      <c r="V120" s="4" t="s">
        <v>1648</v>
      </c>
      <c r="W120" s="4" t="s">
        <v>1649</v>
      </c>
      <c r="X120" s="4" t="s">
        <v>1650</v>
      </c>
      <c r="Y120" s="4" t="s">
        <v>1651</v>
      </c>
      <c r="Z120" s="4" t="s">
        <v>1652</v>
      </c>
      <c r="AA120" s="4"/>
      <c r="AB120" s="6">
        <v>46238</v>
      </c>
      <c r="AC120" s="4" t="s">
        <v>1653</v>
      </c>
      <c r="AD120" s="4" t="s">
        <v>1654</v>
      </c>
    </row>
    <row r="121" spans="1:30" ht="128.25" customHeight="1">
      <c r="A121" s="4" t="s">
        <v>1655</v>
      </c>
      <c r="B121" s="4" t="s">
        <v>54</v>
      </c>
      <c r="C121" s="4" t="s">
        <v>1656</v>
      </c>
      <c r="D121" s="4" t="s">
        <v>1657</v>
      </c>
      <c r="E121" s="4" t="s">
        <v>121</v>
      </c>
      <c r="F121" s="4" t="s">
        <v>1136</v>
      </c>
      <c r="G121" s="6"/>
      <c r="H121" s="4" t="s">
        <v>57</v>
      </c>
      <c r="I121" s="4" t="s">
        <v>87</v>
      </c>
      <c r="J121" s="4" t="s">
        <v>38</v>
      </c>
      <c r="K121" s="4" t="str">
        <f t="shared" ca="1" si="3"/>
        <v>Sin fecha</v>
      </c>
      <c r="L121" s="8" t="s">
        <v>1199</v>
      </c>
      <c r="M121" s="8" t="s">
        <v>1199</v>
      </c>
      <c r="N121" s="4" t="s">
        <v>197</v>
      </c>
      <c r="O121" s="4" t="s">
        <v>1658</v>
      </c>
      <c r="P121" s="4" t="s">
        <v>124</v>
      </c>
      <c r="Q121" s="4" t="s">
        <v>1659</v>
      </c>
      <c r="R121" s="4" t="s">
        <v>313</v>
      </c>
      <c r="S121" s="4" t="s">
        <v>1660</v>
      </c>
      <c r="T121" s="4" t="s">
        <v>44</v>
      </c>
      <c r="U121" s="4" t="s">
        <v>1661</v>
      </c>
      <c r="V121" s="4" t="s">
        <v>1662</v>
      </c>
      <c r="W121" s="4" t="s">
        <v>1663</v>
      </c>
      <c r="X121" s="4" t="s">
        <v>1664</v>
      </c>
      <c r="Y121" s="4" t="s">
        <v>1665</v>
      </c>
      <c r="Z121" s="4" t="s">
        <v>1666</v>
      </c>
      <c r="AA121" s="4"/>
      <c r="AB121" s="6">
        <v>46238</v>
      </c>
      <c r="AC121" s="4" t="s">
        <v>1667</v>
      </c>
      <c r="AD121" s="4" t="s">
        <v>1668</v>
      </c>
    </row>
    <row r="122" spans="1:30" ht="128.25">
      <c r="A122" s="4" t="s">
        <v>1681</v>
      </c>
      <c r="B122" s="4" t="s">
        <v>54</v>
      </c>
      <c r="C122" s="4" t="s">
        <v>1669</v>
      </c>
      <c r="D122" s="4" t="s">
        <v>1670</v>
      </c>
      <c r="E122" s="4" t="s">
        <v>121</v>
      </c>
      <c r="F122" s="4" t="s">
        <v>122</v>
      </c>
      <c r="G122" s="6">
        <v>46277</v>
      </c>
      <c r="H122" s="4" t="s">
        <v>36</v>
      </c>
      <c r="I122" s="4" t="s">
        <v>58</v>
      </c>
      <c r="J122" s="4" t="s">
        <v>38</v>
      </c>
      <c r="K122" s="4" t="str">
        <f t="shared" ca="1" si="3"/>
        <v>Próxima a vencer</v>
      </c>
      <c r="L122" s="8">
        <v>2000</v>
      </c>
      <c r="M122" s="8">
        <v>2000</v>
      </c>
      <c r="N122" s="4" t="s">
        <v>39</v>
      </c>
      <c r="O122" s="4" t="s">
        <v>1671</v>
      </c>
      <c r="P122" s="4" t="s">
        <v>185</v>
      </c>
      <c r="Q122" s="4" t="s">
        <v>1672</v>
      </c>
      <c r="R122" s="4" t="s">
        <v>271</v>
      </c>
      <c r="S122" s="4" t="s">
        <v>1673</v>
      </c>
      <c r="T122" s="4" t="s">
        <v>1199</v>
      </c>
      <c r="U122" s="4" t="s">
        <v>1674</v>
      </c>
      <c r="V122" s="4" t="s">
        <v>1675</v>
      </c>
      <c r="W122" s="4" t="s">
        <v>1676</v>
      </c>
      <c r="X122" s="4" t="s">
        <v>1677</v>
      </c>
      <c r="Y122" s="4" t="s">
        <v>1678</v>
      </c>
      <c r="Z122" s="4" t="s">
        <v>1679</v>
      </c>
      <c r="AA122" s="4"/>
      <c r="AB122" s="6">
        <v>46253</v>
      </c>
      <c r="AC122" s="4" t="s">
        <v>1670</v>
      </c>
      <c r="AD122" s="4" t="s">
        <v>1680</v>
      </c>
    </row>
    <row r="123" spans="1:30" ht="128.25">
      <c r="A123" s="4" t="str">
        <f t="shared" ref="A123:A128" si="4">IF(C123="","","OP-"&amp;TEXT(ROW()-1,"0000"))</f>
        <v>OP-0122</v>
      </c>
      <c r="B123" s="4" t="s">
        <v>54</v>
      </c>
      <c r="C123" s="4" t="s">
        <v>1682</v>
      </c>
      <c r="D123" s="4" t="s">
        <v>1683</v>
      </c>
      <c r="E123" s="4" t="s">
        <v>139</v>
      </c>
      <c r="F123" s="4" t="s">
        <v>1684</v>
      </c>
      <c r="G123" s="6">
        <v>46308</v>
      </c>
      <c r="H123" s="4" t="s">
        <v>36</v>
      </c>
      <c r="I123" s="4" t="s">
        <v>87</v>
      </c>
      <c r="J123" s="4" t="s">
        <v>38</v>
      </c>
      <c r="K123" s="4" t="str">
        <f t="shared" ca="1" si="3"/>
        <v>Abierta</v>
      </c>
      <c r="L123" s="8"/>
      <c r="M123" s="8">
        <v>300000000</v>
      </c>
      <c r="N123" s="4" t="s">
        <v>1200</v>
      </c>
      <c r="O123" s="4" t="s">
        <v>1685</v>
      </c>
      <c r="P123" s="4" t="s">
        <v>142</v>
      </c>
      <c r="Q123" s="4" t="s">
        <v>286</v>
      </c>
      <c r="R123" s="4" t="s">
        <v>313</v>
      </c>
      <c r="S123" s="4" t="s">
        <v>1686</v>
      </c>
      <c r="T123" s="4" t="s">
        <v>1687</v>
      </c>
      <c r="U123" s="4" t="s">
        <v>1688</v>
      </c>
      <c r="V123" s="4" t="s">
        <v>1689</v>
      </c>
      <c r="W123" s="4" t="s">
        <v>1690</v>
      </c>
      <c r="X123" s="4" t="s">
        <v>1691</v>
      </c>
      <c r="Y123" s="4" t="s">
        <v>1692</v>
      </c>
      <c r="Z123" s="4" t="s">
        <v>1693</v>
      </c>
      <c r="AA123" s="4"/>
      <c r="AB123" s="6">
        <v>46261</v>
      </c>
      <c r="AC123" s="4" t="s">
        <v>1694</v>
      </c>
      <c r="AD123" s="4" t="s">
        <v>1695</v>
      </c>
    </row>
    <row r="124" spans="1:30" ht="128.25">
      <c r="A124" s="4" t="str">
        <f t="shared" si="4"/>
        <v>OP-0123</v>
      </c>
      <c r="B124" s="4" t="s">
        <v>54</v>
      </c>
      <c r="C124" s="4" t="s">
        <v>1696</v>
      </c>
      <c r="D124" s="4" t="s">
        <v>1683</v>
      </c>
      <c r="E124" s="4" t="s">
        <v>139</v>
      </c>
      <c r="F124" s="4" t="s">
        <v>1684</v>
      </c>
      <c r="G124" s="6">
        <v>46308</v>
      </c>
      <c r="H124" s="4" t="s">
        <v>36</v>
      </c>
      <c r="I124" s="4" t="s">
        <v>87</v>
      </c>
      <c r="J124" s="4" t="s">
        <v>38</v>
      </c>
      <c r="K124" s="4" t="str">
        <f t="shared" ca="1" si="3"/>
        <v>Abierta</v>
      </c>
      <c r="L124" s="8"/>
      <c r="M124" s="8">
        <v>300000000</v>
      </c>
      <c r="N124" s="4" t="s">
        <v>1200</v>
      </c>
      <c r="O124" s="4" t="s">
        <v>1685</v>
      </c>
      <c r="P124" s="4" t="s">
        <v>142</v>
      </c>
      <c r="Q124" s="4" t="s">
        <v>286</v>
      </c>
      <c r="R124" s="4" t="s">
        <v>313</v>
      </c>
      <c r="S124" s="4" t="s">
        <v>1686</v>
      </c>
      <c r="T124" s="4" t="s">
        <v>1687</v>
      </c>
      <c r="U124" s="4" t="s">
        <v>1697</v>
      </c>
      <c r="V124" s="4" t="s">
        <v>1698</v>
      </c>
      <c r="W124" s="4" t="s">
        <v>1699</v>
      </c>
      <c r="X124" s="4" t="s">
        <v>1691</v>
      </c>
      <c r="Y124" s="4" t="s">
        <v>1692</v>
      </c>
      <c r="Z124" s="4" t="s">
        <v>1693</v>
      </c>
      <c r="AA124" s="4"/>
      <c r="AB124" s="6">
        <v>46261</v>
      </c>
      <c r="AC124" s="4" t="s">
        <v>1694</v>
      </c>
      <c r="AD124" s="4" t="s">
        <v>1700</v>
      </c>
    </row>
    <row r="125" spans="1:30" ht="128.25">
      <c r="A125" s="4" t="str">
        <f t="shared" si="4"/>
        <v>OP-0124</v>
      </c>
      <c r="B125" s="4" t="s">
        <v>54</v>
      </c>
      <c r="C125" s="4" t="s">
        <v>1701</v>
      </c>
      <c r="D125" s="4" t="s">
        <v>1683</v>
      </c>
      <c r="E125" s="4" t="s">
        <v>139</v>
      </c>
      <c r="F125" s="4" t="s">
        <v>1684</v>
      </c>
      <c r="G125" s="6">
        <v>46308</v>
      </c>
      <c r="H125" s="4" t="s">
        <v>36</v>
      </c>
      <c r="I125" s="4" t="s">
        <v>87</v>
      </c>
      <c r="J125" s="4" t="s">
        <v>38</v>
      </c>
      <c r="K125" s="4" t="str">
        <f t="shared" ca="1" si="3"/>
        <v>Abierta</v>
      </c>
      <c r="L125" s="8"/>
      <c r="M125" s="8">
        <v>300000000</v>
      </c>
      <c r="N125" s="4" t="s">
        <v>1200</v>
      </c>
      <c r="O125" s="4" t="s">
        <v>1685</v>
      </c>
      <c r="P125" s="4" t="s">
        <v>142</v>
      </c>
      <c r="Q125" s="4" t="s">
        <v>286</v>
      </c>
      <c r="R125" s="4" t="s">
        <v>313</v>
      </c>
      <c r="S125" s="4" t="s">
        <v>1686</v>
      </c>
      <c r="T125" s="4" t="s">
        <v>1687</v>
      </c>
      <c r="U125" s="4" t="s">
        <v>1702</v>
      </c>
      <c r="V125" s="4" t="s">
        <v>1703</v>
      </c>
      <c r="W125" s="4" t="s">
        <v>1704</v>
      </c>
      <c r="X125" s="4" t="s">
        <v>1691</v>
      </c>
      <c r="Y125" s="4" t="s">
        <v>1692</v>
      </c>
      <c r="Z125" s="4" t="s">
        <v>1693</v>
      </c>
      <c r="AA125" s="4"/>
      <c r="AB125" s="6">
        <v>46261</v>
      </c>
      <c r="AC125" s="4" t="s">
        <v>1694</v>
      </c>
      <c r="AD125" s="4" t="s">
        <v>1705</v>
      </c>
    </row>
    <row r="126" spans="1:30" ht="128.25" customHeight="1">
      <c r="A126" s="4" t="str">
        <f t="shared" si="4"/>
        <v>OP-0125</v>
      </c>
      <c r="B126" s="4" t="s">
        <v>54</v>
      </c>
      <c r="C126" s="4" t="s">
        <v>1706</v>
      </c>
      <c r="D126" s="4" t="s">
        <v>1707</v>
      </c>
      <c r="E126" s="4" t="s">
        <v>139</v>
      </c>
      <c r="F126" s="4" t="s">
        <v>906</v>
      </c>
      <c r="G126" s="6">
        <v>46326</v>
      </c>
      <c r="H126" s="4" t="s">
        <v>36</v>
      </c>
      <c r="I126" s="4" t="s">
        <v>377</v>
      </c>
      <c r="J126" s="4" t="s">
        <v>38</v>
      </c>
      <c r="K126" s="4" t="str">
        <f t="shared" ca="1" si="3"/>
        <v>Abierta</v>
      </c>
      <c r="L126" s="8" t="s">
        <v>1199</v>
      </c>
      <c r="M126" s="8">
        <v>300000</v>
      </c>
      <c r="N126" s="4" t="s">
        <v>197</v>
      </c>
      <c r="O126" s="4" t="s">
        <v>485</v>
      </c>
      <c r="P126" s="4" t="s">
        <v>61</v>
      </c>
      <c r="Q126" s="4" t="s">
        <v>286</v>
      </c>
      <c r="R126" s="4" t="s">
        <v>313</v>
      </c>
      <c r="S126" s="4" t="s">
        <v>1708</v>
      </c>
      <c r="T126" s="4" t="s">
        <v>1687</v>
      </c>
      <c r="U126" s="4" t="s">
        <v>1709</v>
      </c>
      <c r="V126" s="4" t="s">
        <v>1710</v>
      </c>
      <c r="W126" s="4" t="s">
        <v>1711</v>
      </c>
      <c r="X126" s="4" t="s">
        <v>1712</v>
      </c>
      <c r="Y126" s="4" t="s">
        <v>1713</v>
      </c>
      <c r="Z126" s="4" t="s">
        <v>1714</v>
      </c>
      <c r="AA126" s="4"/>
      <c r="AB126" s="6">
        <v>46269</v>
      </c>
      <c r="AC126" s="4" t="s">
        <v>1715</v>
      </c>
      <c r="AD126" s="4" t="s">
        <v>1716</v>
      </c>
    </row>
    <row r="127" spans="1:30" ht="242.25">
      <c r="A127" s="4" t="str">
        <f t="shared" si="4"/>
        <v>OP-0126</v>
      </c>
      <c r="B127" s="4" t="s">
        <v>54</v>
      </c>
      <c r="C127" s="4" t="s">
        <v>1717</v>
      </c>
      <c r="D127" s="4" t="s">
        <v>1718</v>
      </c>
      <c r="E127" s="4" t="s">
        <v>121</v>
      </c>
      <c r="F127" s="4" t="s">
        <v>122</v>
      </c>
      <c r="G127" s="6">
        <v>46321</v>
      </c>
      <c r="H127" s="4" t="s">
        <v>36</v>
      </c>
      <c r="I127" s="4" t="s">
        <v>87</v>
      </c>
      <c r="J127" s="4" t="s">
        <v>38</v>
      </c>
      <c r="K127" s="4" t="str">
        <f t="shared" ca="1" si="3"/>
        <v>Abierta</v>
      </c>
      <c r="L127" s="8" t="s">
        <v>1199</v>
      </c>
      <c r="M127" s="8">
        <v>250000</v>
      </c>
      <c r="N127" s="4" t="s">
        <v>39</v>
      </c>
      <c r="O127" s="4" t="s">
        <v>1719</v>
      </c>
      <c r="P127" s="4" t="s">
        <v>124</v>
      </c>
      <c r="Q127" s="4" t="s">
        <v>286</v>
      </c>
      <c r="R127" s="4" t="s">
        <v>379</v>
      </c>
      <c r="S127" s="4" t="s">
        <v>1720</v>
      </c>
      <c r="T127" s="4" t="s">
        <v>1687</v>
      </c>
      <c r="U127" s="4" t="s">
        <v>1721</v>
      </c>
      <c r="V127" s="4" t="s">
        <v>1722</v>
      </c>
      <c r="W127" s="4" t="s">
        <v>1723</v>
      </c>
      <c r="X127" s="4" t="s">
        <v>1724</v>
      </c>
      <c r="Y127" s="4" t="s">
        <v>1725</v>
      </c>
      <c r="Z127" s="4" t="s">
        <v>1726</v>
      </c>
      <c r="AA127" s="4"/>
      <c r="AB127" s="6">
        <v>46269</v>
      </c>
      <c r="AC127" s="4" t="s">
        <v>1727</v>
      </c>
      <c r="AD127" s="4" t="s">
        <v>1728</v>
      </c>
    </row>
    <row r="128" spans="1:30" ht="99.75">
      <c r="A128" s="4" t="str">
        <f t="shared" si="4"/>
        <v>OP-0127</v>
      </c>
      <c r="B128" s="4" t="s">
        <v>54</v>
      </c>
      <c r="C128" s="4" t="s">
        <v>1729</v>
      </c>
      <c r="D128" s="4" t="s">
        <v>1730</v>
      </c>
      <c r="E128" s="4" t="s">
        <v>34</v>
      </c>
      <c r="F128" s="4" t="s">
        <v>35</v>
      </c>
      <c r="G128" s="6">
        <v>46149</v>
      </c>
      <c r="H128" s="4" t="s">
        <v>36</v>
      </c>
      <c r="I128" s="4" t="s">
        <v>58</v>
      </c>
      <c r="J128" s="4" t="s">
        <v>88</v>
      </c>
      <c r="K128" s="4" t="str">
        <f t="shared" ref="K128:K191" ca="1" si="5">IF(J128="Cerrada","Cerrada",IF(J128="Suspendida","Suspendida",IF(G128="","Sin fecha",IF(G128&lt;TODAY(),"Vencida",IF(G128-TODAY()&lt;=30,"Próxima a vencer","Abierta")))))</f>
        <v>Cerrada</v>
      </c>
      <c r="L128" s="8" t="s">
        <v>1199</v>
      </c>
      <c r="M128" s="8" t="s">
        <v>59</v>
      </c>
      <c r="N128" s="4" t="s">
        <v>39</v>
      </c>
      <c r="O128" s="4" t="s">
        <v>1731</v>
      </c>
      <c r="P128" s="4" t="s">
        <v>242</v>
      </c>
      <c r="Q128" s="4" t="s">
        <v>286</v>
      </c>
      <c r="R128" s="4" t="s">
        <v>1732</v>
      </c>
      <c r="S128" s="4" t="s">
        <v>122</v>
      </c>
      <c r="T128" s="4" t="s">
        <v>1733</v>
      </c>
      <c r="U128" s="4" t="s">
        <v>1734</v>
      </c>
      <c r="V128" s="4" t="s">
        <v>1735</v>
      </c>
      <c r="W128" s="4" t="s">
        <v>1736</v>
      </c>
      <c r="X128" s="4" t="s">
        <v>1737</v>
      </c>
      <c r="Y128" s="4" t="s">
        <v>1738</v>
      </c>
      <c r="Z128" s="4" t="s">
        <v>1739</v>
      </c>
      <c r="AA128" s="4"/>
      <c r="AB128" s="6">
        <v>46273</v>
      </c>
      <c r="AC128" s="4" t="s">
        <v>1740</v>
      </c>
      <c r="AD128" s="4" t="s">
        <v>1741</v>
      </c>
    </row>
    <row r="129" spans="1:30" ht="114">
      <c r="A129" s="4" t="str">
        <f t="shared" ref="A129:A192" si="6">IF(C129="","","OP-"&amp;TEXT(ROW()-1,"0000"))</f>
        <v>OP-0128</v>
      </c>
      <c r="B129" s="4" t="s">
        <v>54</v>
      </c>
      <c r="C129" s="4" t="s">
        <v>1742</v>
      </c>
      <c r="D129" s="4" t="s">
        <v>1730</v>
      </c>
      <c r="E129" s="4" t="s">
        <v>34</v>
      </c>
      <c r="F129" s="4" t="s">
        <v>35</v>
      </c>
      <c r="G129" s="6">
        <v>46164</v>
      </c>
      <c r="H129" s="4" t="s">
        <v>36</v>
      </c>
      <c r="I129" s="4" t="s">
        <v>58</v>
      </c>
      <c r="J129" s="4" t="s">
        <v>88</v>
      </c>
      <c r="K129" s="4" t="str">
        <f t="shared" ca="1" si="5"/>
        <v>Cerrada</v>
      </c>
      <c r="L129" s="8" t="s">
        <v>1199</v>
      </c>
      <c r="M129" s="8">
        <v>500000</v>
      </c>
      <c r="N129" s="4" t="s">
        <v>39</v>
      </c>
      <c r="O129" s="4" t="s">
        <v>1199</v>
      </c>
      <c r="P129" s="4" t="s">
        <v>142</v>
      </c>
      <c r="Q129" s="4" t="s">
        <v>286</v>
      </c>
      <c r="R129" s="4" t="s">
        <v>1743</v>
      </c>
      <c r="S129" s="4" t="s">
        <v>122</v>
      </c>
      <c r="T129" s="4" t="s">
        <v>1744</v>
      </c>
      <c r="U129" s="4" t="s">
        <v>1745</v>
      </c>
      <c r="V129" s="4" t="s">
        <v>1746</v>
      </c>
      <c r="W129" s="4" t="s">
        <v>1747</v>
      </c>
      <c r="X129" s="4" t="s">
        <v>1748</v>
      </c>
      <c r="Y129" s="4" t="s">
        <v>1749</v>
      </c>
      <c r="Z129" s="4" t="s">
        <v>1750</v>
      </c>
      <c r="AA129" s="4"/>
      <c r="AB129" s="6">
        <v>46273</v>
      </c>
      <c r="AC129" s="4" t="s">
        <v>1751</v>
      </c>
      <c r="AD129" s="4" t="s">
        <v>1752</v>
      </c>
    </row>
    <row r="130" spans="1:30" ht="99.75">
      <c r="A130" s="4" t="str">
        <f t="shared" si="6"/>
        <v>OP-0129</v>
      </c>
      <c r="B130" s="4" t="s">
        <v>54</v>
      </c>
      <c r="C130" s="4" t="s">
        <v>1753</v>
      </c>
      <c r="D130" s="4" t="s">
        <v>1754</v>
      </c>
      <c r="E130" s="4" t="s">
        <v>121</v>
      </c>
      <c r="F130" s="4" t="s">
        <v>196</v>
      </c>
      <c r="G130" s="6">
        <v>46350</v>
      </c>
      <c r="H130" s="4" t="s">
        <v>36</v>
      </c>
      <c r="I130" s="4" t="s">
        <v>87</v>
      </c>
      <c r="J130" s="4" t="s">
        <v>38</v>
      </c>
      <c r="K130" s="4" t="str">
        <f t="shared" ca="1" si="5"/>
        <v>Abierta</v>
      </c>
      <c r="L130" s="8" t="s">
        <v>1199</v>
      </c>
      <c r="M130" s="8" t="s">
        <v>1199</v>
      </c>
      <c r="N130" s="4" t="s">
        <v>197</v>
      </c>
      <c r="O130" s="4" t="s">
        <v>1755</v>
      </c>
      <c r="P130" s="4" t="s">
        <v>142</v>
      </c>
      <c r="Q130" s="4" t="s">
        <v>286</v>
      </c>
      <c r="R130" s="4" t="s">
        <v>313</v>
      </c>
      <c r="S130" s="4" t="s">
        <v>1756</v>
      </c>
      <c r="T130" s="4" t="s">
        <v>1757</v>
      </c>
      <c r="U130" s="4" t="s">
        <v>45</v>
      </c>
      <c r="V130" s="4" t="s">
        <v>1758</v>
      </c>
      <c r="W130" s="4" t="s">
        <v>1759</v>
      </c>
      <c r="X130" s="4" t="s">
        <v>1760</v>
      </c>
      <c r="Y130" s="4" t="s">
        <v>1761</v>
      </c>
      <c r="Z130" s="4" t="s">
        <v>1320</v>
      </c>
      <c r="AA130" s="4"/>
      <c r="AB130" s="6">
        <v>46273</v>
      </c>
      <c r="AC130" s="4" t="s">
        <v>1762</v>
      </c>
      <c r="AD130" s="4" t="s">
        <v>1763</v>
      </c>
    </row>
    <row r="131" spans="1:30" ht="114">
      <c r="A131" s="4" t="str">
        <f t="shared" si="6"/>
        <v>OP-0130</v>
      </c>
      <c r="B131" s="4" t="s">
        <v>54</v>
      </c>
      <c r="C131" s="4" t="s">
        <v>1764</v>
      </c>
      <c r="D131" s="4" t="s">
        <v>1765</v>
      </c>
      <c r="E131" s="4" t="s">
        <v>34</v>
      </c>
      <c r="F131" s="4" t="s">
        <v>1766</v>
      </c>
      <c r="G131" s="6"/>
      <c r="H131" s="4" t="s">
        <v>283</v>
      </c>
      <c r="I131" s="4" t="s">
        <v>58</v>
      </c>
      <c r="J131" s="4"/>
      <c r="K131" s="4" t="str">
        <f t="shared" ca="1" si="5"/>
        <v>Sin fecha</v>
      </c>
      <c r="L131" s="8" t="s">
        <v>1199</v>
      </c>
      <c r="M131" s="8">
        <v>1000</v>
      </c>
      <c r="N131" s="4" t="s">
        <v>39</v>
      </c>
      <c r="O131" s="4" t="s">
        <v>1767</v>
      </c>
      <c r="P131" s="4" t="s">
        <v>242</v>
      </c>
      <c r="Q131" s="4" t="s">
        <v>1768</v>
      </c>
      <c r="R131" s="4" t="s">
        <v>271</v>
      </c>
      <c r="S131" s="4" t="s">
        <v>1769</v>
      </c>
      <c r="T131" s="4" t="s">
        <v>1770</v>
      </c>
      <c r="U131" s="4" t="s">
        <v>1771</v>
      </c>
      <c r="V131" s="4" t="s">
        <v>1772</v>
      </c>
      <c r="W131" s="4" t="s">
        <v>1773</v>
      </c>
      <c r="X131" s="4" t="s">
        <v>1774</v>
      </c>
      <c r="Y131" s="4" t="s">
        <v>1775</v>
      </c>
      <c r="Z131" s="4" t="s">
        <v>1776</v>
      </c>
      <c r="AA131" s="4"/>
      <c r="AB131" s="6">
        <v>46273</v>
      </c>
      <c r="AC131" s="4" t="s">
        <v>1777</v>
      </c>
      <c r="AD131" s="4" t="s">
        <v>1778</v>
      </c>
    </row>
    <row r="132" spans="1:30" ht="99.75">
      <c r="A132" s="4" t="str">
        <f t="shared" si="6"/>
        <v>OP-0131</v>
      </c>
      <c r="B132" s="4" t="s">
        <v>54</v>
      </c>
      <c r="C132" s="4" t="s">
        <v>1779</v>
      </c>
      <c r="D132" s="4" t="s">
        <v>1780</v>
      </c>
      <c r="E132" s="4" t="s">
        <v>139</v>
      </c>
      <c r="F132" s="4" t="s">
        <v>1781</v>
      </c>
      <c r="G132" s="6">
        <v>46281</v>
      </c>
      <c r="H132" s="4" t="s">
        <v>36</v>
      </c>
      <c r="I132" s="4" t="s">
        <v>87</v>
      </c>
      <c r="J132" s="4" t="s">
        <v>38</v>
      </c>
      <c r="K132" s="4" t="str">
        <f t="shared" ca="1" si="5"/>
        <v>Próxima a vencer</v>
      </c>
      <c r="L132" s="8" t="s">
        <v>1199</v>
      </c>
      <c r="M132" s="8">
        <v>2900000</v>
      </c>
      <c r="N132" s="4" t="s">
        <v>1200</v>
      </c>
      <c r="O132" s="4" t="s">
        <v>1782</v>
      </c>
      <c r="P132" s="4" t="s">
        <v>142</v>
      </c>
      <c r="Q132" s="4" t="s">
        <v>286</v>
      </c>
      <c r="R132" s="4" t="s">
        <v>1783</v>
      </c>
      <c r="S132" s="4" t="s">
        <v>1784</v>
      </c>
      <c r="T132" s="4" t="s">
        <v>1785</v>
      </c>
      <c r="U132" s="4" t="s">
        <v>1786</v>
      </c>
      <c r="V132" s="4" t="s">
        <v>1787</v>
      </c>
      <c r="W132" s="4" t="s">
        <v>1788</v>
      </c>
      <c r="X132" s="4" t="s">
        <v>1789</v>
      </c>
      <c r="Y132" s="4" t="s">
        <v>1790</v>
      </c>
      <c r="Z132" s="4" t="s">
        <v>1791</v>
      </c>
      <c r="AA132" s="4"/>
      <c r="AB132" s="6">
        <v>46273</v>
      </c>
      <c r="AC132" s="4" t="s">
        <v>1792</v>
      </c>
      <c r="AD132" s="4" t="s">
        <v>1793</v>
      </c>
    </row>
    <row r="133" spans="1:30" ht="99.75">
      <c r="A133" s="4" t="str">
        <f t="shared" si="6"/>
        <v>OP-0132</v>
      </c>
      <c r="B133" s="4" t="s">
        <v>54</v>
      </c>
      <c r="C133" s="4" t="s">
        <v>1794</v>
      </c>
      <c r="D133" s="4" t="s">
        <v>1795</v>
      </c>
      <c r="E133" s="4" t="s">
        <v>121</v>
      </c>
      <c r="F133" s="4" t="s">
        <v>122</v>
      </c>
      <c r="G133" s="6">
        <v>46289</v>
      </c>
      <c r="H133" s="4" t="s">
        <v>36</v>
      </c>
      <c r="I133" s="4" t="s">
        <v>87</v>
      </c>
      <c r="J133" s="4" t="s">
        <v>38</v>
      </c>
      <c r="K133" s="4" t="str">
        <f t="shared" ca="1" si="5"/>
        <v>Próxima a vencer</v>
      </c>
      <c r="L133" s="8" t="s">
        <v>1199</v>
      </c>
      <c r="M133" s="8">
        <v>100000</v>
      </c>
      <c r="N133" s="4" t="s">
        <v>39</v>
      </c>
      <c r="O133" s="4" t="s">
        <v>1796</v>
      </c>
      <c r="P133" s="4" t="s">
        <v>142</v>
      </c>
      <c r="Q133" s="4" t="s">
        <v>286</v>
      </c>
      <c r="R133" s="4" t="s">
        <v>1797</v>
      </c>
      <c r="S133" s="4" t="s">
        <v>1798</v>
      </c>
      <c r="T133" s="4" t="s">
        <v>1799</v>
      </c>
      <c r="U133" s="4" t="s">
        <v>1800</v>
      </c>
      <c r="V133" s="4" t="s">
        <v>1801</v>
      </c>
      <c r="W133" s="4" t="s">
        <v>1802</v>
      </c>
      <c r="X133" s="4" t="s">
        <v>1803</v>
      </c>
      <c r="Y133" s="4" t="s">
        <v>1804</v>
      </c>
      <c r="Z133" s="4" t="s">
        <v>1805</v>
      </c>
      <c r="AA133" s="4"/>
      <c r="AB133" s="6">
        <v>46273</v>
      </c>
      <c r="AC133" s="4" t="s">
        <v>1806</v>
      </c>
      <c r="AD133" s="4" t="s">
        <v>1807</v>
      </c>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2026-09-08T13:43:09Z</dcterms:modified>
</cp:coreProperties>
</file>