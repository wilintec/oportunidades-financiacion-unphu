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web\portal_financiamiento_github\datos\"/>
    </mc:Choice>
  </mc:AlternateContent>
  <xr:revisionPtr revIDLastSave="202" documentId="8_{F39292A8-3C47-4D37-98A0-70F2C0F84FEC}" xr6:coauthVersionLast="36" xr6:coauthVersionMax="36" xr10:uidLastSave="{5DD64847-085F-4886-A7F5-78CAB734E608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A11" i="1"/>
  <c r="K10" i="1"/>
  <c r="A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<sst xmlns="http://schemas.openxmlformats.org/spreadsheetml/2006/main" count="320" uniqueCount="224">
  <si>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</si>
  <si>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</si>
  <si>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</si>
  <si>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</si>
  <si>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</si>
  <si>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</si>
  <si>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</si>
  <si>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</si>
  <si>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</si>
  <si>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</si>
  <si>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</si>
  <si>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</si>
  <si>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</si>
  <si>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</si>
  <si>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</si>
  <si>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</si>
  <si>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</si>
  <si>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</si>
  <si>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</si>
  <si>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</si>
  <si>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</si>
  <si>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</si>
  <si>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</si>
  <si>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</si>
  <si>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</si>
  <si>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</si>
  <si>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</si>
  <si>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</si>
  <si>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</si>
  <si>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</si>
  <si>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</si>
  <si>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</si>
  <si>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</si>
  <si>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</si>
  <si>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</si>
  <si>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</si>
  <si>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</si>
  <si>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</si>
  <si>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</si>
  <si>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</si>
  <si>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</si>
  <si>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</si>
  <si>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</si>
  <si>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</si>
  <si>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</si>
  <si>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</si>
  <si>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</si>
  <si>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</si>
  <si>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</si>
  <si>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</si>
  <si>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</si>
  <si>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</si>
  <si>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</si>
  <si>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</si>
  <si>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</si>
  <si>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</si>
  <si>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</si>
  <si>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</si>
  <si>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</si>
  <si>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</si>
  <si>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</si>
  <si>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</si>
  <si>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</si>
  <si>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</si>
  <si>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</si>
  <si>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</si>
  <si>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</si>
  <si>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</si>
  <si>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</si>
  <si>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</si>
  <si>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</si>
  <si>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</si>
  <si>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</si>
  <si>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</si>
  <si>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</si>
  <si>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</si>
  <si>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</si>
  <si>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</si>
  <si>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</si>
  <si>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</si>
  <si>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</si>
  <si>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</si>
  <si>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</si>
  <si>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</si>
  <si>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</si>
  <si>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</si>
  <si>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</si>
  <si>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</si>
  <si>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</si>
  <si>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</si>
  <si>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</si>
  <si>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</si>
  <si>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</si>
  <si>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</si>
  <si>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</si>
  <si>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</si>
  <si>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</si>
  <si>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</si>
  <si>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</si>
  <si>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</si>
  <si>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</si>
  <si>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</si>
  <si>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</si>
  <si>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</si>
  <si>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</si>
  <si>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</si>
  <si>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</si>
  <si>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</si>
  <si>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</si>
  <si>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</si>
  <si>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</si>
  <si>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</si>
  <si>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</si>
  <si>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</si>
  <si>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</si>
  <si>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</si>
  <si>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</si>
  <si>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</si>
  <si>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</si>
  <si>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</si>
  <si>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</si>
  <si>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</si>
  <si>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</si>
  <si>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</si>
  <si>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</si>
  <si>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</si>
  <si>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</si>
  <si>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</si>
  <si>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</si>
  <si>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</si>
  <si>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</si>
  <si>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</si>
  <si>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</si>
  <si>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</si>
  <si>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</si>
  <si>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</si>
  <si>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</si>
  <si>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</si>
  <si>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</si>
  <si>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</si>
  <si>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</si>
  <si>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</si>
  <si>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</si>
  <si>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</si>
  <si>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</si>
  <si>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</si>
  <si>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</si>
  <si>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</si>
  <si>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</si>
  <si>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</si>
  <si>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</si>
  <si>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</si>
  <si>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</si>
  <si>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</si>
  <si>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</si>
  <si>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</si>
  <si>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</si>
  <si>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</si>
  <si>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</si>
  <si>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</si>
  <si>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</si>
  <si>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</si>
  <si>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</si>
  <si>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</si>
  <si>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</si>
  <si>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</si>
  <si>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</si>
  <si>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</si>
  <si>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</si>
  <si>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</si>
  <si>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</si>
  <si>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</si>
  <si>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</si>
  <si>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</si>
  <si>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</si>
  <si>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</si>
  <si>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</si>
  <si>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</si>
  <si>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</si>
  <si>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</si>
  <si>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</si>
  <si>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</si>
  <si>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</si>
  <si>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</si>
  <si>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</si>
  <si>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</si>
  <si>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</si>
  <si>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</si>
  <si>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</si>
  <si>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</si>
  <si>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</si>
  <si>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</si>
  <si>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</si>
  <si>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</si>
  <si>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</si>
  <si>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</si>
  <si>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</si>
  <si>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</si>
  <si>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</si>
  <si>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</si>
  <si>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</si>
  <si>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</si>
  <si>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</si>
  <si>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</si>
  <si>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</si>
  <si>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</si>
  <si>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</si>
  <si>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</si>
  <si>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</si>
  <si>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</si>
  <si>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</si>
  <si>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</si>
  <si>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</si>
  <si>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</si>
  <si>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</si>
  <si>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</si>
  <si>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2026-001</t>
  </si>
  <si>
    <t>2026-002</t>
  </si>
  <si>
    <t>2026-003</t>
  </si>
  <si>
    <t>2026-004</t>
  </si>
  <si>
    <t>2026-005</t>
  </si>
  <si>
    <t>2026-006</t>
  </si>
  <si>
    <t>2026-007</t>
  </si>
  <si>
    <t>Advanced Research y Invention 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</si>
</sst>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5" Type="http://schemas.openxmlformats.org/officeDocument/2006/relationships/hyperlink" Target="https://pivot.proquest.com/funding_opps/eab18edd-bc1f-4f00-b3ad-f2f1552f7976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7" workbookViewId="0">
      <selection activeCell="D8" sqref="D8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216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132</v>
      </c>
      <c r="AD2" s="3" t="s">
        <v>159</v>
      </c>
    </row>
    <row r="3" spans="1:30" ht="57">
      <c r="A3" s="3" t="s">
        <v>217</v>
      </c>
      <c r="B3" s="4" t="s">
        <v>42</v>
      </c>
      <c r="C3" t="s">
        <v>134</v>
      </c>
      <c r="D3" t="s">
        <v>133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138</v>
      </c>
      <c r="N3" s="4" t="s">
        <v>36</v>
      </c>
      <c r="O3" s="4" t="s">
        <v>139</v>
      </c>
      <c r="P3" s="4" t="s">
        <v>84</v>
      </c>
      <c r="Q3" s="4" t="s">
        <v>140</v>
      </c>
      <c r="R3" s="10" t="s">
        <v>141</v>
      </c>
      <c r="S3" s="3" t="s">
        <v>40</v>
      </c>
      <c r="T3" s="3" t="s">
        <v>40</v>
      </c>
      <c r="U3" s="3" t="s">
        <v>127</v>
      </c>
      <c r="V3" s="4" t="s">
        <v>142</v>
      </c>
      <c r="W3" s="4" t="s">
        <v>143</v>
      </c>
      <c r="X3" s="10" t="s">
        <v>144</v>
      </c>
      <c r="Y3" s="4" t="s">
        <v>145</v>
      </c>
      <c r="Z3" s="4" t="s">
        <v>146</v>
      </c>
      <c r="AA3" s="4"/>
      <c r="AB3" s="5">
        <v>46218</v>
      </c>
      <c r="AC3" s="3" t="s">
        <v>132</v>
      </c>
      <c r="AD3" s="4" t="s">
        <v>158</v>
      </c>
    </row>
    <row r="4" spans="1:30" ht="57">
      <c r="A4" s="3" t="s">
        <v>218</v>
      </c>
      <c r="B4" s="4" t="s">
        <v>42</v>
      </c>
      <c r="C4" s="4" t="s">
        <v>148</v>
      </c>
      <c r="D4" s="4" t="s">
        <v>147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139</v>
      </c>
      <c r="P4" s="4" t="s">
        <v>149</v>
      </c>
      <c r="Q4" s="4" t="s">
        <v>150</v>
      </c>
      <c r="R4" s="10" t="s">
        <v>151</v>
      </c>
      <c r="S4" s="4" t="s">
        <v>152</v>
      </c>
      <c r="T4" s="3" t="s">
        <v>40</v>
      </c>
      <c r="U4" s="3" t="s">
        <v>127</v>
      </c>
      <c r="V4" s="4" t="s">
        <v>153</v>
      </c>
      <c r="W4" s="4" t="s">
        <v>154</v>
      </c>
      <c r="X4" s="4" t="s">
        <v>155</v>
      </c>
      <c r="Y4" s="4" t="s">
        <v>156</v>
      </c>
      <c r="Z4" s="13" t="s">
        <v>157</v>
      </c>
      <c r="AA4" s="13"/>
      <c r="AB4" s="5">
        <v>46218</v>
      </c>
      <c r="AC4" s="3" t="s">
        <v>132</v>
      </c>
      <c r="AD4" s="4"/>
    </row>
    <row r="5" spans="1:30" ht="285">
      <c r="A5" s="3" t="s">
        <v>219</v>
      </c>
      <c r="B5" s="4" t="s">
        <v>42</v>
      </c>
      <c r="C5" s="4" t="s">
        <v>160</v>
      </c>
      <c r="D5" s="4" t="s">
        <v>161</v>
      </c>
      <c r="E5" s="4" t="s">
        <v>43</v>
      </c>
      <c r="F5" s="4" t="s">
        <v>136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173</v>
      </c>
      <c r="Q5" s="4" t="s">
        <v>162</v>
      </c>
      <c r="R5" s="4" t="s">
        <v>163</v>
      </c>
      <c r="S5" s="4" t="s">
        <v>136</v>
      </c>
      <c r="T5" s="4" t="s">
        <v>40</v>
      </c>
      <c r="U5" s="4" t="s">
        <v>127</v>
      </c>
      <c r="V5" s="4" t="s">
        <v>164</v>
      </c>
      <c r="W5" s="4" t="s">
        <v>165</v>
      </c>
      <c r="X5" s="4" t="s">
        <v>166</v>
      </c>
      <c r="Y5" s="12" t="s">
        <v>181</v>
      </c>
      <c r="Z5" s="13" t="s">
        <v>167</v>
      </c>
      <c r="AA5" s="4"/>
      <c r="AB5" s="6">
        <v>46218</v>
      </c>
      <c r="AC5" s="4" t="s">
        <v>132</v>
      </c>
      <c r="AD5" s="4" t="s">
        <v>168</v>
      </c>
    </row>
    <row r="6" spans="1:30" ht="42.75">
      <c r="A6" s="3" t="s">
        <v>220</v>
      </c>
      <c r="B6" s="4" t="s">
        <v>42</v>
      </c>
      <c r="C6" t="s">
        <v>169</v>
      </c>
      <c r="D6" s="4" t="s">
        <v>170</v>
      </c>
      <c r="E6" s="4" t="s">
        <v>171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172</v>
      </c>
      <c r="P6" s="4" t="s">
        <v>175</v>
      </c>
      <c r="Q6" s="4" t="s">
        <v>174</v>
      </c>
      <c r="R6" s="4" t="s">
        <v>176</v>
      </c>
      <c r="S6" s="4" t="s">
        <v>177</v>
      </c>
      <c r="T6" s="4" t="s">
        <v>177</v>
      </c>
      <c r="U6" s="4" t="s">
        <v>206</v>
      </c>
      <c r="V6" s="4" t="s">
        <v>178</v>
      </c>
      <c r="W6" s="4" t="s">
        <v>179</v>
      </c>
      <c r="X6" s="4" t="s">
        <v>180</v>
      </c>
      <c r="Y6" s="12" t="s">
        <v>182</v>
      </c>
      <c r="Z6" s="13" t="s">
        <v>183</v>
      </c>
      <c r="AA6" s="13" t="s">
        <v>184</v>
      </c>
      <c r="AB6" s="6">
        <v>46218</v>
      </c>
      <c r="AC6" s="4" t="s">
        <v>132</v>
      </c>
      <c r="AD6" s="4" t="s">
        <v>185</v>
      </c>
    </row>
    <row r="7" spans="1:30" ht="42.75">
      <c r="A7" s="3" t="s">
        <v>221</v>
      </c>
      <c r="B7" s="4" t="s">
        <v>42</v>
      </c>
      <c r="C7" s="4" t="s">
        <v>186</v>
      </c>
      <c r="D7" s="4" t="s">
        <v>187</v>
      </c>
      <c r="E7" s="4" t="s">
        <v>55</v>
      </c>
      <c r="F7" s="4" t="s">
        <v>188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189</v>
      </c>
      <c r="P7" s="4" t="s">
        <v>190</v>
      </c>
      <c r="Q7" s="4" t="s">
        <v>191</v>
      </c>
      <c r="R7" s="4" t="s">
        <v>192</v>
      </c>
      <c r="S7" s="4" t="s">
        <v>193</v>
      </c>
      <c r="T7" s="4" t="s">
        <v>177</v>
      </c>
      <c r="U7" s="4" t="s">
        <v>207</v>
      </c>
      <c r="V7" s="4" t="s">
        <v>194</v>
      </c>
      <c r="W7" s="4" t="s">
        <v>195</v>
      </c>
      <c r="X7" s="4" t="s">
        <v>196</v>
      </c>
      <c r="Y7" s="4" t="s">
        <v>197</v>
      </c>
      <c r="Z7" s="13" t="s">
        <v>198</v>
      </c>
      <c r="AA7" s="13" t="s">
        <v>199</v>
      </c>
      <c r="AB7" s="6">
        <v>46218</v>
      </c>
      <c r="AC7" s="4" t="s">
        <v>132</v>
      </c>
      <c r="AD7" s="4" t="s">
        <v>200</v>
      </c>
    </row>
    <row r="8" spans="1:30" ht="57">
      <c r="A8" s="3" t="s">
        <v>222</v>
      </c>
      <c r="B8" s="4" t="s">
        <v>42</v>
      </c>
      <c r="C8" s="4" t="s">
        <v>201</v>
      </c>
      <c r="D8" s="4" t="s">
        <v>223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189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132</v>
      </c>
      <c r="AD8" s="4" t="s">
        <v>213</v>
      </c>
    </row>
    <row r="9" spans="1:30">
      <c r="A9" s="3"/>
      <c r="B9" s="4"/>
      <c r="C9" s="4"/>
      <c r="D9" s="4"/>
      <c r="E9" s="4"/>
      <c r="F9" s="4"/>
      <c r="G9" s="6"/>
      <c r="H9" s="4"/>
      <c r="I9" s="4"/>
      <c r="J9" s="4"/>
      <c r="K9" s="4" t="str">
        <f t="shared" ca="1" si="0"/>
        <v>Sin fecha</v>
      </c>
      <c r="L9" s="8"/>
      <c r="M9" s="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6"/>
      <c r="AC9" s="4"/>
      <c r="AD9" s="4"/>
    </row>
    <row r="10" spans="1:30">
      <c r="A10" s="4" t="str">
        <f t="shared" ref="A10:A66" si="1">IF(C10="","","OP-"&amp;TEXT(ROW()-1,"0000"))</f>
        <v/>
      </c>
      <c r="B10" s="4"/>
      <c r="C10" s="4"/>
      <c r="D10" s="4"/>
      <c r="E10" s="4"/>
      <c r="F10" s="4"/>
      <c r="G10" s="6"/>
      <c r="H10" s="4"/>
      <c r="I10" s="4"/>
      <c r="J10" s="4"/>
      <c r="K10" s="4" t="str">
        <f t="shared" ca="1" si="0"/>
        <v>Sin fecha</v>
      </c>
      <c r="L10" s="8"/>
      <c r="M10" s="8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6"/>
      <c r="AC10" s="4"/>
      <c r="AD10" s="4"/>
    </row>
    <row r="11" spans="1:30">
      <c r="A11" s="4" t="str">
        <f t="shared" si="1"/>
        <v/>
      </c>
      <c r="B11" s="4"/>
      <c r="C11" s="4"/>
      <c r="D11" s="4"/>
      <c r="E11" s="4"/>
      <c r="F11" s="4"/>
      <c r="G11" s="6"/>
      <c r="H11" s="4"/>
      <c r="I11" s="4"/>
      <c r="J11" s="4"/>
      <c r="K11" s="4" t="str">
        <f t="shared" ca="1" si="0"/>
        <v>Sin fecha</v>
      </c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6"/>
      <c r="AC11" s="4"/>
      <c r="AD11" s="4"/>
    </row>
    <row r="12" spans="1:30">
      <c r="A12" s="4" t="str">
        <f t="shared" si="1"/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</hyperlinks>
  <pageMargins left="0.7" right="0.7" top="0.75" bottom="0.75" header="0.3" footer="0.3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P2:P6 P8:P501</xm:sqref>
        </x14:dataValidation>
        <x14:dataValidation type="list" xr:uid="{7294F5CE-E97A-48A2-B6BE-654073D920EC}">
          <x14:formula1>
            <xm:f>Catálogos!$G$2:$G$11</xm:f>
          </x14:formula1>
          <xm:sqref>P7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H13" sqref="H13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135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136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137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188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2026-07-15T19:12:06Z</dcterms:modified>
</cp:coreProperties>
</file>