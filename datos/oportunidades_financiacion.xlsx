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464" documentId="8_{F39292A8-3C47-4D37-98A0-70F2C0F84FEC}" xr6:coauthVersionLast="36" xr6:coauthVersionMax="36" xr10:uidLastSave="{2720F875-79CF-4EED-9647-0CD878AFF576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8" i="1"/>
  <c r="K501" i="1" l="1"/>
  <c r="A501" i="1"/>
  <c r="K500" i="1"/>
  <c r="A500" i="1"/>
  <c r="K499" i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K17" i="1"/>
  <c r="A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Z20" i="1"/>
  <c r="Z19" i="1"/>
  <c r="Z18" i="1"/>
  <c r="Z17" i="1"/>
</calcChain>
</file>

<file path=xl/sharedStrings.xml><?xml version="1.0" encoding="utf-8"?>
<sst xmlns="http://schemas.openxmlformats.org/spreadsheetml/2006/main" count="596" uniqueCount="382">
  <si>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</si>
  <si>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</si>
  <si>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</si>
  <si>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</si>
  <si>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</si>
  <si>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</si>
  <si>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</si>
  <si>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</si>
  <si>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</si>
  <si>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</si>
  <si>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</si>
  <si>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</si>
  <si>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</si>
  <si>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</si>
  <si>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</si>
  <si>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</si>
  <si>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</si>
  <si>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</si>
  <si>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</si>
  <si>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</si>
  <si>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</si>
  <si>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</si>
  <si>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</si>
  <si>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</si>
  <si>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</si>
  <si>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</si>
  <si>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</si>
  <si>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</si>
  <si>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</si>
  <si>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</si>
  <si>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</si>
  <si>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</si>
  <si>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</si>
  <si>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</si>
  <si>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</si>
  <si>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</si>
  <si>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</si>
  <si>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</si>
  <si>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</si>
  <si>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</si>
  <si>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</si>
  <si>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</si>
  <si>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</si>
  <si>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</si>
  <si>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</si>
  <si>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</si>
  <si>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</si>
  <si>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</si>
  <si>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</si>
  <si>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</si>
  <si>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</si>
  <si>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</si>
  <si>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</si>
  <si>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</si>
  <si>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</si>
  <si>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</si>
  <si>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</si>
  <si>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</si>
  <si>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</si>
  <si>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</si>
  <si>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</si>
  <si>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</si>
  <si>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</si>
  <si>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</si>
  <si>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</si>
  <si>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</si>
  <si>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</si>
  <si>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</si>
  <si>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</si>
  <si>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</si>
  <si>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</si>
  <si>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</si>
  <si>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</si>
  <si>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</si>
  <si>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</si>
  <si>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</si>
  <si>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</si>
  <si>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</si>
  <si>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</si>
  <si>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</si>
  <si>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</si>
  <si>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</si>
  <si>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</si>
  <si>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</si>
  <si>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</si>
  <si>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</si>
  <si>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</si>
  <si>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</si>
  <si>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</si>
  <si>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</si>
  <si>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</si>
  <si>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</si>
  <si>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</si>
  <si>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</si>
  <si>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</si>
  <si>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</si>
  <si>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</si>
  <si>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</si>
  <si>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</si>
  <si>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</si>
  <si>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</si>
  <si>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</si>
  <si>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</si>
  <si>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</si>
  <si>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</si>
  <si>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</si>
  <si>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</si>
  <si>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</si>
  <si>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</si>
  <si>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</si>
  <si>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</si>
  <si>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</si>
  <si>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</si>
  <si>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</si>
  <si>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</si>
  <si>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</si>
  <si>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</si>
  <si>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</si>
  <si>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</si>
  <si>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</si>
  <si>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</si>
  <si>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</si>
  <si>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</si>
  <si>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</si>
  <si>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</si>
  <si>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</si>
  <si>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</si>
  <si>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</si>
  <si>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</si>
  <si>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</si>
  <si>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</si>
  <si>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</si>
  <si>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</si>
  <si>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</si>
  <si>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</si>
  <si>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</si>
  <si>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</si>
  <si>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</si>
  <si>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</si>
  <si>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</si>
  <si>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</si>
  <si>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</si>
  <si>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</si>
  <si>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</si>
  <si>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</si>
  <si>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</si>
  <si>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</si>
  <si>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</si>
  <si>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</si>
  <si>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</si>
  <si>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</si>
  <si>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</si>
  <si>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</si>
  <si>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</si>
  <si>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</si>
  <si>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</si>
  <si>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</si>
  <si>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</si>
  <si>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</si>
  <si>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</si>
  <si>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</si>
  <si>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</si>
  <si>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</si>
  <si>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</si>
  <si>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</si>
  <si>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</si>
  <si>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</si>
  <si>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</si>
  <si>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</si>
  <si>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</si>
  <si>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</si>
  <si>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</si>
  <si>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</si>
  <si>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</si>
  <si>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</si>
  <si>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</si>
  <si>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</si>
  <si>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</si>
  <si>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</si>
  <si>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</si>
  <si>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</si>
  <si>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</si>
  <si>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</si>
  <si>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</si>
  <si>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</si>
  <si>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</si>
  <si>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</si>
  <si>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</si>
  <si>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</si>
  <si>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</si>
  <si>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</si>
  <si>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</si>
  <si>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</si>
  <si>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</si>
  <si>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</si>
  <si>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</si>
  <si>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</si>
  <si>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</si>
  <si>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</si>
  <si>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</si>
  <si>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</si>
  <si>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</si>
  <si>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</si>
  <si>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</si>
  <si>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</si>
  <si>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</si>
  <si>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</si>
  <si>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</si>
  <si>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</si>
  <si>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</si>
  <si>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</si>
  <si>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</si>
  <si>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</si>
  <si>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</si>
  <si>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</si>
  <si>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</si>
  <si>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</si>
  <si>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</si>
  <si>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</si>
  <si>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</si>
  <si>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</si>
  <si>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</si>
  <si>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</si>
  <si>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</si>
  <si>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</si>
  <si>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</si>
  <si>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</si>
  <si>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</si>
  <si>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</si>
  <si>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</si>
  <si>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</si>
  <si>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</si>
  <si>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</si>
  <si>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</si>
  <si>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</si>
  <si>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</si>
  <si>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</si>
  <si>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</si>
  <si>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</si>
  <si>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</si>
  <si>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</si>
  <si>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</si>
  <si>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</si>
  <si>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</si>
  <si>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</si>
  <si>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</si>
  <si>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</si>
  <si>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</si>
  <si>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</si>
  <si>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</si>
  <si>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</si>
  <si>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</si>
  <si>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</si>
  <si>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</si>
  <si>
    <t xml:space="preserve"> IBM Ph.D. Fellowship</t>
  </si>
  <si>
    <t>Horizon Europe — New European Bauhaus</t>
  </si>
  <si>
    <t>2026-011</t>
  </si>
  <si>
    <t>Comisión Europea</t>
  </si>
  <si>
    <t>Union Europea</t>
  </si>
  <si>
    <t>Arquitectos, urbanistas, diseñadores, investigadores sociales, científicos de datos, especialistas en participación y sostenibilidad</t>
  </si>
  <si>
    <t>Consorcio internacional de universidades, autoridades públicas, organizaciones sociales, empresas y centros de investigación</t>
  </si>
  <si>
    <t>Estados miembros, países asociados y terceros países admitidos conforme a Horizon Europe</t>
  </si>
  <si>
    <t>No se basa principalmente en ciudadanía; prevalecen la entidad participante, su país y las reglas de financiación</t>
  </si>
  <si>
    <t>Diseño espacial participativo de barrios y entornos urbanos</t>
  </si>
  <si>
    <t>urban design; barrios; espacio público; cocreación; inclusión; sostenibilidad; IA; gemelos digitales; participación digital</t>
  </si>
  <si>
    <t>Financia soluciones innovadoras para que residentes y actores locales participen en el diseño espacial de sus barrios, con énfasis en sostenibilidad, inclusión, calidad del entorno y belleza.</t>
  </si>
  <si>
    <t>UNPHU puede integrarse como socio académico de un consorcio internacional. Deben comprobarse en el portal las condiciones específicas de financiación para una entidad dominicana y la composición obligatoria del consorcio.</t>
  </si>
  <si>
    <t>https://ec.europa.eu/info/funding-tenders/opportunities/portal/screen/opportunities/calls-for-proposals?callIdentifier=HORIZON-NEB-2026-01</t>
  </si>
  <si>
    <t>Comisión Europea, Funding &amp; Tenders Portal y programa de trabajo New European Bauhaus</t>
  </si>
  <si>
    <t>Spencer Foundation – Vision Grants</t>
  </si>
  <si>
    <t>OpenAI – Researcher Access Program</t>
  </si>
  <si>
    <t>MESCyT – Convocatoria FONDOCYT 2025-2026</t>
  </si>
  <si>
    <t>Google.org Accelerator: Generative AI</t>
  </si>
  <si>
    <t>UNU-WIDER – Effects of AI on firm and labour market outcomes</t>
  </si>
  <si>
    <t>ARIA – Mathematics for Safe AI</t>
  </si>
  <si>
    <t>Google Research – PhD Fellowship Program</t>
  </si>
  <si>
    <t>Coefficient Giving – Improving Capability Evaluations</t>
  </si>
  <si>
    <t>IBM Research – Academic Awards Program</t>
  </si>
  <si>
    <t>2026-012</t>
  </si>
  <si>
    <t>Erasmus+ Capacity Building in Higher Education 2026 — Region 11 Caribbean</t>
  </si>
  <si>
    <t>Comisión Europea / European Education and Culture Executive Agency</t>
  </si>
  <si>
    <t>48 meses</t>
  </si>
  <si>
    <t>Docentes universitarios, investigadores educativos, especialistas en IA, programación, arquitectura digital, diseño curricular y aseguramiento de la calidad</t>
  </si>
  <si>
    <t>Instituciones de educación superior y otras entidades educativas, públicas, sociales o del mercado laboral</t>
  </si>
  <si>
    <t>República Dominicana está incluida en la Región 11 — Caribe</t>
  </si>
  <si>
    <t>Modernización universitaria, innovación curricular y transformación digital</t>
  </si>
  <si>
    <t>IA educativa; aprendizaje adaptativo; gamificación; programación; formación docente;  transformación curricular</t>
  </si>
  <si>
    <t>Apoya la modernización de la educación superior mediante nuevos programas, innovación pedagógica, capacidades digitales, formación docente, gobernanza universitaria y cooperación internacional.</t>
  </si>
  <si>
    <t>Es la oportunidad con mejor correspondencia directa con “Inteligencia Artificial y Gamificación Personalizada-Adaptativa para la Formación en Programación”. Para integrarla con arquitectura, podría proponerse programación aplicada al diseño paramétrico, BIM, análisis urbano, SIG y gemelos digitales.</t>
  </si>
  <si>
    <t>UNPHU puede participar como institución de educación superior caribeña dentro de un consorcio que cumpla la composición mínima aplicable al strand seleccionado.</t>
  </si>
  <si>
    <t>https://erasmus-plus.ec.europa.eu/funding-opportunities/capacity-building-in-higher-education-caribbean</t>
  </si>
  <si>
    <t>Comisión Europea, Erasmus+ Programme Guide 2026</t>
  </si>
  <si>
    <t>2026-013</t>
  </si>
  <si>
    <t>AIA Upjohn Research Initiative</t>
  </si>
  <si>
    <t>American Institute of Architects — AIA</t>
  </si>
  <si>
    <t>18 meses</t>
  </si>
  <si>
    <t>Investigadores en arquitectura, tecnología del diseño, sostenibilidad, materiales, salud, resiliencia e innovación profesional</t>
  </si>
  <si>
    <t>Instituciones académicas y equipos de investigación; se admiten postulaciones internacionales</t>
  </si>
  <si>
    <t>Sin restricción general de ciudadanía; presentación y evaluación en inglés</t>
  </si>
  <si>
    <t>Investigación aplicada a la arquitectura y a la práctica profesional</t>
  </si>
  <si>
    <t>arquitectura; IA; diseño computacional; automatización; BIM; cero carbono; resiliencia; comunidades equitativas; innovación profesional</t>
  </si>
  <si>
    <t>Financia hasta seis investigaciones anuales destinadas a generar conocimiento directamente útil para arquitectos y para la práctica del diseño. Sus prioridades incluyen cero carbono, resiliencia, salud, comunidades equitativas e innovación de la práctica.</t>
  </si>
  <si>
    <t>La documentación de referencia señala que las solicitudes internacionales son elegibles y que los fondos se desembolsan en dólares estadounidenses.</t>
  </si>
  <si>
    <t>Es una de las oportunidades más claras para investigar IA generativa en diseño, automatización de procesos, evaluación del desempeño de edificaciones, diseño basado en evidencia o herramientas de aprendizaje para arquitectura.</t>
  </si>
  <si>
    <t>https://www.aia.org/advocacy/research/grants-fellowships/upjohn-research-initiative?utm_source=chatgpt.com</t>
  </si>
  <si>
    <t>AIA y antecedente de Pivot-RP aportado en el documento</t>
  </si>
  <si>
    <t>Pendiente abrir en Octubre</t>
  </si>
  <si>
    <t>2026-014</t>
  </si>
  <si>
    <t>LAF Fellowship for Innovation and Leadership</t>
  </si>
  <si>
    <t>Landscape Architecture Foundation — LAF</t>
  </si>
  <si>
    <t>Arquitectos paisajistas y profesionales afines con trayectoria media o sénior</t>
  </si>
  <si>
    <t>Arquitectura del paisaje, innovación, liderazgo y transformación del entorno</t>
  </si>
  <si>
    <t>paisaje; urbanismo; resiliencia; infraestructura verde; IA geoespacial; análisis urbano; justicia ambiental; liderazgo</t>
  </si>
  <si>
    <t>Fellowship para que profesionales desarrollen y prueben ideas innovadoras que impulsen una sociedad más saludable, equitativa y sostenible mediante la arquitectura del paisaje.</t>
  </si>
  <si>
    <t>Se requiere grado en arquitectura del paisaje o, en países donde la disciplina no esté formalmente reconocida, formación relacionada y ejercicio profesional como arquitecto paisajista; mínimo seis años de experiencia, dominio avanzado de inglés y disponibilidad institucional.</t>
  </si>
  <si>
    <t>Puede sustentar proyectos sobre IA para planificación de infraestructura verde, análisis adaptativo del paisaje, resiliencia climática, confort térmico urbano o participación comunitaria gamificada.</t>
  </si>
  <si>
    <t>https://www.lafoundation.org/what-we-do/leadership/laf-fellowship?</t>
  </si>
  <si>
    <t>https://pivot.proquest.com/funding_opps/3dae87f6-c1a1-4ce2-9d84-d1d75de8f0f3</t>
  </si>
  <si>
    <t>LAF, ASLA y antecedente de Pivot-RP</t>
  </si>
  <si>
    <t>especialmente para un profesor con experiencia profesional demostrable en paisaje o planificación urbana. No es una subvención institucional convencional</t>
  </si>
  <si>
    <t>2026-015</t>
  </si>
  <si>
    <t>Graham Foundation — Grants to Individuals</t>
  </si>
  <si>
    <t>Graham Foundation for Advanced Studies in the Fine Arts</t>
  </si>
  <si>
    <t>Getty Conservation Guest Scholars Program 2027–2028</t>
  </si>
  <si>
    <t>Getty Conservation Institute</t>
  </si>
  <si>
    <t>3 meses</t>
  </si>
  <si>
    <t>Internacional; residencia presencial de tres meses en el Getty Conservation Institute, Los Ángeles</t>
  </si>
  <si>
    <t>Conservación del patrimonio cultural y del entorno construido</t>
  </si>
  <si>
    <t>conservación; patrimonio arquitectónico; preservación histórica; ciencia del patrimonio; documentación digital; HBIM; IA; visión computacional</t>
  </si>
  <si>
    <t>Programa de residencia para que profesionales e investigadores consolidados desarrollen un proyecto independiente que aporte nuevos conocimientos y perspectivas a la conservación del patrimonio cultural.</t>
  </si>
  <si>
    <t>Se admiten investigadores y profesionales de cualquier nacionalidad en conservación, preservación histórica, ciencias del patrimonio y campos relacionados. Se requieren al menos siete años de experiencia profesional y una trayectoria establecida de publicaciones u otras contribuciones. No admite investigación posdoctoral ni trabajos conducentes a un grado académico.</t>
  </si>
  <si>
    <t>La convocatoria 2026–2027 ya cerró. El ciclo para residencias 2027–2028 abrirá en agosto de 2026; la fecha límite aún no ha sido publicada. La ayuda incluye US$21,500, alojamiento, estación de trabajo, asistencia de investigación, estipendio de viaje y opción de cobertura médica.</t>
  </si>
  <si>
    <t>Getty Conservation Institute – Conservation Guest Scholars</t>
  </si>
  <si>
    <t>Oportunidad individual para investigadores sénior de UNPHU. Recomendable para proyectos de conservación arquitectónica, documentación patrimonial, HBIM o IA aplicada a la detección de daños. Vigilar la apertura en agosto de 2026.</t>
  </si>
  <si>
    <t>CCA–WRI Research Fellowship Program 2027 — Vacancy</t>
  </si>
  <si>
    <t>Canadian Centre for Architecture (CCA) / Window Research Institute (WRI)</t>
  </si>
  <si>
    <t>1-3 meses</t>
  </si>
  <si>
    <t>Investigador establecido; Profesor</t>
  </si>
  <si>
    <t>Internacional; residencia presencial en el CCA, Montreal, entre agosto y octubre</t>
  </si>
  <si>
    <t>Fellowship de investigación sobre la vacancia como condición social, cultural, política y espacial en contextos urbanos y rurales. Busca modelos teóricos y resultados capaces de informar la práctica del diseño.</t>
  </si>
  <si>
    <t>Abierta a profesionales con experiencia sustancial —arquitectos, paisajistas, urbanistas, responsables urbanos, artistas y productores culturales— y a investigadores con doctorado en áreas pertinentes. No se financia investigación con fines comerciales. El beneficiario debe residir en Montreal de uno a tres meses y participar en actividades públicas y académicas.</t>
  </si>
  <si>
    <t>La convocatoria 2026 está cerrada. La siguiente convocatoria se lanzará a comienzos de septiembre de 2026. Ofrece CAD$5,000 mensuales por un máximo de tres meses, más apoyo adicional para viaje y visado, oficina y acceso a las colecciones del CCA.</t>
  </si>
  <si>
    <t>Canadian Centre for Architecture / Window Research Institute</t>
  </si>
  <si>
    <t>Muy pertinente para investigar vacancia, reutilización adaptativa y regeneración urbana en Santo Domingo. Puede incorporar IA para detectar inmuebles vacíos, analizar imágenes urbanas o modelar escenarios de reocupación.</t>
  </si>
  <si>
    <t>Urban Studies Foundation International Fellowships 2026</t>
  </si>
  <si>
    <t>Urban Studies Foundation</t>
  </si>
  <si>
    <t>3-9 meses</t>
  </si>
  <si>
    <t>Investigadores afiliados a organizaciones de investigación ubicadas en países de la lista OECD-DAC; universidad anfitriona en cualquier país</t>
  </si>
  <si>
    <t>Nacionales de países incluidos en la lista OECD-DAC de receptores de AOD; República Dominicana es elegible</t>
  </si>
  <si>
    <t>Estudios urbanos</t>
  </si>
  <si>
    <t>urbanismo; ciudades del Sur Global; vivienda; movilidad; planificación; sostenibilidad; tecnología urbana; desigualdad espacial; gobernanza; IA urbana</t>
  </si>
  <si>
    <t>Financia una estancia sabática de escritura en una universidad anfitriona para transformar resultados de investigación urbana ya existentes en artículos, capítulos de libro o libros publicables, bajo la mentoría de un académico sénior.</t>
  </si>
  <si>
    <t>Dirigida a investigadores urbanos de carrera temprana o intermedia con doctorado obtenido dentro de los diez años anteriores al cierre, nacionalidad de un país OECD-DAC y afiliación formal a una organización de investigación ubicada en uno de esos países. La recopilación y el análisis primario de datos deben estar completados; no financia nueva recolección ni nuevos análisis primarios.</t>
  </si>
  <si>
    <t>Cerró el 6 de julio de 2026 a las 23:59 UTC+1. El presupuesto se determina según costes justificados de alojamiento, manutención, viaje de retorno y algunos gastos de investigación; no se publica un monto mínimo o máximo único. La estancia debe comenzar entre cuatro y catorce meses después del cierre.</t>
  </si>
  <si>
    <t>Urban Studies Foundation – International Fellowships</t>
  </si>
  <si>
    <t>UNPHU es elegible por ubicación en República Dominicana. Preparar para una futura edición con resultados urbanos ya analizados, publicaciones previstas, mentor internacional y universidad anfitriona.</t>
  </si>
  <si>
    <t>CYTED — Convocatoria 2026 de Redes Temáticas</t>
  </si>
  <si>
    <t>Programa Iberoamericano de Ciencia y Tecnología para el Desarrollo (CYTED)</t>
  </si>
  <si>
    <t>Hasta 48 meses</t>
  </si>
  <si>
    <t>Países signatarios del Programa CYTED, incluida República Dominicana</t>
  </si>
  <si>
    <t>No se basa en ciudadanía; el coordinador y los responsables deben pertenecer a entidades elegibles con sede en países signatarios</t>
  </si>
  <si>
    <t>Multidisciplinar: desarrollo sostenible, TIC, ciencia y sociedad, energía e innovación</t>
  </si>
  <si>
    <t>red temática; cooperación iberoamericana; I+D+i; ciudades resilientes; urbanismo sostenible; IA de código abierto; formación; transferencia; movilidad</t>
  </si>
  <si>
    <t>Financia redes de grupos de investigación y empresas de Iberoamérica que cooperan para resolver problemas comunes y generar nuevas actividades de I+D+i, transferencia, formación, movilidad, publicaciones y coordinación.</t>
  </si>
  <si>
    <t>El coordinador debe pertenecer a una universidad, centro público o privado de I+D o empresa con capacidad demostrada, con sede en un país signatario. La red debe incluir grupos de al menos seis países iberoamericanos diferentes; cada grupo debe estar formado por más de una persona y acreditar actividad en I+D+i.</t>
  </si>
  <si>
    <t>El plazo fue del 6 de abril al 15 de mayo de 2026 a las 17:00, hora de Madrid. El máximo solicitado para el primer año es €20,000; los presupuestos posteriores se solicitan anualmente. Cubre coordinación, movilidad, reuniones, publicaciones y formación; no es una subvención convencional para financiar todos los costes de investigación.</t>
  </si>
  <si>
    <t>Secretaría General del Programa CYTED – Convocatoria 2026 de Redes Temáticas</t>
  </si>
  <si>
    <t>Oportunidad estratégica para internacionalización. UNPHU podría integrar o coordinar una red sobre comunidades resilientes, urbanismo sostenible, restauración urbana, IA de código abierto o formación tecnológica. Preparar consorcio para la próxima edición.</t>
  </si>
  <si>
    <t xml:space="preserve"> edificios desocupados; suelo vacante; reutilización adaptativa; urbanismo; paisaje; vivienda; IA; visión computacional; teledetección</t>
  </si>
  <si>
    <t xml:space="preserve">Sin restricción </t>
  </si>
  <si>
    <t>Arquitectura, urbanismo, paisaje y terrenos desocupados</t>
  </si>
  <si>
    <t>206-09-01</t>
  </si>
  <si>
    <t>Arquitectos, urbanistas, historiadores, diseñadores, investigadores, curadores, escritores y productores culturales</t>
  </si>
  <si>
    <t>Personas físicas</t>
  </si>
  <si>
    <t>Arquitectura y entorno diseñado</t>
  </si>
  <si>
    <t>arquitectura; ciudad; urbanismo; investigación crítica; publicación; exposición; medios digitales; IA; diseño experimental</t>
  </si>
  <si>
    <t>Apoya ideas originales que amplíen el discurso sobre arquitectura y el entorno diseñado, ya sea mediante investigación, publicaciones, exposiciones, películas, medios digitales u otros formatos públicos.</t>
  </si>
  <si>
    <t>Individuos con capacidad demostrada para ejecutar el proyecto. Las solicitudes deben conectar claramente con la misión de la Fundación y evidenciar originalidad, impacto y viabilidad.</t>
  </si>
  <si>
    <t>Puede financiar la fase conceptual o la divulgación de una investigación sobre IA y arquitectura, atlas urbanos interactivos, exposiciones digitales, plataformas educativas o documentación crítica de nuevas tecnologías de diseño.</t>
  </si>
  <si>
    <t>https://www.grahamfoundation.org/grant_programs/?mode=individual</t>
  </si>
  <si>
    <t>Graham Foundation, ciclo de subvenciones 2027</t>
  </si>
  <si>
    <t>El Inquiry Form está disponible desde el 15/07/2026. Conviene plantear un producto público concreto, no solamente una investigación académica convencional.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</si>
</sst>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501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18" Type="http://schemas.openxmlformats.org/officeDocument/2006/relationships/hyperlink" Target="https://pivot.proquest.com/funding_opps/3dae87f6-c1a1-4ce2-9d84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17" Type="http://schemas.openxmlformats.org/officeDocument/2006/relationships/hyperlink" Target="https://www.lafoundation.org/what-we-do/leadership/laf-fellowship?" TargetMode="External"/><Relationship Id="rId2" Type="http://schemas.openxmlformats.org/officeDocument/2006/relationships/hyperlink" Target="https://openai.com/form/researcher-access-program/" TargetMode="External"/><Relationship Id="rId16" Type="http://schemas.openxmlformats.org/officeDocument/2006/relationships/hyperlink" Target="https://www.aia.org/advocacy/research/grants-fellowships/upjohn-research-initiative?utm_source=chatgpt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5" Type="http://schemas.openxmlformats.org/officeDocument/2006/relationships/hyperlink" Target="https://erasmus-plus.ec.europa.eu/funding-opportunities/capacity-building-in-higher-education-caribbean" TargetMode="External"/><Relationship Id="rId10" Type="http://schemas.openxmlformats.org/officeDocument/2006/relationships/hyperlink" Target="https://coefficientgiving.org/funds/" TargetMode="External"/><Relationship Id="rId19" Type="http://schemas.openxmlformats.org/officeDocument/2006/relationships/hyperlink" Target="https://www.grahamfoundation.org/grant_programs/?mode=individual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hyperlink" Target="https://ec.europa.eu/info/funding-tenders/opportunities/portal/screen/opportunities/calls-for-proposals?callIdentifier=HORIZON-NEB-2026-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01"/>
  <sheetViews>
    <sheetView tabSelected="1" topLeftCell="X19" workbookViewId="0">
      <selection activeCell="AD16" sqref="AD16"/>
    </sheetView>
  </sheetViews>
  <sheetFormatPr baseColWidth="10" defaultColWidth="9" defaultRowHeight="14.25"/>
  <cols>
    <col min="1" max="1" width="12" customWidth="1"/>
    <col min="2" max="2" width="10" customWidth="1"/>
    <col min="3" max="3" width="43" customWidth="1"/>
    <col min="4" max="4" width="24" customWidth="1"/>
    <col min="5" max="5" width="20" customWidth="1"/>
    <col min="6" max="6" width="18" customWidth="1"/>
    <col min="7" max="7" width="18.375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17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269</v>
      </c>
      <c r="AD2" s="3" t="s">
        <v>158</v>
      </c>
    </row>
    <row r="3" spans="1:30" ht="57">
      <c r="A3" s="3" t="s">
        <v>218</v>
      </c>
      <c r="B3" s="4" t="s">
        <v>42</v>
      </c>
      <c r="C3" t="s">
        <v>133</v>
      </c>
      <c r="D3" t="s">
        <v>132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137</v>
      </c>
      <c r="N3" s="4" t="s">
        <v>36</v>
      </c>
      <c r="O3" s="4" t="s">
        <v>138</v>
      </c>
      <c r="P3" s="4" t="s">
        <v>84</v>
      </c>
      <c r="Q3" s="4" t="s">
        <v>139</v>
      </c>
      <c r="R3" s="10" t="s">
        <v>140</v>
      </c>
      <c r="S3" s="3" t="s">
        <v>40</v>
      </c>
      <c r="T3" s="3" t="s">
        <v>40</v>
      </c>
      <c r="U3" s="3" t="s">
        <v>127</v>
      </c>
      <c r="V3" s="4" t="s">
        <v>141</v>
      </c>
      <c r="W3" s="4" t="s">
        <v>142</v>
      </c>
      <c r="X3" s="10" t="s">
        <v>143</v>
      </c>
      <c r="Y3" s="4" t="s">
        <v>144</v>
      </c>
      <c r="Z3" s="4" t="s">
        <v>145</v>
      </c>
      <c r="AA3" s="4"/>
      <c r="AB3" s="5">
        <v>46218</v>
      </c>
      <c r="AC3" s="3" t="s">
        <v>133</v>
      </c>
      <c r="AD3" s="4" t="s">
        <v>157</v>
      </c>
    </row>
    <row r="4" spans="1:30" ht="57">
      <c r="A4" s="3" t="s">
        <v>219</v>
      </c>
      <c r="B4" s="4" t="s">
        <v>42</v>
      </c>
      <c r="C4" s="4" t="s">
        <v>147</v>
      </c>
      <c r="D4" s="4" t="s">
        <v>146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138</v>
      </c>
      <c r="P4" s="4" t="s">
        <v>148</v>
      </c>
      <c r="Q4" s="4" t="s">
        <v>149</v>
      </c>
      <c r="R4" s="10" t="s">
        <v>150</v>
      </c>
      <c r="S4" s="4" t="s">
        <v>151</v>
      </c>
      <c r="T4" s="3" t="s">
        <v>40</v>
      </c>
      <c r="U4" s="3" t="s">
        <v>127</v>
      </c>
      <c r="V4" s="4" t="s">
        <v>152</v>
      </c>
      <c r="W4" s="4" t="s">
        <v>153</v>
      </c>
      <c r="X4" s="4" t="s">
        <v>154</v>
      </c>
      <c r="Y4" s="4" t="s">
        <v>155</v>
      </c>
      <c r="Z4" s="13" t="s">
        <v>156</v>
      </c>
      <c r="AA4" s="13"/>
      <c r="AB4" s="5">
        <v>46218</v>
      </c>
      <c r="AC4" s="3" t="s">
        <v>270</v>
      </c>
      <c r="AD4" s="4"/>
    </row>
    <row r="5" spans="1:30" ht="285">
      <c r="A5" s="3" t="s">
        <v>220</v>
      </c>
      <c r="B5" s="4" t="s">
        <v>42</v>
      </c>
      <c r="C5" s="4" t="s">
        <v>159</v>
      </c>
      <c r="D5" s="4" t="s">
        <v>160</v>
      </c>
      <c r="E5" s="4" t="s">
        <v>43</v>
      </c>
      <c r="F5" s="4" t="s">
        <v>135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172</v>
      </c>
      <c r="Q5" s="4" t="s">
        <v>161</v>
      </c>
      <c r="R5" s="4" t="s">
        <v>162</v>
      </c>
      <c r="S5" s="4" t="s">
        <v>135</v>
      </c>
      <c r="T5" s="4" t="s">
        <v>40</v>
      </c>
      <c r="U5" s="4" t="s">
        <v>127</v>
      </c>
      <c r="V5" s="4" t="s">
        <v>163</v>
      </c>
      <c r="W5" s="4" t="s">
        <v>164</v>
      </c>
      <c r="X5" s="4" t="s">
        <v>165</v>
      </c>
      <c r="Y5" s="12" t="s">
        <v>180</v>
      </c>
      <c r="Z5" s="13" t="s">
        <v>166</v>
      </c>
      <c r="AA5" s="4"/>
      <c r="AB5" s="6">
        <v>46218</v>
      </c>
      <c r="AC5" s="4" t="s">
        <v>271</v>
      </c>
      <c r="AD5" s="4" t="s">
        <v>167</v>
      </c>
    </row>
    <row r="6" spans="1:30" ht="42.75">
      <c r="A6" s="3" t="s">
        <v>221</v>
      </c>
      <c r="B6" s="4" t="s">
        <v>42</v>
      </c>
      <c r="C6" t="s">
        <v>168</v>
      </c>
      <c r="D6" s="4" t="s">
        <v>169</v>
      </c>
      <c r="E6" s="4" t="s">
        <v>170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171</v>
      </c>
      <c r="P6" s="4" t="s">
        <v>174</v>
      </c>
      <c r="Q6" s="4" t="s">
        <v>173</v>
      </c>
      <c r="R6" s="4" t="s">
        <v>175</v>
      </c>
      <c r="S6" s="4" t="s">
        <v>176</v>
      </c>
      <c r="T6" s="4" t="s">
        <v>176</v>
      </c>
      <c r="U6" s="4" t="s">
        <v>206</v>
      </c>
      <c r="V6" s="4" t="s">
        <v>177</v>
      </c>
      <c r="W6" s="4" t="s">
        <v>178</v>
      </c>
      <c r="X6" s="4" t="s">
        <v>179</v>
      </c>
      <c r="Y6" s="12" t="s">
        <v>181</v>
      </c>
      <c r="Z6" s="13" t="s">
        <v>182</v>
      </c>
      <c r="AA6" s="13" t="s">
        <v>183</v>
      </c>
      <c r="AB6" s="6">
        <v>46218</v>
      </c>
      <c r="AC6" s="4" t="s">
        <v>272</v>
      </c>
      <c r="AD6" s="4" t="s">
        <v>184</v>
      </c>
    </row>
    <row r="7" spans="1:30" ht="42.75">
      <c r="A7" s="3" t="s">
        <v>222</v>
      </c>
      <c r="B7" s="4" t="s">
        <v>42</v>
      </c>
      <c r="C7" s="4" t="s">
        <v>185</v>
      </c>
      <c r="D7" s="4" t="s">
        <v>186</v>
      </c>
      <c r="E7" s="4" t="s">
        <v>55</v>
      </c>
      <c r="F7" s="4" t="s">
        <v>187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188</v>
      </c>
      <c r="P7" s="4" t="s">
        <v>189</v>
      </c>
      <c r="Q7" s="4" t="s">
        <v>190</v>
      </c>
      <c r="R7" s="4" t="s">
        <v>191</v>
      </c>
      <c r="S7" s="4" t="s">
        <v>192</v>
      </c>
      <c r="T7" s="4" t="s">
        <v>176</v>
      </c>
      <c r="U7" s="4" t="s">
        <v>207</v>
      </c>
      <c r="V7" s="4" t="s">
        <v>193</v>
      </c>
      <c r="W7" s="4" t="s">
        <v>194</v>
      </c>
      <c r="X7" s="4" t="s">
        <v>195</v>
      </c>
      <c r="Y7" s="4" t="s">
        <v>196</v>
      </c>
      <c r="Z7" s="13" t="s">
        <v>197</v>
      </c>
      <c r="AA7" s="13" t="s">
        <v>198</v>
      </c>
      <c r="AB7" s="6">
        <v>46218</v>
      </c>
      <c r="AC7" s="4" t="s">
        <v>273</v>
      </c>
      <c r="AD7" s="4" t="s">
        <v>199</v>
      </c>
    </row>
    <row r="8" spans="1:30" ht="57">
      <c r="A8" s="3" t="s">
        <v>223</v>
      </c>
      <c r="B8" s="4" t="s">
        <v>42</v>
      </c>
      <c r="C8" s="4" t="s">
        <v>200</v>
      </c>
      <c r="D8" s="4" t="s">
        <v>201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188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274</v>
      </c>
      <c r="AD8" s="4" t="s">
        <v>213</v>
      </c>
    </row>
    <row r="9" spans="1:30" ht="42.75">
      <c r="A9" s="3" t="s">
        <v>224</v>
      </c>
      <c r="B9" s="4" t="s">
        <v>42</v>
      </c>
      <c r="C9" s="4" t="s">
        <v>216</v>
      </c>
      <c r="D9" s="4" t="s">
        <v>169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188</v>
      </c>
      <c r="P9" s="4" t="s">
        <v>66</v>
      </c>
      <c r="Q9" s="4" t="s">
        <v>225</v>
      </c>
      <c r="R9" s="4" t="s">
        <v>225</v>
      </c>
      <c r="S9" s="4" t="s">
        <v>187</v>
      </c>
      <c r="T9" s="4" t="s">
        <v>176</v>
      </c>
      <c r="U9" s="4" t="s">
        <v>226</v>
      </c>
      <c r="V9" s="4" t="s">
        <v>227</v>
      </c>
      <c r="W9" s="4" t="s">
        <v>228</v>
      </c>
      <c r="X9" t="s">
        <v>229</v>
      </c>
      <c r="Y9" s="4" t="s">
        <v>230</v>
      </c>
      <c r="Z9" s="13" t="s">
        <v>231</v>
      </c>
      <c r="AA9" s="4"/>
      <c r="AB9" s="6">
        <v>46219</v>
      </c>
      <c r="AC9" s="4" t="s">
        <v>275</v>
      </c>
      <c r="AD9" s="4" t="s">
        <v>232</v>
      </c>
    </row>
    <row r="10" spans="1:30" ht="71.25">
      <c r="A10" s="3" t="s">
        <v>233</v>
      </c>
      <c r="B10" s="4" t="s">
        <v>42</v>
      </c>
      <c r="C10" s="4" t="s">
        <v>234</v>
      </c>
      <c r="D10" t="s">
        <v>235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Abierta</v>
      </c>
      <c r="L10" s="8">
        <v>200000</v>
      </c>
      <c r="M10" s="8">
        <v>5000000</v>
      </c>
      <c r="N10" s="4" t="s">
        <v>36</v>
      </c>
      <c r="O10" s="4" t="s">
        <v>188</v>
      </c>
      <c r="P10" s="4" t="s">
        <v>189</v>
      </c>
      <c r="Q10" s="10" t="s">
        <v>236</v>
      </c>
      <c r="R10" s="4" t="s">
        <v>237</v>
      </c>
      <c r="S10" s="4" t="s">
        <v>187</v>
      </c>
      <c r="T10" s="4" t="s">
        <v>238</v>
      </c>
      <c r="U10" s="4" t="s">
        <v>239</v>
      </c>
      <c r="V10" s="4" t="s">
        <v>240</v>
      </c>
      <c r="W10" s="4" t="s">
        <v>242</v>
      </c>
      <c r="X10" s="4" t="s">
        <v>241</v>
      </c>
      <c r="Y10" s="4"/>
      <c r="Z10" s="13" t="s">
        <v>243</v>
      </c>
      <c r="AA10" s="13" t="s">
        <v>244</v>
      </c>
      <c r="AB10" s="6">
        <v>46219</v>
      </c>
      <c r="AC10" s="4" t="s">
        <v>276</v>
      </c>
      <c r="AD10" s="4" t="s">
        <v>245</v>
      </c>
    </row>
    <row r="11" spans="1:30" ht="42.75">
      <c r="A11" s="3" t="s">
        <v>246</v>
      </c>
      <c r="B11" s="4" t="s">
        <v>42</v>
      </c>
      <c r="C11" s="4" t="s">
        <v>254</v>
      </c>
      <c r="D11" s="4" t="s">
        <v>247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188</v>
      </c>
      <c r="P11" s="4" t="s">
        <v>52</v>
      </c>
      <c r="Q11" s="4" t="s">
        <v>225</v>
      </c>
      <c r="R11" s="4" t="s">
        <v>225</v>
      </c>
      <c r="S11" s="4" t="s">
        <v>187</v>
      </c>
      <c r="T11" s="4" t="s">
        <v>176</v>
      </c>
      <c r="U11" s="4" t="s">
        <v>250</v>
      </c>
      <c r="V11" s="4" t="s">
        <v>249</v>
      </c>
      <c r="W11" s="4" t="s">
        <v>251</v>
      </c>
      <c r="X11" s="4" t="s">
        <v>248</v>
      </c>
      <c r="Y11" s="4"/>
      <c r="Z11" s="13" t="s">
        <v>252</v>
      </c>
      <c r="AA11" s="13" t="s">
        <v>253</v>
      </c>
      <c r="AB11" s="6">
        <v>46219</v>
      </c>
      <c r="AC11" s="4" t="s">
        <v>277</v>
      </c>
      <c r="AD11" s="4"/>
    </row>
    <row r="12" spans="1:30" ht="85.5">
      <c r="A12" s="3" t="s">
        <v>256</v>
      </c>
      <c r="B12" s="4"/>
      <c r="C12" t="s">
        <v>255</v>
      </c>
      <c r="D12" s="4" t="s">
        <v>257</v>
      </c>
      <c r="E12" s="4" t="s">
        <v>55</v>
      </c>
      <c r="F12" s="4" t="s">
        <v>258</v>
      </c>
      <c r="G12" s="6">
        <v>46357</v>
      </c>
      <c r="H12" s="4" t="s">
        <v>33</v>
      </c>
      <c r="I12" s="4" t="s">
        <v>34</v>
      </c>
      <c r="J12" s="4" t="s">
        <v>35</v>
      </c>
      <c r="K12" s="4" t="str">
        <f t="shared" ca="1" si="0"/>
        <v>Abierta</v>
      </c>
      <c r="L12" s="8"/>
      <c r="M12" s="8">
        <v>5000000</v>
      </c>
      <c r="N12" s="4" t="s">
        <v>51</v>
      </c>
      <c r="O12" s="4" t="s">
        <v>188</v>
      </c>
      <c r="P12" s="4" t="s">
        <v>37</v>
      </c>
      <c r="Q12" s="4" t="s">
        <v>259</v>
      </c>
      <c r="R12" s="4" t="s">
        <v>260</v>
      </c>
      <c r="S12" s="4" t="s">
        <v>261</v>
      </c>
      <c r="T12" s="4" t="s">
        <v>262</v>
      </c>
      <c r="U12" s="4" t="s">
        <v>263</v>
      </c>
      <c r="V12" s="4" t="s">
        <v>264</v>
      </c>
      <c r="W12" s="4" t="s">
        <v>265</v>
      </c>
      <c r="X12" s="4" t="s">
        <v>266</v>
      </c>
      <c r="Y12" s="4"/>
      <c r="Z12" s="13" t="s">
        <v>267</v>
      </c>
      <c r="AA12" s="4"/>
      <c r="AB12" s="6">
        <v>46219</v>
      </c>
      <c r="AC12" s="4" t="s">
        <v>268</v>
      </c>
      <c r="AD12" s="4"/>
    </row>
    <row r="13" spans="1:30" ht="128.25">
      <c r="A13" s="3" t="s">
        <v>278</v>
      </c>
      <c r="B13" s="4" t="s">
        <v>42</v>
      </c>
      <c r="C13" s="4" t="s">
        <v>279</v>
      </c>
      <c r="D13" s="4" t="s">
        <v>280</v>
      </c>
      <c r="E13" s="4" t="s">
        <v>55</v>
      </c>
      <c r="F13" s="4" t="s">
        <v>258</v>
      </c>
      <c r="G13" s="6">
        <v>46063</v>
      </c>
      <c r="H13" s="4" t="s">
        <v>33</v>
      </c>
      <c r="I13" s="4" t="s">
        <v>34</v>
      </c>
      <c r="J13" s="4" t="s">
        <v>50</v>
      </c>
      <c r="K13" s="4" t="str">
        <f t="shared" ca="1" si="0"/>
        <v>Cerrada</v>
      </c>
      <c r="L13" s="8">
        <v>200000</v>
      </c>
      <c r="M13" s="8">
        <v>1000000</v>
      </c>
      <c r="N13" s="4" t="s">
        <v>51</v>
      </c>
      <c r="O13" s="4" t="s">
        <v>281</v>
      </c>
      <c r="P13" s="4" t="s">
        <v>37</v>
      </c>
      <c r="Q13" s="4" t="s">
        <v>282</v>
      </c>
      <c r="R13" s="4" t="s">
        <v>283</v>
      </c>
      <c r="S13" s="4" t="s">
        <v>284</v>
      </c>
      <c r="T13" s="4" t="s">
        <v>176</v>
      </c>
      <c r="U13" s="4" t="s">
        <v>285</v>
      </c>
      <c r="V13" s="4" t="s">
        <v>286</v>
      </c>
      <c r="W13" s="4" t="s">
        <v>287</v>
      </c>
      <c r="X13" s="4" t="s">
        <v>289</v>
      </c>
      <c r="Y13" s="4" t="s">
        <v>288</v>
      </c>
      <c r="Z13" s="13" t="s">
        <v>290</v>
      </c>
      <c r="AA13" s="4"/>
      <c r="AB13" s="6">
        <v>46219</v>
      </c>
      <c r="AC13" s="4" t="s">
        <v>291</v>
      </c>
      <c r="AD13" s="4"/>
    </row>
    <row r="14" spans="1:30" ht="85.5">
      <c r="A14" s="3" t="s">
        <v>292</v>
      </c>
      <c r="B14" s="4" t="s">
        <v>42</v>
      </c>
      <c r="C14" s="4" t="s">
        <v>293</v>
      </c>
      <c r="D14" s="4" t="s">
        <v>294</v>
      </c>
      <c r="E14" s="4" t="s">
        <v>55</v>
      </c>
      <c r="F14" s="4" t="s">
        <v>32</v>
      </c>
      <c r="G14" s="6"/>
      <c r="H14" s="4" t="s">
        <v>63</v>
      </c>
      <c r="I14" s="4" t="s">
        <v>70</v>
      </c>
      <c r="J14" s="4" t="s">
        <v>64</v>
      </c>
      <c r="K14" s="4" t="str">
        <f t="shared" ca="1" si="0"/>
        <v>Sin fecha</v>
      </c>
      <c r="L14" s="8">
        <v>15000</v>
      </c>
      <c r="M14" s="8">
        <v>30000</v>
      </c>
      <c r="N14" s="4" t="s">
        <v>36</v>
      </c>
      <c r="O14" s="4" t="s">
        <v>295</v>
      </c>
      <c r="P14" s="4" t="s">
        <v>189</v>
      </c>
      <c r="Q14" s="4" t="s">
        <v>296</v>
      </c>
      <c r="R14" s="4" t="s">
        <v>297</v>
      </c>
      <c r="S14" s="4" t="s">
        <v>187</v>
      </c>
      <c r="T14" s="4" t="s">
        <v>298</v>
      </c>
      <c r="U14" s="4" t="s">
        <v>299</v>
      </c>
      <c r="V14" s="4" t="s">
        <v>300</v>
      </c>
      <c r="W14" s="4" t="s">
        <v>301</v>
      </c>
      <c r="X14" s="4" t="s">
        <v>302</v>
      </c>
      <c r="Y14" s="4" t="s">
        <v>303</v>
      </c>
      <c r="Z14" s="13" t="s">
        <v>304</v>
      </c>
      <c r="AA14" s="4"/>
      <c r="AB14" s="6">
        <v>46219</v>
      </c>
      <c r="AC14" s="4" t="s">
        <v>305</v>
      </c>
      <c r="AD14" s="4" t="s">
        <v>306</v>
      </c>
    </row>
    <row r="15" spans="1:30" ht="85.5">
      <c r="A15" s="3" t="s">
        <v>307</v>
      </c>
      <c r="B15" s="4" t="s">
        <v>42</v>
      </c>
      <c r="C15" s="4" t="s">
        <v>308</v>
      </c>
      <c r="D15" s="4" t="s">
        <v>309</v>
      </c>
      <c r="E15" s="4" t="s">
        <v>31</v>
      </c>
      <c r="F15" s="4" t="s">
        <v>32</v>
      </c>
      <c r="G15" s="6">
        <v>46280</v>
      </c>
      <c r="H15" s="4" t="s">
        <v>33</v>
      </c>
      <c r="I15" s="4" t="s">
        <v>70</v>
      </c>
      <c r="J15" s="4" t="s">
        <v>35</v>
      </c>
      <c r="K15" s="4" t="str">
        <f t="shared" ca="1" si="0"/>
        <v>Abierta</v>
      </c>
      <c r="L15" s="8">
        <v>25000</v>
      </c>
      <c r="M15" s="8">
        <v>25000</v>
      </c>
      <c r="N15" s="4" t="s">
        <v>36</v>
      </c>
      <c r="O15" s="4" t="s">
        <v>138</v>
      </c>
      <c r="P15" s="4" t="s">
        <v>82</v>
      </c>
      <c r="Q15" s="4" t="s">
        <v>310</v>
      </c>
      <c r="R15" s="4"/>
      <c r="S15" s="4" t="s">
        <v>187</v>
      </c>
      <c r="T15" s="4" t="s">
        <v>176</v>
      </c>
      <c r="U15" s="4" t="s">
        <v>311</v>
      </c>
      <c r="V15" s="4" t="s">
        <v>312</v>
      </c>
      <c r="W15" s="4" t="s">
        <v>313</v>
      </c>
      <c r="X15" s="4" t="s">
        <v>314</v>
      </c>
      <c r="Y15" s="4" t="s">
        <v>315</v>
      </c>
      <c r="Z15" s="13" t="s">
        <v>316</v>
      </c>
      <c r="AA15" s="13" t="s">
        <v>317</v>
      </c>
      <c r="AB15" s="6">
        <v>46219</v>
      </c>
      <c r="AC15" s="4" t="s">
        <v>318</v>
      </c>
      <c r="AD15" s="4" t="s">
        <v>319</v>
      </c>
    </row>
    <row r="16" spans="1:30" ht="85.5">
      <c r="A16" s="3" t="s">
        <v>320</v>
      </c>
      <c r="B16" s="4" t="s">
        <v>42</v>
      </c>
      <c r="C16" s="4" t="s">
        <v>321</v>
      </c>
      <c r="D16" s="4" t="s">
        <v>322</v>
      </c>
      <c r="E16" s="4" t="s">
        <v>69</v>
      </c>
      <c r="F16" s="4" t="s">
        <v>32</v>
      </c>
      <c r="G16" s="6">
        <v>46280</v>
      </c>
      <c r="H16" s="4" t="s">
        <v>33</v>
      </c>
      <c r="I16" s="4" t="s">
        <v>84</v>
      </c>
      <c r="J16" s="4" t="s">
        <v>35</v>
      </c>
      <c r="K16" s="4" t="str">
        <f t="shared" ca="1" si="0"/>
        <v>Abierta</v>
      </c>
      <c r="L16" s="8">
        <v>10000</v>
      </c>
      <c r="M16" s="8">
        <v>20000</v>
      </c>
      <c r="N16" s="4" t="s">
        <v>36</v>
      </c>
      <c r="O16" s="4"/>
      <c r="P16" s="4" t="s">
        <v>37</v>
      </c>
      <c r="Q16" s="4" t="s">
        <v>372</v>
      </c>
      <c r="R16" s="4" t="s">
        <v>373</v>
      </c>
      <c r="S16" s="4" t="s">
        <v>187</v>
      </c>
      <c r="T16" s="4" t="s">
        <v>176</v>
      </c>
      <c r="U16" s="4" t="s">
        <v>374</v>
      </c>
      <c r="V16" s="4" t="s">
        <v>375</v>
      </c>
      <c r="W16" s="4" t="s">
        <v>376</v>
      </c>
      <c r="X16" s="4" t="s">
        <v>377</v>
      </c>
      <c r="Y16" s="4" t="s">
        <v>378</v>
      </c>
      <c r="Z16" s="13" t="s">
        <v>379</v>
      </c>
      <c r="AA16" s="4"/>
      <c r="AB16" s="6">
        <v>46220</v>
      </c>
      <c r="AC16" s="4" t="s">
        <v>380</v>
      </c>
      <c r="AD16" s="4" t="s">
        <v>381</v>
      </c>
    </row>
    <row r="17" spans="1:30" ht="128.25">
      <c r="A17" s="4" t="str">
        <f t="shared" ref="A17:A66" si="1">IF(C17="","","OP-"&amp;TEXT(ROW()-1,"0000"))</f>
        <v>OP-0016</v>
      </c>
      <c r="B17" s="4" t="s">
        <v>42</v>
      </c>
      <c r="C17" s="4" t="s">
        <v>323</v>
      </c>
      <c r="D17" s="4" t="s">
        <v>324</v>
      </c>
      <c r="E17" s="4" t="s">
        <v>31</v>
      </c>
      <c r="F17" s="4" t="s">
        <v>32</v>
      </c>
      <c r="G17" s="6"/>
      <c r="H17" s="4" t="s">
        <v>63</v>
      </c>
      <c r="I17" s="4" t="s">
        <v>70</v>
      </c>
      <c r="J17" s="4" t="s">
        <v>64</v>
      </c>
      <c r="K17" s="4" t="str">
        <f t="shared" ca="1" si="0"/>
        <v>Sin fecha</v>
      </c>
      <c r="L17" s="8">
        <v>21500</v>
      </c>
      <c r="M17" s="8">
        <v>21500</v>
      </c>
      <c r="N17" s="4" t="s">
        <v>36</v>
      </c>
      <c r="O17" s="4" t="s">
        <v>325</v>
      </c>
      <c r="P17" s="4" t="s">
        <v>66</v>
      </c>
      <c r="Q17" s="4" t="s">
        <v>67</v>
      </c>
      <c r="R17" s="4" t="s">
        <v>74</v>
      </c>
      <c r="S17" s="4" t="s">
        <v>326</v>
      </c>
      <c r="T17" s="4" t="s">
        <v>40</v>
      </c>
      <c r="U17" s="4" t="s">
        <v>327</v>
      </c>
      <c r="V17" s="4" t="s">
        <v>328</v>
      </c>
      <c r="W17" s="4" t="s">
        <v>329</v>
      </c>
      <c r="X17" s="4" t="s">
        <v>330</v>
      </c>
      <c r="Y17" s="4" t="s">
        <v>331</v>
      </c>
      <c r="Z17" s="13" t="str">
        <f>HYPERLINK("https://www.getty.edu/projects/conservation-guest-scholars/","https://www.getty.edu/projects/conservation-guest-scholars/")</f>
        <v>https://www.getty.edu/projects/conservation-guest-scholars/</v>
      </c>
      <c r="AA17" s="4"/>
      <c r="AB17" s="6">
        <v>46220</v>
      </c>
      <c r="AC17" s="4" t="s">
        <v>332</v>
      </c>
      <c r="AD17" s="4" t="s">
        <v>333</v>
      </c>
    </row>
    <row r="18" spans="1:30" ht="114">
      <c r="A18" s="4" t="str">
        <f t="shared" si="1"/>
        <v>OP-0017</v>
      </c>
      <c r="B18" s="4" t="s">
        <v>42</v>
      </c>
      <c r="C18" s="4" t="s">
        <v>334</v>
      </c>
      <c r="D18" s="4" t="s">
        <v>335</v>
      </c>
      <c r="E18" s="4" t="s">
        <v>55</v>
      </c>
      <c r="F18" s="4" t="s">
        <v>187</v>
      </c>
      <c r="G18" s="6" t="s">
        <v>371</v>
      </c>
      <c r="H18" s="4" t="s">
        <v>48</v>
      </c>
      <c r="I18" s="4" t="s">
        <v>70</v>
      </c>
      <c r="J18" s="4" t="s">
        <v>64</v>
      </c>
      <c r="K18" s="4" t="str">
        <f ca="1">IF(J18="En revisión","Pendiente Apertura",IF(J18="Cerrada","Cerrada",IF(J18="Suspendida","Suspendida",IF(G18="","Sin fecha",IF(G18&lt;TODAY(),"Vencida",IF(G18-TODAY()&lt;=30,"Próxima a vencer","Abierta"))))))</f>
        <v>Pendiente Apertura</v>
      </c>
      <c r="L18" s="8">
        <v>5000</v>
      </c>
      <c r="M18" s="8">
        <v>15000</v>
      </c>
      <c r="N18" s="4" t="s">
        <v>71</v>
      </c>
      <c r="O18" s="4" t="s">
        <v>336</v>
      </c>
      <c r="P18" s="4" t="s">
        <v>66</v>
      </c>
      <c r="Q18" s="4" t="s">
        <v>337</v>
      </c>
      <c r="R18" s="4" t="s">
        <v>74</v>
      </c>
      <c r="S18" s="4" t="s">
        <v>338</v>
      </c>
      <c r="T18" s="4" t="s">
        <v>369</v>
      </c>
      <c r="U18" s="4" t="s">
        <v>370</v>
      </c>
      <c r="V18" s="4" t="s">
        <v>368</v>
      </c>
      <c r="W18" s="4" t="s">
        <v>339</v>
      </c>
      <c r="X18" s="4" t="s">
        <v>340</v>
      </c>
      <c r="Y18" s="4" t="s">
        <v>341</v>
      </c>
      <c r="Z18" s="13" t="str">
        <f>HYPERLINK("https://www.cca.qc.ca/en/101525/cca-wri-research-fellowship-program","https://www.cca.qc.ca/en/101525/cca-wri-research-fellowship-program")</f>
        <v>https://www.cca.qc.ca/en/101525/cca-wri-research-fellowship-program</v>
      </c>
      <c r="AA18" s="4"/>
      <c r="AB18" s="6">
        <v>46220</v>
      </c>
      <c r="AC18" s="4" t="s">
        <v>342</v>
      </c>
      <c r="AD18" s="4" t="s">
        <v>343</v>
      </c>
    </row>
    <row r="19" spans="1:30" ht="128.25">
      <c r="A19" s="4" t="str">
        <f t="shared" si="1"/>
        <v>OP-0018</v>
      </c>
      <c r="B19" s="4" t="s">
        <v>42</v>
      </c>
      <c r="C19" s="4" t="s">
        <v>344</v>
      </c>
      <c r="D19" s="4" t="s">
        <v>345</v>
      </c>
      <c r="E19" s="4" t="s">
        <v>31</v>
      </c>
      <c r="F19" s="4" t="s">
        <v>202</v>
      </c>
      <c r="G19" s="6">
        <v>46209</v>
      </c>
      <c r="H19" s="4" t="s">
        <v>33</v>
      </c>
      <c r="I19" s="4" t="s">
        <v>70</v>
      </c>
      <c r="J19" s="4" t="s">
        <v>50</v>
      </c>
      <c r="K19" s="4" t="str">
        <f t="shared" ref="K19:K82" ca="1" si="2">IF(J19="En revisión","Pendiente Apertura",IF(J19="Cerrada","Cerrada",IF(J19="Suspendida","Suspendida",IF(G19="","Sin fecha",IF(G19&lt;TODAY(),"Vencida",IF(G19-TODAY()&lt;=30,"Próxima a vencer","Abierta"))))))</f>
        <v>Cerrada</v>
      </c>
      <c r="L19" s="8"/>
      <c r="M19" s="8"/>
      <c r="N19" s="4" t="s">
        <v>59</v>
      </c>
      <c r="O19" s="4" t="s">
        <v>346</v>
      </c>
      <c r="P19" s="4" t="s">
        <v>66</v>
      </c>
      <c r="Q19" s="4" t="s">
        <v>38</v>
      </c>
      <c r="R19" s="4" t="s">
        <v>74</v>
      </c>
      <c r="S19" s="4" t="s">
        <v>347</v>
      </c>
      <c r="T19" s="4" t="s">
        <v>348</v>
      </c>
      <c r="U19" s="4" t="s">
        <v>349</v>
      </c>
      <c r="V19" s="4" t="s">
        <v>350</v>
      </c>
      <c r="W19" s="4" t="s">
        <v>351</v>
      </c>
      <c r="X19" s="4" t="s">
        <v>352</v>
      </c>
      <c r="Y19" s="4" t="s">
        <v>353</v>
      </c>
      <c r="Z19" s="13" t="str">
        <f>HYPERLINK("https://www.urbanstudiesfoundation.org/funding/international-fellowships/","https://www.urbanstudiesfoundation.org/funding/international-fellowships/")</f>
        <v>https://www.urbanstudiesfoundation.org/funding/international-fellowships/</v>
      </c>
      <c r="AA19" s="4"/>
      <c r="AB19" s="6">
        <v>46220</v>
      </c>
      <c r="AC19" s="4" t="s">
        <v>354</v>
      </c>
      <c r="AD19" s="4" t="s">
        <v>355</v>
      </c>
    </row>
    <row r="20" spans="1:30" ht="114">
      <c r="A20" s="4" t="str">
        <f t="shared" si="1"/>
        <v>OP-0019</v>
      </c>
      <c r="B20" s="4" t="s">
        <v>42</v>
      </c>
      <c r="C20" s="4" t="s">
        <v>356</v>
      </c>
      <c r="D20" s="4" t="s">
        <v>357</v>
      </c>
      <c r="E20" s="4" t="s">
        <v>55</v>
      </c>
      <c r="F20" s="4" t="s">
        <v>187</v>
      </c>
      <c r="G20" s="6">
        <v>46157.708333333299</v>
      </c>
      <c r="H20" s="4" t="s">
        <v>33</v>
      </c>
      <c r="I20" s="4" t="s">
        <v>34</v>
      </c>
      <c r="J20" s="4" t="s">
        <v>50</v>
      </c>
      <c r="K20" s="4" t="str">
        <f t="shared" ca="1" si="2"/>
        <v>Cerrada</v>
      </c>
      <c r="L20" s="8"/>
      <c r="M20" s="8">
        <v>20000</v>
      </c>
      <c r="N20" s="4" t="s">
        <v>51</v>
      </c>
      <c r="O20" s="4" t="s">
        <v>358</v>
      </c>
      <c r="P20" s="4" t="s">
        <v>189</v>
      </c>
      <c r="Q20" s="4" t="s">
        <v>38</v>
      </c>
      <c r="R20" s="4" t="s">
        <v>79</v>
      </c>
      <c r="S20" s="4" t="s">
        <v>359</v>
      </c>
      <c r="T20" s="4" t="s">
        <v>360</v>
      </c>
      <c r="U20" s="4" t="s">
        <v>361</v>
      </c>
      <c r="V20" s="4" t="s">
        <v>362</v>
      </c>
      <c r="W20" s="4" t="s">
        <v>363</v>
      </c>
      <c r="X20" s="4" t="s">
        <v>364</v>
      </c>
      <c r="Y20" s="4" t="s">
        <v>365</v>
      </c>
      <c r="Z20" s="13" t="str">
        <f>HYPERLINK("https://www.cyted.org/assets/img/cyted/Convocatoria%202026/Castellano/01_Convocatoria_oficial_bases_y_lineas_2026_SP.pdf","https://www.cyted.org/assets/img/cyted/Convocatoria%202026/Castellano/01_Convocatoria_oficial_bases_y_lineas_2026_SP.pdf")</f>
        <v>https://www.cyted.org/assets/img/cyted/Convocatoria%202026/Castellano/01_Convocatoria_oficial_bases_y_lineas_2026_SP.pdf</v>
      </c>
      <c r="AA20" s="4"/>
      <c r="AB20" s="6">
        <v>46220</v>
      </c>
      <c r="AC20" s="4" t="s">
        <v>366</v>
      </c>
      <c r="AD20" s="4" t="s">
        <v>367</v>
      </c>
    </row>
    <row r="21" spans="1:30">
      <c r="A21" s="4" t="str">
        <f t="shared" si="1"/>
        <v/>
      </c>
      <c r="B21" s="4"/>
      <c r="C21" s="4"/>
      <c r="D21" s="4"/>
      <c r="E21" s="4"/>
      <c r="F21" s="4"/>
      <c r="G21" s="6"/>
      <c r="H21" s="4"/>
      <c r="I21" s="4"/>
      <c r="J21" s="4"/>
      <c r="K21" s="4" t="str">
        <f t="shared" ca="1" si="2"/>
        <v>Sin fecha</v>
      </c>
      <c r="L21" s="8"/>
      <c r="M21" s="8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6"/>
      <c r="AC21" s="4"/>
      <c r="AD21" s="4"/>
    </row>
    <row r="22" spans="1:30">
      <c r="A22" s="4" t="str">
        <f t="shared" si="1"/>
        <v/>
      </c>
      <c r="B22" s="4"/>
      <c r="C22" s="4"/>
      <c r="D22" s="4"/>
      <c r="E22" s="4"/>
      <c r="F22" s="4"/>
      <c r="G22" s="6"/>
      <c r="H22" s="4"/>
      <c r="I22" s="4"/>
      <c r="J22" s="4"/>
      <c r="K22" s="4" t="str">
        <f t="shared" ca="1" si="2"/>
        <v>Sin fecha</v>
      </c>
      <c r="L22" s="8"/>
      <c r="M22" s="8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6"/>
      <c r="AC22" s="4"/>
      <c r="AD22" s="4"/>
    </row>
    <row r="23" spans="1:30">
      <c r="A23" s="4" t="str">
        <f t="shared" si="1"/>
        <v/>
      </c>
      <c r="B23" s="4"/>
      <c r="C23" s="4"/>
      <c r="D23" s="4"/>
      <c r="E23" s="4"/>
      <c r="F23" s="4"/>
      <c r="G23" s="6"/>
      <c r="H23" s="4"/>
      <c r="I23" s="4"/>
      <c r="J23" s="4"/>
      <c r="K23" s="4" t="str">
        <f t="shared" ca="1" si="2"/>
        <v>Sin fecha</v>
      </c>
      <c r="L23" s="8"/>
      <c r="M23" s="8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6"/>
      <c r="AC23" s="4"/>
      <c r="AD23" s="4"/>
    </row>
    <row r="24" spans="1:30">
      <c r="A24" s="4" t="str">
        <f t="shared" si="1"/>
        <v/>
      </c>
      <c r="B24" s="4"/>
      <c r="C24" s="4"/>
      <c r="D24" s="4"/>
      <c r="E24" s="4"/>
      <c r="F24" s="4"/>
      <c r="G24" s="6"/>
      <c r="H24" s="4"/>
      <c r="I24" s="4"/>
      <c r="J24" s="4"/>
      <c r="K24" s="4" t="str">
        <f t="shared" ca="1" si="2"/>
        <v>Sin fecha</v>
      </c>
      <c r="L24" s="8"/>
      <c r="M24" s="8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6"/>
      <c r="AC24" s="4"/>
      <c r="AD24" s="4"/>
    </row>
    <row r="25" spans="1:30">
      <c r="A25" s="4" t="str">
        <f t="shared" si="1"/>
        <v/>
      </c>
      <c r="B25" s="4"/>
      <c r="C25" s="4"/>
      <c r="D25" s="4"/>
      <c r="E25" s="4"/>
      <c r="F25" s="4"/>
      <c r="G25" s="6"/>
      <c r="H25" s="4"/>
      <c r="I25" s="4"/>
      <c r="J25" s="4"/>
      <c r="K25" s="4" t="str">
        <f t="shared" ca="1" si="2"/>
        <v>Sin fecha</v>
      </c>
      <c r="L25" s="8"/>
      <c r="M25" s="8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6"/>
      <c r="AC25" s="4"/>
      <c r="AD25" s="4"/>
    </row>
    <row r="26" spans="1:30">
      <c r="A26" s="4" t="str">
        <f t="shared" si="1"/>
        <v/>
      </c>
      <c r="B26" s="4"/>
      <c r="C26" s="4"/>
      <c r="D26" s="4"/>
      <c r="E26" s="4"/>
      <c r="F26" s="4"/>
      <c r="G26" s="6"/>
      <c r="H26" s="4"/>
      <c r="I26" s="4"/>
      <c r="J26" s="4"/>
      <c r="K26" s="4" t="str">
        <f t="shared" ca="1" si="2"/>
        <v>Sin fecha</v>
      </c>
      <c r="L26" s="8"/>
      <c r="M26" s="8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6"/>
      <c r="AC26" s="4"/>
      <c r="AD26" s="4"/>
    </row>
    <row r="27" spans="1:30">
      <c r="A27" s="4" t="str">
        <f t="shared" si="1"/>
        <v/>
      </c>
      <c r="B27" s="4"/>
      <c r="C27" s="4"/>
      <c r="D27" s="4"/>
      <c r="E27" s="4"/>
      <c r="F27" s="4"/>
      <c r="G27" s="6"/>
      <c r="H27" s="4"/>
      <c r="I27" s="4"/>
      <c r="J27" s="4"/>
      <c r="K27" s="4" t="str">
        <f t="shared" ca="1" si="2"/>
        <v>Sin fecha</v>
      </c>
      <c r="L27" s="8"/>
      <c r="M27" s="8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6"/>
      <c r="AC27" s="4"/>
      <c r="AD27" s="4"/>
    </row>
    <row r="28" spans="1:30">
      <c r="A28" s="4" t="str">
        <f t="shared" si="1"/>
        <v/>
      </c>
      <c r="B28" s="4"/>
      <c r="C28" s="4"/>
      <c r="D28" s="4"/>
      <c r="E28" s="4"/>
      <c r="F28" s="4"/>
      <c r="G28" s="6"/>
      <c r="H28" s="4"/>
      <c r="I28" s="4"/>
      <c r="J28" s="4"/>
      <c r="K28" s="4" t="str">
        <f t="shared" ca="1" si="2"/>
        <v>Sin fecha</v>
      </c>
      <c r="L28" s="8"/>
      <c r="M28" s="8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6"/>
      <c r="AC28" s="4"/>
      <c r="AD28" s="4"/>
    </row>
    <row r="29" spans="1:30">
      <c r="A29" s="4" t="str">
        <f t="shared" si="1"/>
        <v/>
      </c>
      <c r="B29" s="4"/>
      <c r="C29" s="4"/>
      <c r="D29" s="4"/>
      <c r="E29" s="4"/>
      <c r="F29" s="4"/>
      <c r="G29" s="6"/>
      <c r="H29" s="4"/>
      <c r="I29" s="4"/>
      <c r="J29" s="4"/>
      <c r="K29" s="4" t="str">
        <f t="shared" ca="1" si="2"/>
        <v>Sin fecha</v>
      </c>
      <c r="L29" s="8"/>
      <c r="M29" s="8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6"/>
      <c r="AC29" s="4"/>
      <c r="AD29" s="4"/>
    </row>
    <row r="30" spans="1:30">
      <c r="A30" s="4" t="str">
        <f t="shared" si="1"/>
        <v/>
      </c>
      <c r="B30" s="4"/>
      <c r="C30" s="4"/>
      <c r="D30" s="4"/>
      <c r="E30" s="4"/>
      <c r="F30" s="4"/>
      <c r="G30" s="6"/>
      <c r="H30" s="4"/>
      <c r="I30" s="4"/>
      <c r="J30" s="4"/>
      <c r="K30" s="4" t="str">
        <f t="shared" ca="1" si="2"/>
        <v>Sin fecha</v>
      </c>
      <c r="L30" s="8"/>
      <c r="M30" s="8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6"/>
      <c r="AC30" s="4"/>
      <c r="AD30" s="4"/>
    </row>
    <row r="31" spans="1:30">
      <c r="A31" s="4" t="str">
        <f t="shared" si="1"/>
        <v/>
      </c>
      <c r="B31" s="4"/>
      <c r="C31" s="4"/>
      <c r="D31" s="4"/>
      <c r="E31" s="4"/>
      <c r="F31" s="4"/>
      <c r="G31" s="6"/>
      <c r="H31" s="4"/>
      <c r="I31" s="4"/>
      <c r="J31" s="4"/>
      <c r="K31" s="4" t="str">
        <f t="shared" ca="1" si="2"/>
        <v>Sin fecha</v>
      </c>
      <c r="L31" s="8"/>
      <c r="M31" s="8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6"/>
      <c r="AC31" s="4"/>
      <c r="AD31" s="4"/>
    </row>
    <row r="32" spans="1:30">
      <c r="A32" s="4" t="str">
        <f t="shared" si="1"/>
        <v/>
      </c>
      <c r="B32" s="4"/>
      <c r="C32" s="4"/>
      <c r="D32" s="4"/>
      <c r="E32" s="4"/>
      <c r="F32" s="4"/>
      <c r="G32" s="6"/>
      <c r="H32" s="4"/>
      <c r="I32" s="4"/>
      <c r="J32" s="4"/>
      <c r="K32" s="4" t="str">
        <f t="shared" ca="1" si="2"/>
        <v>Sin fecha</v>
      </c>
      <c r="L32" s="8"/>
      <c r="M32" s="8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6"/>
      <c r="AC32" s="4"/>
      <c r="AD32" s="4"/>
    </row>
    <row r="33" spans="1:30">
      <c r="A33" s="4" t="str">
        <f t="shared" si="1"/>
        <v/>
      </c>
      <c r="B33" s="4"/>
      <c r="C33" s="4"/>
      <c r="D33" s="4"/>
      <c r="E33" s="4"/>
      <c r="F33" s="4"/>
      <c r="G33" s="6"/>
      <c r="H33" s="4"/>
      <c r="I33" s="4"/>
      <c r="J33" s="4"/>
      <c r="K33" s="4" t="str">
        <f t="shared" ca="1" si="2"/>
        <v>Sin fecha</v>
      </c>
      <c r="L33" s="8"/>
      <c r="M33" s="8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6"/>
      <c r="AC33" s="4"/>
      <c r="AD33" s="4"/>
    </row>
    <row r="34" spans="1:30">
      <c r="A34" s="4" t="str">
        <f t="shared" si="1"/>
        <v/>
      </c>
      <c r="B34" s="4"/>
      <c r="C34" s="4"/>
      <c r="D34" s="4"/>
      <c r="E34" s="4"/>
      <c r="F34" s="4"/>
      <c r="G34" s="6"/>
      <c r="H34" s="4"/>
      <c r="I34" s="4"/>
      <c r="J34" s="4"/>
      <c r="K34" s="4" t="str">
        <f t="shared" ca="1" si="2"/>
        <v>Sin fecha</v>
      </c>
      <c r="L34" s="8"/>
      <c r="M34" s="8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6"/>
      <c r="AC34" s="4"/>
      <c r="AD34" s="4"/>
    </row>
    <row r="35" spans="1:30">
      <c r="A35" s="4" t="str">
        <f t="shared" si="1"/>
        <v/>
      </c>
      <c r="B35" s="4"/>
      <c r="C35" s="4"/>
      <c r="D35" s="4"/>
      <c r="E35" s="4"/>
      <c r="F35" s="4"/>
      <c r="G35" s="6"/>
      <c r="H35" s="4"/>
      <c r="I35" s="4"/>
      <c r="J35" s="4"/>
      <c r="K35" s="4" t="str">
        <f t="shared" ca="1" si="2"/>
        <v>Sin fecha</v>
      </c>
      <c r="L35" s="8"/>
      <c r="M35" s="8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6"/>
      <c r="AC35" s="4"/>
      <c r="AD35" s="4"/>
    </row>
    <row r="36" spans="1:30">
      <c r="A36" s="4" t="str">
        <f t="shared" si="1"/>
        <v/>
      </c>
      <c r="B36" s="4"/>
      <c r="C36" s="4"/>
      <c r="D36" s="4"/>
      <c r="E36" s="4"/>
      <c r="F36" s="4"/>
      <c r="G36" s="6"/>
      <c r="H36" s="4"/>
      <c r="I36" s="4"/>
      <c r="J36" s="4"/>
      <c r="K36" s="4" t="str">
        <f t="shared" ca="1" si="2"/>
        <v>Sin fecha</v>
      </c>
      <c r="L36" s="8"/>
      <c r="M36" s="8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6"/>
      <c r="AC36" s="4"/>
      <c r="AD36" s="4"/>
    </row>
    <row r="37" spans="1:30">
      <c r="A37" s="4" t="str">
        <f t="shared" si="1"/>
        <v/>
      </c>
      <c r="B37" s="4"/>
      <c r="C37" s="4"/>
      <c r="D37" s="4"/>
      <c r="E37" s="4"/>
      <c r="F37" s="4"/>
      <c r="G37" s="6"/>
      <c r="H37" s="4"/>
      <c r="I37" s="4"/>
      <c r="J37" s="4"/>
      <c r="K37" s="4" t="str">
        <f t="shared" ca="1" si="2"/>
        <v>Sin fecha</v>
      </c>
      <c r="L37" s="8"/>
      <c r="M37" s="8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6"/>
      <c r="AC37" s="4"/>
      <c r="AD37" s="4"/>
    </row>
    <row r="38" spans="1:30">
      <c r="A38" s="4" t="str">
        <f t="shared" si="1"/>
        <v/>
      </c>
      <c r="B38" s="4"/>
      <c r="C38" s="4"/>
      <c r="D38" s="4"/>
      <c r="E38" s="4"/>
      <c r="F38" s="4"/>
      <c r="G38" s="6"/>
      <c r="H38" s="4"/>
      <c r="I38" s="4"/>
      <c r="J38" s="4"/>
      <c r="K38" s="4" t="str">
        <f t="shared" ca="1" si="2"/>
        <v>Sin fecha</v>
      </c>
      <c r="L38" s="8"/>
      <c r="M38" s="8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6"/>
      <c r="AC38" s="4"/>
      <c r="AD38" s="4"/>
    </row>
    <row r="39" spans="1:30">
      <c r="A39" s="4" t="str">
        <f t="shared" si="1"/>
        <v/>
      </c>
      <c r="B39" s="4"/>
      <c r="C39" s="4"/>
      <c r="D39" s="4"/>
      <c r="E39" s="4"/>
      <c r="F39" s="4"/>
      <c r="G39" s="6"/>
      <c r="H39" s="4"/>
      <c r="I39" s="4"/>
      <c r="J39" s="4"/>
      <c r="K39" s="4" t="str">
        <f t="shared" ca="1" si="2"/>
        <v>Sin fecha</v>
      </c>
      <c r="L39" s="8"/>
      <c r="M39" s="8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6"/>
      <c r="AC39" s="4"/>
      <c r="AD39" s="4"/>
    </row>
    <row r="40" spans="1:30">
      <c r="A40" s="4" t="str">
        <f t="shared" si="1"/>
        <v/>
      </c>
      <c r="B40" s="4"/>
      <c r="C40" s="4"/>
      <c r="D40" s="4"/>
      <c r="E40" s="4"/>
      <c r="F40" s="4"/>
      <c r="G40" s="6"/>
      <c r="H40" s="4"/>
      <c r="I40" s="4"/>
      <c r="J40" s="4"/>
      <c r="K40" s="4" t="str">
        <f t="shared" ca="1" si="2"/>
        <v>Sin fecha</v>
      </c>
      <c r="L40" s="8"/>
      <c r="M40" s="8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6"/>
      <c r="AC40" s="4"/>
      <c r="AD40" s="4"/>
    </row>
    <row r="41" spans="1:30">
      <c r="A41" s="4" t="str">
        <f t="shared" si="1"/>
        <v/>
      </c>
      <c r="B41" s="4"/>
      <c r="C41" s="4"/>
      <c r="D41" s="4"/>
      <c r="E41" s="4"/>
      <c r="F41" s="4"/>
      <c r="G41" s="6"/>
      <c r="H41" s="4"/>
      <c r="I41" s="4"/>
      <c r="J41" s="4"/>
      <c r="K41" s="4" t="str">
        <f t="shared" ca="1" si="2"/>
        <v>Sin fecha</v>
      </c>
      <c r="L41" s="8"/>
      <c r="M41" s="8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6"/>
      <c r="AC41" s="4"/>
      <c r="AD41" s="4"/>
    </row>
    <row r="42" spans="1:30">
      <c r="A42" s="4" t="str">
        <f t="shared" si="1"/>
        <v/>
      </c>
      <c r="B42" s="4"/>
      <c r="C42" s="4"/>
      <c r="D42" s="4"/>
      <c r="E42" s="4"/>
      <c r="F42" s="4"/>
      <c r="G42" s="6"/>
      <c r="H42" s="4"/>
      <c r="I42" s="4"/>
      <c r="J42" s="4"/>
      <c r="K42" s="4" t="str">
        <f t="shared" ca="1" si="2"/>
        <v>Sin fecha</v>
      </c>
      <c r="L42" s="8"/>
      <c r="M42" s="8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6"/>
      <c r="AC42" s="4"/>
      <c r="AD42" s="4"/>
    </row>
    <row r="43" spans="1:30">
      <c r="A43" s="4" t="str">
        <f t="shared" si="1"/>
        <v/>
      </c>
      <c r="B43" s="4"/>
      <c r="C43" s="4"/>
      <c r="D43" s="4"/>
      <c r="E43" s="4"/>
      <c r="F43" s="4"/>
      <c r="G43" s="6"/>
      <c r="H43" s="4"/>
      <c r="I43" s="4"/>
      <c r="J43" s="4"/>
      <c r="K43" s="4" t="str">
        <f t="shared" ca="1" si="2"/>
        <v>Sin fecha</v>
      </c>
      <c r="L43" s="8"/>
      <c r="M43" s="8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6"/>
      <c r="AC43" s="4"/>
      <c r="AD43" s="4"/>
    </row>
    <row r="44" spans="1:30">
      <c r="A44" s="4" t="str">
        <f t="shared" si="1"/>
        <v/>
      </c>
      <c r="B44" s="4"/>
      <c r="C44" s="4"/>
      <c r="D44" s="4"/>
      <c r="E44" s="4"/>
      <c r="F44" s="4"/>
      <c r="G44" s="6"/>
      <c r="H44" s="4"/>
      <c r="I44" s="4"/>
      <c r="J44" s="4"/>
      <c r="K44" s="4" t="str">
        <f t="shared" ca="1" si="2"/>
        <v>Sin fecha</v>
      </c>
      <c r="L44" s="8"/>
      <c r="M44" s="8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6"/>
      <c r="AC44" s="4"/>
      <c r="AD44" s="4"/>
    </row>
    <row r="45" spans="1:30">
      <c r="A45" s="4" t="str">
        <f t="shared" si="1"/>
        <v/>
      </c>
      <c r="B45" s="4"/>
      <c r="C45" s="4"/>
      <c r="D45" s="4"/>
      <c r="E45" s="4"/>
      <c r="F45" s="4"/>
      <c r="G45" s="6"/>
      <c r="H45" s="4"/>
      <c r="I45" s="4"/>
      <c r="J45" s="4"/>
      <c r="K45" s="4" t="str">
        <f t="shared" ca="1" si="2"/>
        <v>Sin fecha</v>
      </c>
      <c r="L45" s="8"/>
      <c r="M45" s="8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6"/>
      <c r="AC45" s="4"/>
      <c r="AD45" s="4"/>
    </row>
    <row r="46" spans="1:30">
      <c r="A46" s="4" t="str">
        <f t="shared" si="1"/>
        <v/>
      </c>
      <c r="B46" s="4"/>
      <c r="C46" s="4"/>
      <c r="D46" s="4"/>
      <c r="E46" s="4"/>
      <c r="F46" s="4"/>
      <c r="G46" s="6"/>
      <c r="H46" s="4"/>
      <c r="I46" s="4"/>
      <c r="J46" s="4"/>
      <c r="K46" s="4" t="str">
        <f t="shared" ca="1" si="2"/>
        <v>Sin fecha</v>
      </c>
      <c r="L46" s="8"/>
      <c r="M46" s="8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6"/>
      <c r="AC46" s="4"/>
      <c r="AD46" s="4"/>
    </row>
    <row r="47" spans="1:30">
      <c r="A47" s="4" t="str">
        <f t="shared" si="1"/>
        <v/>
      </c>
      <c r="B47" s="4"/>
      <c r="C47" s="4"/>
      <c r="D47" s="4"/>
      <c r="E47" s="4"/>
      <c r="F47" s="4"/>
      <c r="G47" s="6"/>
      <c r="H47" s="4"/>
      <c r="I47" s="4"/>
      <c r="J47" s="4"/>
      <c r="K47" s="4" t="str">
        <f t="shared" ca="1" si="2"/>
        <v>Sin fecha</v>
      </c>
      <c r="L47" s="8"/>
      <c r="M47" s="8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6"/>
      <c r="AC47" s="4"/>
      <c r="AD47" s="4"/>
    </row>
    <row r="48" spans="1:30">
      <c r="A48" s="4" t="str">
        <f t="shared" si="1"/>
        <v/>
      </c>
      <c r="B48" s="4"/>
      <c r="C48" s="4"/>
      <c r="D48" s="4"/>
      <c r="E48" s="4"/>
      <c r="F48" s="4"/>
      <c r="G48" s="6"/>
      <c r="H48" s="4"/>
      <c r="I48" s="4"/>
      <c r="J48" s="4"/>
      <c r="K48" s="4" t="str">
        <f t="shared" ca="1" si="2"/>
        <v>Sin fecha</v>
      </c>
      <c r="L48" s="8"/>
      <c r="M48" s="8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6"/>
      <c r="AC48" s="4"/>
      <c r="AD48" s="4"/>
    </row>
    <row r="49" spans="1:30">
      <c r="A49" s="4" t="str">
        <f t="shared" si="1"/>
        <v/>
      </c>
      <c r="B49" s="4"/>
      <c r="C49" s="4"/>
      <c r="D49" s="4"/>
      <c r="E49" s="4"/>
      <c r="F49" s="4"/>
      <c r="G49" s="6"/>
      <c r="H49" s="4"/>
      <c r="I49" s="4"/>
      <c r="J49" s="4"/>
      <c r="K49" s="4" t="str">
        <f t="shared" ca="1" si="2"/>
        <v>Sin fecha</v>
      </c>
      <c r="L49" s="8"/>
      <c r="M49" s="8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6"/>
      <c r="AC49" s="4"/>
      <c r="AD49" s="4"/>
    </row>
    <row r="50" spans="1:30">
      <c r="A50" s="4" t="str">
        <f t="shared" si="1"/>
        <v/>
      </c>
      <c r="B50" s="4"/>
      <c r="C50" s="4"/>
      <c r="D50" s="4"/>
      <c r="E50" s="4"/>
      <c r="F50" s="4"/>
      <c r="G50" s="6"/>
      <c r="H50" s="4"/>
      <c r="I50" s="4"/>
      <c r="J50" s="4"/>
      <c r="K50" s="4" t="str">
        <f t="shared" ca="1" si="2"/>
        <v>Sin fecha</v>
      </c>
      <c r="L50" s="8"/>
      <c r="M50" s="8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6"/>
      <c r="AC50" s="4"/>
      <c r="AD50" s="4"/>
    </row>
    <row r="51" spans="1:30">
      <c r="A51" s="4" t="str">
        <f t="shared" si="1"/>
        <v/>
      </c>
      <c r="B51" s="4"/>
      <c r="C51" s="4"/>
      <c r="D51" s="4"/>
      <c r="E51" s="4"/>
      <c r="F51" s="4"/>
      <c r="G51" s="6"/>
      <c r="H51" s="4"/>
      <c r="I51" s="4"/>
      <c r="J51" s="4"/>
      <c r="K51" s="4" t="str">
        <f t="shared" ca="1" si="2"/>
        <v>Sin fecha</v>
      </c>
      <c r="L51" s="8"/>
      <c r="M51" s="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6"/>
      <c r="AC51" s="4"/>
      <c r="AD51" s="4"/>
    </row>
    <row r="52" spans="1:30">
      <c r="A52" s="4" t="str">
        <f t="shared" si="1"/>
        <v/>
      </c>
      <c r="B52" s="4"/>
      <c r="C52" s="4"/>
      <c r="D52" s="4"/>
      <c r="E52" s="4"/>
      <c r="F52" s="4"/>
      <c r="G52" s="6"/>
      <c r="H52" s="4"/>
      <c r="I52" s="4"/>
      <c r="J52" s="4"/>
      <c r="K52" s="4" t="str">
        <f t="shared" ca="1" si="2"/>
        <v>Sin fecha</v>
      </c>
      <c r="L52" s="8"/>
      <c r="M52" s="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6"/>
      <c r="AC52" s="4"/>
      <c r="AD52" s="4"/>
    </row>
    <row r="53" spans="1:30">
      <c r="A53" s="4" t="str">
        <f t="shared" si="1"/>
        <v/>
      </c>
      <c r="B53" s="4"/>
      <c r="C53" s="4"/>
      <c r="D53" s="4"/>
      <c r="E53" s="4"/>
      <c r="F53" s="4"/>
      <c r="G53" s="6"/>
      <c r="H53" s="4"/>
      <c r="I53" s="4"/>
      <c r="J53" s="4"/>
      <c r="K53" s="4" t="str">
        <f t="shared" ca="1" si="2"/>
        <v>Sin fecha</v>
      </c>
      <c r="L53" s="8"/>
      <c r="M53" s="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6"/>
      <c r="AC53" s="4"/>
      <c r="AD53" s="4"/>
    </row>
    <row r="54" spans="1:30">
      <c r="A54" s="4" t="str">
        <f t="shared" si="1"/>
        <v/>
      </c>
      <c r="B54" s="4"/>
      <c r="C54" s="4"/>
      <c r="D54" s="4"/>
      <c r="E54" s="4"/>
      <c r="F54" s="4"/>
      <c r="G54" s="6"/>
      <c r="H54" s="4"/>
      <c r="I54" s="4"/>
      <c r="J54" s="4"/>
      <c r="K54" s="4" t="str">
        <f t="shared" ca="1" si="2"/>
        <v>Sin fecha</v>
      </c>
      <c r="L54" s="8"/>
      <c r="M54" s="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6"/>
      <c r="AC54" s="4"/>
      <c r="AD54" s="4"/>
    </row>
    <row r="55" spans="1:30">
      <c r="A55" s="4" t="str">
        <f t="shared" si="1"/>
        <v/>
      </c>
      <c r="B55" s="4"/>
      <c r="C55" s="4"/>
      <c r="D55" s="4"/>
      <c r="E55" s="4"/>
      <c r="F55" s="4"/>
      <c r="G55" s="6"/>
      <c r="H55" s="4"/>
      <c r="I55" s="4"/>
      <c r="J55" s="4"/>
      <c r="K55" s="4" t="str">
        <f t="shared" ca="1" si="2"/>
        <v>Sin fecha</v>
      </c>
      <c r="L55" s="8"/>
      <c r="M55" s="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6"/>
      <c r="AC55" s="4"/>
      <c r="AD55" s="4"/>
    </row>
    <row r="56" spans="1:30">
      <c r="A56" s="4" t="str">
        <f t="shared" si="1"/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2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1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2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1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2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1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2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1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2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1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2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1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2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1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2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1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2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si="1"/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2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1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ca="1" si="2"/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ref="A67:A130" si="3">IF(C67="","","OP-"&amp;TEXT(ROW()-1,"0000"))</f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2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2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2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2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2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2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2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2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2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2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2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2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2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2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ca="1" si="2"/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2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ref="K83:K120" ca="1" si="4">IF(J83="En revisión","Pendiente Apertura",IF(J83="Cerrada","Cerrada",IF(J83="Suspendida","Suspendida",IF(G83="","Sin fecha",IF(G83&lt;TODAY(),"Vencida",IF(G83-TODAY()&lt;=30,"Próxima a vencer","Abierta"))))))</f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4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4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4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4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4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4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4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4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4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4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4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4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4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4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4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4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4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4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4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4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4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4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4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4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4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4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4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4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4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4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4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4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4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4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4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ca="1" si="4"/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4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ref="K121:K129" ca="1" si="5">IF(J121="Cerrada","Cerrada",IF(J121="Suspendida","Suspendida",IF(G121="","Sin fecha",IF(G121&lt;TODAY(),"Vencida",IF(G121-TODAY()&lt;=30,"Próxima a vencer","Abierta")))))</f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5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5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5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5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5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5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ca="1" si="5"/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si="3"/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5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3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ref="K130:K193" ca="1" si="6">IF(J130="Cerrada","Cerrada",IF(J130="Suspendida","Suspendida",IF(G130="","Sin fecha",IF(G130&lt;TODAY(),"Vencida",IF(G130-TODAY()&lt;=30,"Próxima a vencer","Abierta")))))</f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ref="A131:A194" si="7">IF(C131="","","OP-"&amp;TEXT(ROW()-1,"0000"))</f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6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7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6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7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6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7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6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7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6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7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6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7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6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7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6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7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6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7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6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7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6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7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6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7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6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7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6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7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6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7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6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7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6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7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6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7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6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7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6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7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6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7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6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7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6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7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6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7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6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7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6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7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6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7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6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7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6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7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6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7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6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7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6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7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6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7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6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7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6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7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6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7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6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7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6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7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6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7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6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7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6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7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6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7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6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7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6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7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6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7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6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7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6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7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6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7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6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7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6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7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6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7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6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7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6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7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6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7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6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7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6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7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6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7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6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7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6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7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6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7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6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7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ca="1" si="6"/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si="7"/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6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7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ref="K194:K257" ca="1" si="8">IF(J194="Cerrada","Cerrada",IF(J194="Suspendida","Suspendida",IF(G194="","Sin fecha",IF(G194&lt;TODAY(),"Vencida",IF(G194-TODAY()&lt;=30,"Próxima a vencer","Abierta")))))</f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ref="A195:A258" si="9">IF(C195="","","OP-"&amp;TEXT(ROW()-1,"0000"))</f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8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9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8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9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8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9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8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9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8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9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8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9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8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9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8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9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8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9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8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9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8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9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8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9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8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9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8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9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8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9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8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9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8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9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8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9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8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9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8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9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8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9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8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9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8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9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8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9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8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9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8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9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8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9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8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9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8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9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8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9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8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9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8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9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8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9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8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9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8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9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8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9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8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9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8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9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8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9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8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9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8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9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8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9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8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9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8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9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8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9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8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9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8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9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8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9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8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9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8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9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8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9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8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9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8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9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8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9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8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9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8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9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8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9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8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9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8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9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8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9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8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9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ca="1" si="8"/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si="9"/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8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9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ref="K258:K321" ca="1" si="10">IF(J258="Cerrada","Cerrada",IF(J258="Suspendida","Suspendida",IF(G258="","Sin fecha",IF(G258&lt;TODAY(),"Vencida",IF(G258-TODAY()&lt;=30,"Próxima a vencer","Abierta")))))</f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ref="A259:A322" si="11">IF(C259="","","OP-"&amp;TEXT(ROW()-1,"0000"))</f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10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11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10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11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10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11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10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11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10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11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10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11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10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11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10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11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10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11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10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11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10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11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10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11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10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11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10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11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10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11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10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11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10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11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10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11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10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11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10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11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10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11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10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11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10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11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10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11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10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11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10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11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10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11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10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11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10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11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10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11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10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11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10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11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10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11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10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11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10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11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10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11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10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11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10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11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10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11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10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11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10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11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10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11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10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11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10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11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10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11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10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11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10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11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10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11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10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11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10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11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10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11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10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11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10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11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10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11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10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11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10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11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10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11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10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11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10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11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10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11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10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11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ca="1" si="10"/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si="11"/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10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11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ref="K322:K385" ca="1" si="12">IF(J322="Cerrada","Cerrada",IF(J322="Suspendida","Suspendida",IF(G322="","Sin fecha",IF(G322&lt;TODAY(),"Vencida",IF(G322-TODAY()&lt;=30,"Próxima a vencer","Abierta")))))</f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ref="A323:A386" si="13">IF(C323="","","OP-"&amp;TEXT(ROW()-1,"0000"))</f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2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3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2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3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2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3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2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3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2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3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2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3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2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3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2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3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2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3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2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3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2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3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2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3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2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3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2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3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2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3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2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3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2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3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2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3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2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3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2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3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2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3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2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3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2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3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2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3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2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3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2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3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2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3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2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3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2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3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2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3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2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3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2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3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2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3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2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3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2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3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2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3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2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3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2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3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2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3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2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3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2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3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2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3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2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3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2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3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2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3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2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3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2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3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2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3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2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3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2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3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2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3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2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3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2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3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2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3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2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3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2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3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2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3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2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3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2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3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2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3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2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3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ca="1" si="12"/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si="13"/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2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3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ref="K386:K449" ca="1" si="14">IF(J386="Cerrada","Cerrada",IF(J386="Suspendida","Suspendida",IF(G386="","Sin fecha",IF(G386&lt;TODAY(),"Vencida",IF(G386-TODAY()&lt;=30,"Próxima a vencer","Abierta")))))</f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ref="A387:A450" si="15">IF(C387="","","OP-"&amp;TEXT(ROW()-1,"0000"))</f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4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5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4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5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4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5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4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5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4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5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4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5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4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5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4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5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4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5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4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5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4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5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4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5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4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5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4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5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4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5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4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5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4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5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4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5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4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5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4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5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4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5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4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5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4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5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4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5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4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5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4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5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4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5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4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5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4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5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4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5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4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5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4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5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4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5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4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5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4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5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4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5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4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5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4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5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4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5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4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5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4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5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4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5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4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5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4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5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4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5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4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5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4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5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4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5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4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5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4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5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4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5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4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5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4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5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4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5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4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5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4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5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4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5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4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5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4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5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4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5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4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5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ca="1" si="14"/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si="15"/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4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5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ref="K450:K501" ca="1" si="16">IF(J450="Cerrada","Cerrada",IF(J450="Suspendida","Suspendida",IF(G450="","Sin fecha",IF(G450&lt;TODAY(),"Vencida",IF(G450-TODAY()&lt;=30,"Próxima a vencer","Abierta")))))</f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ref="A451:A501" si="17">IF(C451="","","OP-"&amp;TEXT(ROW()-1,"0000"))</f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6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7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6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7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6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7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6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7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6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7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6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7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6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7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6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7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6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7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6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7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6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7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6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7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6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7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6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7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6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7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6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7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6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7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6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7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6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7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6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7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6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7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6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7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6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7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6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7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6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7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6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7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6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7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6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7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6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7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6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7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6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7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6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7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6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7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6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7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6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7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6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7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6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7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6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7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6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7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6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7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6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7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6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7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6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7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6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7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6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7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6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7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6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7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6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7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6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  <row r="500" spans="1:30">
      <c r="A500" s="4" t="str">
        <f t="shared" si="17"/>
        <v/>
      </c>
      <c r="B500" s="4"/>
      <c r="C500" s="4"/>
      <c r="D500" s="4"/>
      <c r="E500" s="4"/>
      <c r="F500" s="4"/>
      <c r="G500" s="6"/>
      <c r="H500" s="4"/>
      <c r="I500" s="4"/>
      <c r="J500" s="4"/>
      <c r="K500" s="4" t="str">
        <f t="shared" ca="1" si="16"/>
        <v>Sin fecha</v>
      </c>
      <c r="L500" s="8"/>
      <c r="M500" s="8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6"/>
      <c r="AC500" s="4"/>
      <c r="AD500" s="4"/>
    </row>
    <row r="501" spans="1:30">
      <c r="A501" s="4" t="str">
        <f t="shared" si="17"/>
        <v/>
      </c>
      <c r="B501" s="4"/>
      <c r="C501" s="4"/>
      <c r="D501" s="4"/>
      <c r="E501" s="4"/>
      <c r="F501" s="4"/>
      <c r="G501" s="6"/>
      <c r="H501" s="4"/>
      <c r="I501" s="4"/>
      <c r="J501" s="4"/>
      <c r="K501" s="4" t="str">
        <f t="shared" ca="1" si="16"/>
        <v>Sin fecha</v>
      </c>
      <c r="L501" s="8"/>
      <c r="M501" s="8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6"/>
      <c r="AC501" s="4"/>
      <c r="AD501" s="4"/>
    </row>
  </sheetData>
  <conditionalFormatting sqref="K2:K501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1">
    <dataValidation type="list" allowBlank="1" showInputMessage="1" showErrorMessage="1" sqref="F2:F501" xr:uid="{D276CFF5-768A-468D-9AF4-70BEFC205A95}">
      <formula1>ListaPaises</formula1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  <hyperlink ref="Z12" r:id="rId14" xr:uid="{F872502C-FE0A-420C-B938-DBB0CD6B238C}"/>
    <hyperlink ref="Z13" r:id="rId15" xr:uid="{01F0AA5B-D78A-4F19-A009-CF0523CCB418}"/>
    <hyperlink ref="Z14" r:id="rId16" xr:uid="{D05FF4DF-1116-45D3-9B6F-8D7B84418772}"/>
    <hyperlink ref="Z15" r:id="rId17" xr:uid="{6ACE1176-275C-4722-B826-470447F186B4}"/>
    <hyperlink ref="AA15" r:id="rId18" xr:uid="{7F7B90AF-833E-443A-A46D-DBC340742EF5}"/>
    <hyperlink ref="Z16" r:id="rId19" xr:uid="{389666AF-4919-4E77-BA8F-31DD485B4348}"/>
  </hyperlinks>
  <pageMargins left="0.7" right="0.7" top="0.75" bottom="0.75" header="0.3" footer="0.3"/>
  <tableParts count="1">
    <tablePart r:id="rId20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xr:uid="{00000000-0002-0000-0000-000000000000}">
          <x14:formula1>
            <xm:f>Catálogos!$A$2:$A$3</xm:f>
          </x14:formula1>
          <xm:sqref>B2:B501</xm:sqref>
        </x14:dataValidation>
        <x14:dataValidation type="list" xr:uid="{00000000-0002-0000-0000-000001000000}">
          <x14:formula1>
            <xm:f>Catálogos!$B$2:$B$10</xm:f>
          </x14:formula1>
          <xm:sqref>E2:E501</xm:sqref>
        </x14:dataValidation>
        <x14:dataValidation type="list" xr:uid="{00000000-0002-0000-0000-000002000000}">
          <x14:formula1>
            <xm:f>Catálogos!$C$2:$C$5</xm:f>
          </x14:formula1>
          <xm:sqref>H2:H501</xm:sqref>
        </x14:dataValidation>
        <x14:dataValidation type="list" xr:uid="{00000000-0002-0000-0000-000003000000}">
          <x14:formula1>
            <xm:f>Catálogos!$D$2:$D$10</xm:f>
          </x14:formula1>
          <xm:sqref>I2:I501</xm:sqref>
        </x14:dataValidation>
        <x14:dataValidation type="list" xr:uid="{00000000-0002-0000-0000-000004000000}">
          <x14:formula1>
            <xm:f>Catálogos!$E$2:$E$5</xm:f>
          </x14:formula1>
          <xm:sqref>J2:J501</xm:sqref>
        </x14:dataValidation>
        <x14:dataValidation type="list" xr:uid="{00000000-0002-0000-0000-000005000000}">
          <x14:formula1>
            <xm:f>Catálogos!$F$2:$F$7</xm:f>
          </x14:formula1>
          <xm:sqref>N2:N501</xm:sqref>
        </x14:dataValidation>
        <x14:dataValidation type="list" xr:uid="{00000000-0002-0000-0000-000006000000}">
          <x14:formula1>
            <xm:f>Catálogos!$G$2:$G$9</xm:f>
          </x14:formula1>
          <xm:sqref>P11 P13 P22:P501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  <x14:dataValidation type="list" xr:uid="{A35CBE74-7E2E-474C-A170-1B3127731756}">
          <x14:formula1>
            <xm:f>Catálogos!$G$2:$G$11</xm:f>
          </x14:formula1>
          <xm:sqref>P12 P14:P21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J7" sqref="J7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134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135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136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187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  <c r="J7" t="s">
        <v>258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2026-07-17T12:24:26Z</dcterms:modified>
</cp:coreProperties>
</file>