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0" documentId="13_ncr:1_{1C8BC400-E995-42A4-AD2F-852A6B3ABAD0}" xr6:coauthVersionLast="36" xr6:coauthVersionMax="36" xr10:uidLastSave="{00000000-0000-0000-0000-000000000000}"/>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<sst xmlns="http://schemas.openxmlformats.org/spreadsheetml/2006/main" count="3148" uniqueCount="1706">
  <si>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</si>
  <si>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</si>
  <si>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</si>
  <si>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</si>
  <si>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</si>
  <si>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</si>
  <si>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</si>
  <si>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</si>
  <si>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</si>
  <si>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</si>
  <si>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</si>
  <si>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</si>
  <si>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</si>
  <si>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</si>
  <si>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</si>
  <si>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</si>
  <si>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</si>
  <si>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</si>
  <si>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</si>
  <si>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</si>
  <si>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</si>
  <si>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</si>
  <si>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</si>
  <si>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</si>
  <si>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</si>
  <si>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</si>
  <si>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</si>
  <si>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</si>
  <si>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</si>
  <si>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</si>
  <si>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</si>
  <si>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</si>
  <si>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</si>
  <si>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</si>
  <si>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</si>
  <si>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</si>
  <si>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</si>
  <si>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</si>
  <si>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</si>
  <si>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</si>
  <si>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</si>
  <si>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</si>
  <si>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</si>
  <si>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</si>
  <si>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</si>
  <si>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</si>
  <si>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</si>
  <si>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</si>
  <si>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</si>
  <si>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</si>
  <si>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</si>
  <si>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</si>
  <si>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</si>
  <si>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</si>
  <si>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</si>
  <si>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</si>
  <si>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</si>
  <si>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</si>
  <si>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</si>
  <si>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</si>
  <si>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</si>
  <si>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</si>
  <si>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</si>
  <si>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</si>
  <si>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</si>
  <si>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</si>
  <si>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</si>
  <si>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</si>
  <si>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</si>
  <si>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</si>
  <si>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</si>
  <si>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</si>
  <si>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</si>
  <si>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</si>
  <si>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</si>
  <si>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</si>
  <si>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</si>
  <si>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</si>
  <si>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</si>
  <si>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</si>
  <si>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</si>
  <si>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</si>
  <si>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</si>
  <si>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</si>
  <si>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</si>
  <si>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</si>
  <si>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</si>
  <si>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</si>
  <si>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</si>
  <si>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</si>
  <si>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</si>
  <si>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</si>
  <si>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</si>
  <si>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</si>
  <si>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</si>
  <si>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</si>
  <si>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</si>
  <si>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</si>
  <si>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</si>
  <si>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</si>
  <si>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</si>
  <si>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</si>
  <si>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</si>
  <si>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</si>
  <si>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</si>
  <si>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</si>
  <si>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</si>
  <si>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</si>
  <si>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</si>
  <si>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</si>
  <si>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</si>
  <si>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</si>
  <si>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</si>
  <si>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</si>
  <si>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</si>
  <si>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</si>
  <si>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</si>
  <si>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</si>
  <si>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</si>
  <si>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</si>
  <si>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</si>
  <si>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</si>
  <si>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</si>
  <si>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</si>
  <si>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</si>
  <si>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</si>
  <si>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</si>
  <si>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</si>
  <si>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</si>
  <si>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</si>
  <si>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</si>
  <si>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</si>
  <si>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</si>
  <si>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</si>
  <si>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</si>
  <si>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</si>
  <si>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</si>
  <si>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</si>
  <si>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</si>
  <si>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</si>
  <si>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</si>
  <si>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</si>
  <si>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</si>
  <si>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</si>
  <si>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</si>
  <si>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</si>
  <si>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</si>
  <si>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</si>
  <si>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</si>
  <si>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</si>
  <si>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</si>
  <si>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</si>
  <si>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</si>
  <si>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</si>
  <si>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</si>
  <si>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</si>
  <si>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</si>
  <si>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</si>
  <si>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</si>
  <si>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</si>
  <si>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</si>
  <si>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</si>
  <si>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</si>
  <si>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</si>
  <si>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</si>
  <si>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</si>
  <si>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</si>
  <si>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</si>
  <si>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</si>
  <si>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</si>
  <si>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</si>
  <si>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</si>
  <si>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</si>
  <si>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</si>
  <si>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</si>
  <si>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</si>
  <si>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</si>
  <si>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</si>
  <si>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</si>
  <si>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</si>
  <si>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</si>
  <si>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</si>
  <si>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</si>
  <si>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</si>
  <si>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</si>
  <si>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</si>
  <si>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</si>
  <si>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</si>
  <si>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</si>
  <si>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</si>
  <si>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</si>
  <si>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</si>
  <si>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</si>
  <si>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</si>
  <si>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</si>
  <si>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</si>
  <si>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</si>
  <si>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</si>
  <si>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</si>
  <si>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</si>
  <si>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</si>
  <si>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</si>
  <si>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</si>
  <si>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</si>
  <si>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</si>
  <si>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</si>
  <si>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</si>
  <si>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</si>
  <si>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</si>
  <si>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</si>
  <si>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</si>
  <si>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</si>
  <si>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</si>
  <si>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</si>
  <si>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</si>
  <si>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</si>
  <si>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</si>
  <si>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</si>
  <si>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</si>
  <si>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</si>
  <si>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</si>
  <si>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</si>
  <si>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</si>
  <si>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</si>
  <si>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</si>
  <si>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</si>
  <si>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</si>
  <si>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</si>
  <si>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</si>
  <si>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</si>
  <si>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</si>
  <si>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</si>
  <si>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</si>
  <si>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</si>
  <si>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</si>
  <si>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</si>
  <si>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</si>
  <si>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</si>
  <si>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</si>
  <si>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</si>
  <si>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</si>
  <si>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</si>
  <si>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</si>
  <si>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</si>
  <si>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</si>
  <si>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</si>
  <si>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</si>
  <si>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</si>
  <si>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</si>
  <si>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</si>
  <si>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</si>
  <si>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</si>
  <si>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</si>
  <si>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</si>
  <si>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</si>
  <si>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</si>
  <si>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</si>
  <si>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</si>
  <si>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</si>
  <si>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</si>
  <si>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</si>
  <si>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</si>
  <si>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</si>
  <si>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</si>
  <si>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</si>
  <si>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</si>
  <si>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</si>
  <si>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</si>
  <si>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</si>
  <si>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</si>
  <si>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</si>
  <si>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</si>
  <si>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</si>
  <si>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</si>
  <si>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</si>
  <si>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</si>
  <si>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</si>
  <si>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</si>
  <si>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</si>
  <si>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</si>
  <si>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</si>
  <si>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</si>
  <si>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</si>
  <si>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</si>
  <si>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</si>
  <si>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</si>
  <si>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</si>
  <si>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</si>
  <si>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</si>
  <si>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</si>
  <si>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</si>
  <si>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</si>
  <si>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</si>
  <si>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</si>
  <si>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</si>
  <si>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</si>
  <si>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</si>
  <si>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</si>
  <si>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</si>
  <si>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</si>
  <si>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</si>
  <si>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</si>
  <si>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</si>
  <si>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</si>
  <si>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</si>
  <si>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</si>
  <si>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</si>
  <si>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</si>
  <si>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</si>
  <si>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</si>
  <si>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</si>
  <si>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</si>
  <si>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</si>
  <si>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</si>
  <si>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</si>
  <si>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</si>
  <si>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</si>
  <si>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</si>
  <si>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</si>
  <si>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</si>
  <si>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</si>
  <si>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</si>
  <si>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</si>
  <si>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</si>
  <si>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</si>
  <si>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</si>
  <si>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</si>
  <si>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</si>
  <si>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</si>
  <si>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</si>
  <si>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</si>
  <si>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</si>
  <si>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</si>
  <si>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</si>
  <si>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</si>
  <si>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</si>
  <si>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</si>
  <si>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</si>
  <si>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</si>
  <si>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</si>
  <si>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</si>
  <si>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</si>
  <si>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</si>
  <si>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</si>
  <si>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</si>
  <si>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</si>
  <si>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</si>
  <si>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</si>
  <si>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</si>
  <si>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</si>
  <si>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</si>
  <si>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</si>
  <si>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</si>
  <si>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</si>
  <si>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</si>
  <si>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</si>
  <si>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</si>
  <si>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</si>
  <si>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</si>
  <si>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</si>
  <si>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</si>
  <si>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</si>
  <si>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</si>
  <si>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</si>
  <si>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</si>
  <si>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</si>
  <si>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</si>
  <si>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</si>
  <si>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</si>
  <si>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</si>
  <si>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</si>
  <si>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</si>
  <si>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</si>
  <si>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</si>
  <si>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</si>
  <si>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</si>
  <si>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</si>
  <si>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</si>
  <si>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</si>
  <si>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</si>
  <si>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</si>
  <si>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</si>
  <si>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</si>
  <si>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</si>
  <si>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</si>
  <si>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</si>
  <si>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</si>
  <si>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</si>
  <si>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</si>
  <si>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</si>
  <si>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</si>
  <si>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</si>
  <si>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</si>
  <si>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</si>
  <si>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</si>
  <si>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</si>
  <si>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</si>
  <si>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</si>
  <si>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</si>
  <si>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</si>
  <si>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</si>
  <si>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</si>
  <si>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</si>
  <si>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</si>
  <si>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</si>
  <si>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</si>
  <si>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</si>
  <si>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</si>
  <si>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</si>
  <si>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</si>
  <si>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</si>
  <si>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</si>
  <si>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</si>
  <si>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</si>
  <si>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</si>
  <si>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</si>
  <si>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</si>
  <si>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</si>
  <si>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</si>
  <si>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</si>
  <si>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</si>
  <si>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</si>
  <si>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</si>
  <si>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</si>
  <si>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</si>
  <si>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</si>
  <si>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</si>
  <si>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</si>
  <si>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</si>
  <si>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</si>
  <si>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</si>
  <si>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</si>
  <si>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</si>
  <si>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</si>
  <si>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</si>
  <si>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</si>
  <si>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</si>
  <si>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</si>
  <si>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</si>
  <si>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</si>
  <si>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</si>
  <si>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</si>
  <si>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</si>
  <si>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</si>
  <si>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</si>
  <si>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</si>
  <si>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</si>
  <si>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</si>
  <si>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</si>
  <si>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</si>
  <si>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</si>
  <si>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</si>
  <si>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</si>
  <si>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</si>
  <si>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</si>
  <si>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</si>
  <si>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</si>
  <si>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</si>
  <si>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</si>
  <si>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</si>
  <si>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</si>
  <si>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</si>
  <si>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</si>
  <si>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</si>
  <si>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</si>
  <si>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</si>
  <si>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</si>
  <si>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</si>
  <si>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</si>
  <si>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</si>
  <si>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</si>
  <si>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</si>
  <si>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</si>
  <si>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</si>
  <si>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</si>
  <si>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</si>
  <si>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</si>
  <si>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</si>
  <si>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</si>
  <si>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</si>
  <si>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</si>
  <si>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</si>
  <si>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</si>
  <si>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</si>
  <si>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</si>
  <si>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</si>
  <si>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</si>
  <si>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</si>
  <si>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</si>
  <si>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</si>
  <si>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</si>
  <si>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</si>
  <si>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</si>
  <si>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</si>
  <si>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</si>
  <si>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</si>
  <si>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</si>
  <si>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</si>
  <si>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</si>
  <si>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</si>
  <si>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</si>
  <si>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</si>
  <si>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</si>
  <si>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</si>
  <si>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</si>
  <si>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</si>
  <si>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</si>
  <si>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</si>
  <si>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</si>
  <si>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</si>
  <si>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</si>
  <si>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</si>
  <si>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</si>
  <si>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</si>
  <si>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</si>
  <si>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</si>
  <si>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</si>
  <si>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</si>
  <si>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</si>
  <si>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</si>
  <si>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</si>
  <si>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</si>
  <si>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</si>
  <si>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</si>
  <si>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</si>
  <si>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</si>
  <si>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</si>
  <si>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</si>
  <si>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</si>
  <si>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</si>
  <si>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</si>
  <si>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</si>
  <si>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</si>
  <si>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</si>
  <si>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</si>
  <si>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</si>
  <si>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</si>
  <si>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</si>
  <si>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</si>
  <si>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</si>
  <si>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</si>
  <si>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</si>
  <si>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</si>
  <si>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</si>
  <si>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</si>
  <si>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</si>
  <si>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</si>
  <si>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</si>
  <si>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</si>
  <si>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</si>
  <si>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</si>
  <si>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</si>
  <si>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</si>
  <si>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</si>
  <si>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</si>
  <si>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</si>
  <si>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</si>
  <si>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</si>
  <si>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</si>
  <si>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</si>
  <si>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</si>
  <si>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</si>
  <si>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</si>
  <si>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</si>
  <si>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</si>
  <si>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</si>
  <si>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</si>
  <si>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</si>
  <si>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</si>
  <si>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</si>
  <si>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</si>
  <si>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</si>
  <si>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</si>
  <si>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</si>
  <si>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</si>
  <si>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</si>
  <si>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</si>
  <si>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</si>
  <si>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</si>
  <si>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</si>
  <si>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</si>
  <si>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</si>
  <si>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</si>
  <si>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</si>
  <si>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</si>
  <si>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</si>
  <si>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</si>
  <si>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</si>
  <si>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</si>
  <si>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</si>
  <si>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</si>
  <si>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</si>
  <si>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</si>
  <si>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</si>
  <si>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</si>
  <si>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</si>
  <si>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</si>
  <si>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</si>
  <si>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</si>
  <si>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</si>
  <si>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</si>
  <si>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</si>
  <si>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</si>
  <si>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</si>
  <si>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</si>
  <si>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</si>
  <si>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</si>
  <si>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</si>
  <si>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</si>
  <si>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</si>
  <si>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</si>
  <si>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</si>
  <si>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</si>
  <si>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</si>
  <si>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</si>
  <si>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</si>
  <si>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</si>
  <si>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</si>
  <si>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</si>
  <si>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</si>
  <si>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</si>
  <si>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</si>
  <si>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</si>
  <si>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</si>
  <si>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</si>
  <si>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</si>
  <si>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</si>
  <si>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</si>
  <si>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</si>
  <si>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</si>
  <si>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</si>
  <si>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</si>
  <si>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</si>
  <si>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</si>
  <si>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</si>
  <si>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</si>
  <si>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</si>
  <si>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</si>
  <si>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</si>
  <si>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</si>
  <si>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</si>
  <si>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</si>
  <si>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</si>
  <si>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</si>
  <si>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</si>
  <si>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</si>
  <si>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</si>
  <si>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</si>
  <si>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</si>
  <si>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</si>
  <si>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</si>
  <si>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</si>
  <si>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</si>
  <si>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</si>
  <si>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</si>
  <si>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</si>
  <si>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</si>
  <si>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</si>
  <si>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</si>
  <si>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</si>
  <si>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</si>
  <si>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</si>
  <si>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</si>
  <si>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</si>
  <si>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</si>
  <si>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</si>
  <si>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</si>
  <si>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</si>
  <si>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</si>
  <si>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</si>
  <si>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</si>
  <si>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</si>
  <si>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</si>
  <si>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</si>
  <si>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</si>
  <si>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</si>
  <si>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</si>
  <si>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</si>
  <si>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</si>
  <si>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</si>
  <si>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</si>
  <si>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</si>
  <si>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</si>
  <si>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</si>
  <si>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</si>
  <si>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</si>
  <si>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</si>
  <si>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</si>
  <si>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</si>
  <si>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</si>
  <si>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</si>
  <si>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</si>
  <si>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</si>
  <si>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</si>
  <si>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</si>
  <si>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</si>
  <si>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</si>
  <si>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</si>
  <si>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</si>
  <si>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</si>
  <si>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</si>
  <si>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</si>
  <si>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</si>
  <si>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</si>
  <si>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</si>
  <si>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</si>
  <si>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</si>
  <si>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</si>
  <si>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</si>
  <si>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</si>
  <si>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</si>
  <si>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</si>
  <si>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</si>
  <si>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</si>
  <si>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</si>
  <si>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</si>
  <si>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</si>
  <si>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</si>
  <si>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</si>
  <si>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</si>
  <si>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</si>
  <si>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</si>
  <si>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</si>
  <si>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</si>
  <si>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</si>
  <si>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</si>
  <si>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</si>
  <si>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</si>
  <si>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</si>
  <si>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</si>
  <si>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</si>
  <si>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</si>
  <si>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</si>
  <si>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</si>
  <si>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</si>
  <si>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</si>
  <si>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</si>
  <si>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</si>
  <si>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</si>
  <si>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</si>
  <si>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</si>
  <si>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</si>
  <si>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</si>
  <si>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</si>
  <si>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</si>
  <si>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</si>
  <si>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</si>
  <si>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</si>
  <si>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</si>
  <si>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</si>
  <si>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</si>
  <si>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</si>
  <si>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</si>
  <si>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</si>
  <si>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</si>
  <si>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</si>
  <si>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</si>
  <si>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</si>
  <si>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</si>
  <si>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</si>
  <si>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</si>
  <si>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</si>
  <si>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</si>
  <si>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</si>
  <si>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</si>
  <si>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</si>
  <si>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</si>
  <si>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</si>
  <si>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</si>
  <si>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</si>
  <si>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</si>
  <si>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</si>
  <si>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</si>
  <si>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</si>
  <si>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</si>
  <si>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</si>
  <si>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</si>
  <si>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</si>
  <si>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</si>
  <si>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</si>
  <si>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</si>
  <si>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</si>
  <si>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</si>
  <si>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</si>
  <si>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</si>
  <si>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</si>
  <si>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</si>
  <si>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</si>
  <si>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</si>
  <si>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</si>
  <si>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</si>
  <si>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</si>
  <si>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</si>
  <si>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</si>
  <si>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</si>
  <si>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</si>
  <si>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</si>
  <si>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</si>
  <si>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</si>
  <si>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</si>
  <si>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</si>
  <si>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</si>
  <si>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</si>
  <si>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</si>
  <si>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</si>
  <si>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</si>
  <si>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</si>
  <si>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</si>
  <si>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</si>
  <si>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</si>
  <si>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</si>
  <si>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</si>
  <si>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</si>
  <si>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</si>
  <si>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</si>
  <si>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</si>
  <si>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</si>
  <si>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</si>
  <si>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</si>
  <si>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</si>
  <si>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</si>
  <si>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</si>
  <si>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</si>
  <si>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</si>
  <si>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</si>
  <si>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</si>
  <si>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</si>
  <si>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</si>
  <si>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</si>
  <si>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</si>
  <si>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</si>
  <si>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</si>
  <si>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</si>
  <si>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</si>
  <si>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</si>
  <si>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</si>
  <si>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</si>
  <si>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</si>
  <si>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</si>
  <si>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</si>
  <si>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</si>
  <si>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</si>
  <si>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</si>
  <si>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</si>
  <si>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</si>
  <si>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</si>
  <si>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</si>
  <si>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</si>
  <si>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</si>
  <si>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</si>
  <si>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</si>
  <si>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</si>
  <si>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</si>
  <si>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</si>
  <si>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</si>
  <si>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</si>
  <si>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</si>
  <si>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</si>
  <si>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</si>
  <si>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</si>
  <si>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</si>
  <si>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</si>
  <si>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</si>
  <si>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</si>
  <si>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</si>
  <si>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</si>
  <si>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</si>
  <si>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</si>
  <si>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</si>
  <si>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</si>
  <si>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</si>
  <si>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</si>
  <si>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</si>
  <si>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</si>
  <si>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</si>
  <si>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</si>
  <si>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</si>
  <si>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</si>
  <si>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</si>
  <si>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</si>
  <si>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</si>
  <si>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</si>
  <si>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</si>
  <si>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</si>
  <si>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</si>
  <si>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</si>
  <si>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</si>
  <si>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</si>
  <si>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</si>
  <si>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</si>
  <si>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</si>
  <si>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</si>
  <si>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</si>
  <si>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</si>
  <si>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</si>
  <si>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</si>
  <si>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</si>
  <si>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</si>
  <si>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</si>
  <si>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</si>
  <si>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</si>
  <si>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</si>
  <si>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</si>
  <si>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</si>
  <si>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</si>
  <si>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</si>
  <si>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</si>
  <si>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</si>
  <si>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</si>
  <si>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</si>
  <si>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</si>
  <si>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</si>
  <si>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</si>
  <si>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</si>
  <si>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</si>
  <si>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</si>
  <si>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</si>
  <si>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</si>
  <si>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</si>
  <si>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</si>
  <si>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</si>
  <si>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</si>
  <si>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</si>
  <si>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</si>
  <si>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</si>
  <si>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</si>
  <si>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</si>
  <si>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</si>
  <si>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</si>
  <si>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</si>
  <si>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</si>
  <si>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</si>
  <si>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</si>
  <si>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</si>
  <si>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</si>
  <si>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</si>
  <si>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</si>
  <si>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</si>
  <si>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</si>
  <si>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</si>
  <si>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</si>
  <si>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</si>
  <si>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</si>
  <si>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</si>
  <si>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</si>
  <si>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</si>
  <si>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</si>
  <si>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</si>
  <si>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</si>
  <si>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</si>
  <si>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</si>
  <si>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</si>
  <si>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</si>
  <si>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</si>
  <si>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</si>
  <si>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</si>
  <si>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</si>
  <si>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</si>
  <si>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</si>
  <si>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</si>
  <si>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</si>
  <si>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</si>
  <si>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</si>
  <si>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</si>
  <si>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</si>
  <si>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</si>
  <si>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</si>
  <si>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</si>
  <si>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</si>
  <si>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</si>
  <si>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</si>
  <si>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</si>
  <si>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</si>
  <si>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</si>
  <si>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</si>
  <si>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</si>
  <si>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</si>
  <si>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</si>
  <si>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</si>
  <si>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</si>
  <si>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</si>
  <si>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</si>
  <si>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</si>
  <si>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</si>
  <si>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</si>
  <si>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</si>
  <si>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</si>
  <si>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</si>
  <si>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</si>
  <si>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</si>
  <si>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</si>
  <si>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</si>
  <si>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</si>
  <si>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</si>
  <si>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</si>
  <si>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</si>
  <si>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</si>
  <si>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</si>
  <si>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</si>
  <si>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</si>
  <si>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</si>
  <si>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</si>
  <si>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</si>
  <si>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</si>
  <si>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</si>
  <si>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</si>
  <si>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</si>
  <si>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</si>
  <si>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</si>
  <si>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</si>
  <si>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</si>
  <si>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</si>
  <si>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</si>
  <si>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</si>
  <si>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</si>
  <si>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</si>
  <si>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</si>
  <si>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</si>
  <si>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</si>
  <si>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</si>
  <si>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</si>
  <si>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</si>
  <si>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</si>
  <si>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</si>
  <si>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</si>
  <si>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</si>
  <si>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</si>
  <si>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</si>
  <si>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</si>
  <si>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</si>
  <si>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</si>
  <si>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</si>
  <si>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</si>
  <si>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</si>
  <si>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</si>
  <si>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</si>
  <si>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</si>
  <si>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</si>
  <si>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</si>
  <si>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</si>
  <si>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</si>
  <si>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</si>
  <si>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</si>
  <si>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</si>
  <si>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</si>
  <si>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</si>
  <si>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</si>
  <si>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</si>
  <si>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</si>
  <si>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</si>
  <si>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</si>
  <si>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</si>
  <si>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</si>
  <si>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</si>
  <si>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</si>
  <si>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</si>
  <si>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</si>
  <si>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</si>
  <si>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</si>
  <si>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</si>
  <si>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</si>
  <si>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</si>
  <si>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</si>
  <si>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</si>
  <si>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</si>
  <si>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</si>
  <si>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</si>
  <si>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</si>
  <si>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</si>
  <si>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</si>
  <si>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</si>
  <si>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</si>
  <si>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</si>
  <si>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</si>
  <si>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</si>
  <si>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</si>
  <si>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</si>
  <si>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</si>
  <si>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</si>
  <si>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</si>
  <si>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</si>
  <si>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</si>
  <si>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</si>
  <si>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</si>
  <si>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</si>
  <si>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</si>
  <si>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</si>
  <si>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</si>
  <si>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</si>
  <si>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</si>
  <si>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</si>
  <si>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</si>
  <si>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</si>
  <si>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</si>
  <si>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</si>
  <si>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</si>
  <si>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</si>
  <si>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</si>
  <si>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</si>
  <si>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</si>
  <si>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</si>
  <si>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</si>
  <si>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</si>
  <si>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</si>
  <si>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</si>
  <si>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</si>
  <si>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</si>
  <si>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</si>
  <si>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</si>
  <si>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</si>
  <si>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</si>
  <si>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</si>
  <si>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</si>
  <si>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</si>
  <si>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</si>
  <si>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</si>
  <si>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</si>
  <si>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</si>
  <si>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</si>
  <si>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</si>
  <si>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</si>
  <si>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</si>
  <si>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</si>
  <si>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</si>
  <si>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</si>
  <si>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</si>
  <si>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</si>
  <si>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</si>
  <si>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</si>
  <si>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</si>
  <si>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</si>
  <si>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</si>
  <si>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</si>
  <si>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</si>
  <si>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</si>
  <si>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</si>
  <si>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</si>
  <si>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</si>
  <si>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</si>
  <si>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</si>
  <si>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</si>
  <si>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</si>
  <si>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</si>
  <si>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</si>
  <si>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</si>
  <si>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</si>
  <si>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</si>
  <si>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</si>
  <si>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</si>
  <si>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</si>
  <si>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</si>
  <si>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</si>
  <si>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</si>
  <si>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</si>
  <si>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</si>
  <si>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</si>
  <si>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</si>
  <si>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</si>
  <si>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</si>
  <si>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</si>
  <si>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</si>
  <si>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</si>
  <si>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</si>
  <si>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</si>
  <si>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</si>
  <si>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</si>
  <si>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</si>
  <si>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</si>
  <si>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</si>
  <si>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</si>
  <si>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</si>
  <si>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</si>
  <si>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</si>
  <si>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</si>
  <si>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</si>
  <si>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</si>
  <si>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</si>
  <si>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</si>
  <si>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</si>
  <si>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</si>
  <si>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</si>
  <si>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</si>
  <si>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</si>
  <si>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</si>
  <si>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</si>
  <si>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</si>
  <si>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</si>
  <si>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</si>
  <si>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</si>
  <si>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</si>
  <si>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</si>
  <si>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</si>
  <si>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</si>
  <si>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</si>
  <si>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</si>
  <si>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</si>
  <si>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</si>
  <si>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</si>
  <si>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</si>
  <si>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</si>
  <si>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</si>
  <si>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</si>
  <si>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</si>
  <si>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</si>
  <si>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</si>
  <si>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</si>
  <si>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</si>
  <si>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</si>
  <si>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</si>
  <si>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</si>
  <si>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</si>
  <si>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</si>
  <si>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</si>
  <si>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</si>
  <si>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</si>
  <si>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</si>
  <si>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</si>
  <si>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</si>
  <si>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</si>
  <si>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</si>
  <si>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</si>
  <si>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</si>
  <si>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</si>
  <si>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</si>
  <si>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</si>
  <si>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</si>
  <si>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</si>
  <si>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</si>
  <si>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</si>
  <si>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</si>
  <si>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</si>
  <si>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</si>
  <si>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</si>
  <si>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</si>
  <si>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</si>
  <si>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</si>
  <si>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</si>
  <si>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</si>
  <si>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</si>
  <si>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</si>
  <si>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</si>
  <si>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</si>
  <si>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</si>
  <si>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</si>
  <si>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</si>
  <si>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</si>
  <si>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</si>
  <si>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</si>
  <si>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</si>
  <si>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</si>
  <si>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</si>
  <si>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</si>
  <si>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</si>
  <si>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</si>
  <si>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</si>
  <si>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</si>
  <si>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</si>
  <si>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</si>
  <si>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</si>
  <si>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</si>
  <si>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</si>
  <si>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</si>
  <si>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</si>
  <si>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</si>
  <si>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</si>
  <si>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</si>
  <si>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</si>
  <si>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</si>
  <si>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</si>
  <si>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</si>
  <si>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</si>
  <si>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</si>
  <si>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</si>
  <si>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</si>
  <si>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</si>
  <si>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</si>
  <si>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</si>
  <si>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</si>
  <si>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</si>
  <si>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</si>
  <si>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</si>
  <si>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</si>
  <si>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</si>
  <si>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</si>
  <si>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</si>
  <si>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</si>
  <si>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</si>
  <si>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</si>
  <si>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</si>
  <si>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</si>
  <si>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</si>
  <si>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</si>
  <si>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</si>
  <si>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</si>
  <si>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</si>
  <si>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</si>
  <si>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</si>
  <si>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</si>
  <si>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</si>
  <si>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</si>
  <si>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</si>
  <si>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</si>
  <si>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</si>
  <si>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</si>
  <si>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</si>
  <si>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</si>
  <si>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</si>
  <si>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</si>
  <si>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</si>
  <si>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</si>
  <si>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</si>
  <si>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</si>
  <si>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</si>
  <si>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</si>
  <si>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</si>
  <si>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</si>
  <si>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</si>
  <si>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</si>
  <si>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</si>
  <si>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</si>
  <si>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</si>
  <si>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</si>
  <si>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</si>
  <si>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</si>
  <si>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</si>
  <si>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</si>
  <si>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</si>
  <si>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</si>
  <si>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</si>
  <si>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</si>
  <si>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</si>
  <si>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</si>
  <si>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</si>
  <si>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</si>
  <si>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</si>
  <si>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</si>
  <si>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</si>
  <si>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</si>
  <si>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</si>
  <si>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</si>
  <si>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</si>
  <si>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</si>
  <si>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</si>
  <si>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</si>
  <si>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</si>
  <si>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</si>
  <si>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</si>
  <si>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</si>
  <si>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</si>
  <si>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</si>
  <si>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</si>
  <si>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</si>
  <si>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</si>
  <si>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</si>
  <si>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</si>
  <si>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</si>
  <si>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</si>
  <si>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</si>
  <si>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</si>
  <si>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</si>
  <si>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</si>
  <si>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</si>
  <si>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</si>
  <si>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</si>
  <si>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</si>
  <si>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</si>
  <si>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</si>
  <si>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</si>
  <si>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</si>
  <si>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</si>
  <si>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</si>
  <si>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</si>
  <si>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</si>
  <si>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</si>
  <si>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</si>
  <si>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</si>
  <si>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</si>
  <si>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</si>
  <si>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</si>
  <si>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</si>
  <si>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</si>
  <si>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</si>
  <si>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</si>
  <si>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</si>
  <si>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</si>
  <si>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</si>
  <si>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</si>
  <si>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</si>
  <si>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</si>
  <si>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</si>
  <si>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</si>
  <si>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</si>
  <si>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</si>
  <si>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</si>
  <si>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</si>
  <si>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</si>
  <si>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</si>
  <si>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</si>
  <si>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</si>
  <si>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</si>
  <si>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</si>
  <si>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</si>
  <si>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Desarrollo de intervenciones psicosociales — PAR-25-182</t>
  </si>
  <si>
    <t>National Institute of Mental Health — NIMH / National Institutes of Health — NIH</t>
  </si>
  <si>
    <t>Hasta 5 años: R61 hasta 2 años y R33 hasta 3 años</t>
  </si>
  <si>
    <t>Psicología; psiquiatría; salud pública; neurociencias; trabajo social; epidemiología; bioestadística; ensayos clínicos</t>
  </si>
  <si>
    <t>Problemas psicosociales y salud mental</t>
  </si>
  <si>
    <t>intervención psicosocial; prevención; tratamiento; salud mental; mecanismos; ensayo clínico; intervención digital</t>
  </si>
  <si>
    <t>Financia el desarrollo y la prueba piloto de intervenciones psicosociales innovadoras para prevenir o tratar trastornos mentales, cuando el blanco terapéutico o la estrategia de intervención sea novedosa.</t>
  </si>
  <si>
    <t>La UNPHU puede solicitar directamente como institución extranjera de educación superior. La propuesta debe presentarse institucionalmente y cumplir los registros y requisitos administrativos de NIH.</t>
  </si>
  <si>
    <t>Ensayo clínico obligatorio. La fase R61 financia pruebas preliminares orientadas por hitos y la fase R33 depende del cumplimiento de los criterios de avance. El presupuesto no tiene un límite predeterminado, pero debe corresponder a las necesidades reales del proyecto. Próximo cierre: 15/10/2026 a las 17:00, hora local de la institución.</t>
  </si>
  <si>
    <t>https://grants.nih.gov/grants/guide/pa-files/PAR-25-182.html</t>
  </si>
  <si>
    <t>NIH — National Institute of Mental Health, Division of Translational Research</t>
  </si>
  <si>
    <t>Compatibilidad muy alta para una intervención novedosa en fase inicial. Verificar inmediatamente SAM, UEI, Grants.gov y eRA Commons. El NOFO no admite solicitudes con subadjudicaciones extranjeras financiadas.</t>
  </si>
  <si>
    <t>Intervenciones para adultos mayores con enfermedad mental grave — RFA-MH-27-180</t>
  </si>
  <si>
    <t>Hasta 5 años</t>
  </si>
  <si>
    <t>Gerontología; psiquiatría; psicología; salud pública; enfermería; trabajo social; servicios de salud; ciencia de implementación</t>
  </si>
  <si>
    <t>Salud mental y envejecimiento</t>
  </si>
  <si>
    <t>adultos mayores; enfermedad mental grave; esquizofrenia; bipolaridad; depresión crónica; PTSD; servicios de salud; implementación</t>
  </si>
  <si>
    <t>Apoya investigaciones que optimicen la adaptación, prestación, sostenibilidad y efectividad de prácticas respaldadas empíricamente para personas de 50 años o más que viven con enfermedades mentales graves.</t>
  </si>
  <si>
    <t>La UNPHU puede presentar directamente como organización extranjera e institución privada de educación superior.</t>
  </si>
  <si>
    <t>Apertura para recepción de solicitudes: 15/09/2026. Cierre único: 15/10/2026 a las 17:00, hora local de la institución. Ensayo clínico opcional. NIMH prevé destinar USD 3.000.000 y financiar aproximadamente cinco o seis adjudicaciones. No se aceptan proyectos centrados únicamente en factores de riesgo sin intervención o servicio.</t>
  </si>
  <si>
    <t>https://simpler.grants.gov/opportunity/3702dc53-99c8-4506-ac67-4a017e0bdc73</t>
  </si>
  <si>
    <t>NIMH — Division of Services and Intervention Research; NIMH.DSIR.inquiries@nih.gov</t>
  </si>
  <si>
    <t>Compatibilidad muy alta, condicionada a que la población estudiada tenga 50 años o más y enfermedad mental grave. Preparar registros institucionales y consulta técnica antes de la apertura.</t>
  </si>
  <si>
    <t>Wellcome Prize for Mental Health Science with Nature</t>
  </si>
  <si>
    <t>Wellcome y Nature</t>
  </si>
  <si>
    <t>Equipos interdisciplinarios de salud mental con evidencia clínica robusta; psicología; psiquiatría; salud pública; investigación clínica</t>
  </si>
  <si>
    <t>Salud mental</t>
  </si>
  <si>
    <t>ansiedad; depresión; psicosis; intervención psicológica; intervención social; salud digital; evidencia clínica</t>
  </si>
  <si>
    <t>Premia intervenciones farmacológicas, psicológicas, sociales o digitales que hayan demostrado beneficios clínicos claros y medibles para personas afectadas por ansiedad, depresión o psicosis.</t>
  </si>
  <si>
    <t>Pueden aplicar equipos de investigación de universidades de cualquier país. La persona líder debe ser integrante central del equipo que desarrolló la intervención.</t>
  </si>
  <si>
    <t>Un equipo ganador recibirá USD 1.000.000 y tres equipos finalistas recibirán USD 250.000 cada uno. Exige evidencia clínica de alta calidad, participación de personas con experiencia vivida y una intervención encaminada a adopción o integración en políticas. Cierre: 18/09/2026 a las 23:59 UTC.</t>
  </si>
  <si>
    <t>https://www.nature.com/immersive/wellcomeprizementalhealth/for-applicants/index.html</t>
  </si>
  <si>
    <t>Wellcome–Nature Awards; awards@nature.com</t>
  </si>
  <si>
    <t>Compatibilidad muy alta únicamente si la UNPHU ya posee una intervención madura con evidencia clínica sólida. No es una subvención para iniciar una investigación exploratoria.</t>
  </si>
  <si>
    <t>Técnicas de recarga gestionada de acuíferos en contextos rurales</t>
  </si>
  <si>
    <t>Comisión Europea — Horizon Europe, Cluster 6</t>
  </si>
  <si>
    <t>Según el plan de trabajo del consorcio</t>
  </si>
  <si>
    <t>Hidrogeología; hidráulica de suelos; hidrología; geoquímica; ingeniería ambiental; geofísica; agronomía; SIG; teledetección; modelación numérica</t>
  </si>
  <si>
    <t>Unión Europea, países asociados y terceros países financiables, incluida República Dominicana</t>
  </si>
  <si>
    <t>Conductividad hidráulica, hidrogeología y gestión de acuíferos</t>
  </si>
  <si>
    <t>conductividad hidráulica; recarga gestionada de acuíferos; infiltración; aguas subterráneas; calidad del agua; balance hídrico; modelo hidrogeoquímico</t>
  </si>
  <si>
    <t>Financia la ampliación, mejora y adaptación de técnicas de recarga gestionada de acuíferos en zonas rurales, junto con metodologías para seleccionar emplazamientos, monitorear cantidad y calidad del agua y evaluar sostenibilidad y modelos de negocio.</t>
  </si>
  <si>
    <t>La UNPHU puede participar como beneficiaria financiada dentro de un consorcio internacional que cumpla las reglas mínimas de Horizon Europe.</t>
  </si>
  <si>
    <t>Tema HORIZON-CL6-2026-01-ZEROPOLLUTION-03. Acción de Investigación e Innovación con financiación mediante suma global. Presupuesto total del tema: EUR 12.000.000; contribución orientativa aproximada de EUR 6.000.000 por proyecto. Exige enfoque multiactor y al menos dos casos de estudio en zonas pedoclimáticas diferentes.</t>
  </si>
  <si>
    <t>https://cordis.europa.eu/programme/id/HORIZON_HORIZON-CL6-2026-01-ZEROPOLLUTION-03/es</t>
  </si>
  <si>
    <t>Comisión Europea — Horizon Europe / European Research Executive Agency</t>
  </si>
  <si>
    <t>Compatibilidad temática muy alta, pero la UNPHU no puede presentar individualmente. Debe incorporarse a un consorcio con socios europeos y aportar caracterización hidrogeológica, modelación o monitoreo.</t>
  </si>
  <si>
    <t>Métodos para evaluar ecosistemas de aguas subterráneas</t>
  </si>
  <si>
    <t>Hidrogeología; geoquímica ambiental; ecología de aguas subterráneas; microbiología; ecotoxicología; química analítica; sensores; hidrología; modelación</t>
  </si>
  <si>
    <t>Modelo geoquímico y caracterización fisicoquímica de aguas subterráneas</t>
  </si>
  <si>
    <t>modelo geoquímico; hidrogeoquímica; aguas subterráneas; calidad fisicoquímica; contaminantes; ecotoxicidad; sensores; interacción agua-roca</t>
  </si>
  <si>
    <t>Apoya el desarrollo de métodos, indicadores, datos experimentales y sensores para identificar, caracterizar y evaluar las funciones, la presencia y la sensibilidad de los ecosistemas de aguas subterráneas.</t>
  </si>
  <si>
    <t>La UNPHU puede participar como beneficiaria financiada dentro de un consorcio internacional elegible de Horizon Europe.</t>
  </si>
  <si>
    <t>Tema HORIZON-CL6-2026-01-BIODIV-02. Acción de Investigación e Innovación. Presupuesto total del tema: EUR 10.000.000; contribución orientativa aproximada de EUR 5.000.000 por proyecto. Debe integrar elementos biológicos y fisicoquímicos, contaminación, ecotoxicidad y métodos armonizados de evaluación. Se fomenta la cooperación con países mediterráneos.</t>
  </si>
  <si>
    <t>https://cordis.europa.eu/programme/id/HORIZON_HORIZON-CL6-2026-01-BIODIV-02/es</t>
  </si>
  <si>
    <t>Compatibilidad muy alta para modelos geoquímicos de aguas subterráneas. El modelo debe integrarse con datos experimentales, calidad fisicoquímica, contaminación o funcionamiento ecológico; no debe plantearse como desarrollo exclusivamente computacional.</t>
  </si>
  <si>
    <t>Películas y recubrimientos de base biológica para envases circulares</t>
  </si>
  <si>
    <t>Circular Bio-based Europe Joint Undertaking — CBE JU</t>
  </si>
  <si>
    <t>Ingeniería de materiales; polímeros; química; tecnología de alimentos; ingeniería química; diseño de envases; impresión; toxicología; ciclo de vida</t>
  </si>
  <si>
    <t>Envases biodegradables y circulares</t>
  </si>
  <si>
    <t>envases biodegradables; películas biobasadas; recubrimientos; propiedades de barrera; compostabilidad; reciclabilidad; contacto alimentario; impresión</t>
  </si>
  <si>
    <t>Financia el desarrollo y la demostración de películas y recubrimientos de origen biológico para envases alimentarios y no alimentarios, con prestaciones técnicas, seguridad y opciones circulares de fin de vida.</t>
  </si>
  <si>
    <t>La UNPHU puede participar como beneficiaria de un consorcio internacional conforme a las reglas de Horizon Europe y CBE JU.</t>
  </si>
  <si>
    <t>Tema HORIZON-JU-CBE-2026-IA-05. Innovation Action. Presupuesto total: EUR 14.000.000; contribución orientativa aproximada de EUR 7.000.000 por proyecto. Debe incluir al menos una aplicación de envase no alimentario, prototipos compatibles con fabricación industrial, evaluación de propiedades y alternativas circulares de fin de vida. TRL esperado: 6-7.</t>
  </si>
  <si>
    <t>https://cordis.europa.eu/programme/id/HORIZON_HORIZON-JU-CBE-2026-IA-05/es</t>
  </si>
  <si>
    <t>Circular Bio-based Europe Joint Undertaking — CBE JU; info@cbe.europa.eu</t>
  </si>
  <si>
    <t>Compatibilidad muy alta, pero requiere una tecnología relativamente madura y socios industriales. La UNPHU puede aportar formulación, caracterización, pruebas de barrera, biodegradabilidad, seguridad o análisis ambiental.</t>
  </si>
  <si>
    <t>Aditivos biobasados para aumentar la biodegradabilidad o reciclabilidad</t>
  </si>
  <si>
    <t>Química de polímeros; ingeniería de materiales; biotecnología; química verde; envases; ecotoxicología; biodegradación; reciclaje; ciclo de vida</t>
  </si>
  <si>
    <t>Envases biodegradables y aditivos de origen biológico</t>
  </si>
  <si>
    <t>aditivos biobasados; biodegradabilidad; reciclabilidad; polímeros; envases; ecotoxicidad; suelo; agua; diseño seguro y sostenible</t>
  </si>
  <si>
    <t>Busca desarrollar y demostrar aditivos de origen biológico que sustituyan aditivos convencionales y permitan o aumenten la reciclabilidad o biodegradabilidad segura de materiales y productos.</t>
  </si>
  <si>
    <t>La UNPHU puede participar como beneficiaria dentro de un consorcio internacional con fabricantes, gestores de residuos y otros actores de la cadena de valor.</t>
  </si>
  <si>
    <t>Tema HORIZON-JU-CBE-2026-IA-02. Innovation Action. Presupuesto total: EUR 14.000.000; contribución orientativa aproximada de EUR 7.000.000 por proyecto. Debe demostrar al menos TRL 6, aplicar el marco Safe and Sustainable by Design y validar la reciclabilidad o biodegradación segura, según la ruta seleccionada. TRL esperado al final: 6-7.</t>
  </si>
  <si>
    <t>https://cordis.europa.eu/programme/id/HORIZON_HORIZON-JU-CBE-2026-IA-02/es</t>
  </si>
  <si>
    <t>Compatibilidad muy alta si el proyecto se concentra en aditivos funcionales biobasados. No es adecuada para un envase biodegradable convencional sin innovación específica en los aditivos.</t>
  </si>
  <si>
    <t>2026-100</t>
  </si>
  <si>
    <t>2026-101</t>
  </si>
  <si>
    <t>2026-102</t>
  </si>
  <si>
    <t>2026-103</t>
  </si>
  <si>
    <t>2026-104</t>
  </si>
  <si>
    <t>2026-105</t>
  </si>
  <si>
    <t>2026-106</t>
  </si>
  <si>
    <t>OPS/TDR 2026–2027 — Investigación operativa para apoyar la eliminación de enfermedades transmisibles en América Latina y el Caribe</t>
  </si>
  <si>
    <t>Organización Panamericana de la Salud — OPS / Programa Especial de Investigación y Capacitación en Enfermedades Tropicales — TDR</t>
  </si>
  <si>
    <t>Salud pública; epidemiología; enfermedades infecciosas; investigación operativa; investigación de implementación; tuberculosis; VIH; enfermedades tropicales desatendidas; ciencia de datos; inteligencia artificial aplicada a salud</t>
  </si>
  <si>
    <t>América Latina y Caribe, incluida República Dominicana</t>
  </si>
  <si>
    <t>Salud pública y enfermedades transmisibles</t>
  </si>
  <si>
    <t>tuberculosis; VIH avanzado; histoplasmosis; meningitis criptocócica; leishmaniasis; enfermedad de Chagas; esquistosomiasis; inteligencia artificial; vigilancia epidemiológica; investigación operativa</t>
  </si>
  <si>
    <t>Financia investigaciones operativas o de implementación que generen evidencia aplicable a políticas, intervenciones y servicios de salud pública para acelerar la eliminación de enfermedades transmisibles en América Latina y el Caribe.</t>
  </si>
  <si>
    <t>Investigadores e instituciones radicados en América Latina y el Caribe. La UNPHU puede participar directamente mediante un equipo institucional con experiencia pertinente. Se favorecen propuestas multicéntricas, colaboraciones regionales y participación de autoridades de salud pública.</t>
  </si>
  <si>
    <t>Se financiarán cinco proyectos de hasta USD 30.000 y 12-18 meses. Cierre: 19/08/2026 a las 11:00 a. m., hora del Este de Estados Unidos. Presentación mediante eTDR. Se requieren las aprobaciones éticas correspondientes antes del inicio.</t>
  </si>
  <si>
    <t>https://www.paho.org/es/eventos/convocatoria-para-presentar-propuestas-investigacion-operativa-para-apoyar-eliminacion</t>
  </si>
  <si>
    <t>OPS/TDR — Ciencia y Conocimiento para el Impacto / plataforma eTDR</t>
  </si>
  <si>
    <t>Prioridad alta. Recomendable para medicina, salud pública, epidemiología, microbiología o IA en salud. Conviene incorporar al Ministerio de Salud Pública o a un programa nacional de tuberculosis/VIH y, de ser posible, a otra institución regional.</t>
  </si>
  <si>
    <t>LACNIC — Programa FRIDA 2026</t>
  </si>
  <si>
    <t>LACNIC — Fondo Regional para la Innovación Digital en América Latina y el Caribe, FRIDA</t>
  </si>
  <si>
    <t>Telecomunicaciones; ciencias de la computación; redes; ciberseguridad; Internet; inteligencia artificial; aprendizaje automático; infraestructura digital; medición de redes</t>
  </si>
  <si>
    <t>Países y territorios del área de cobertura de LACNIC en América Latina y el Caribe, incluida República Dominicana</t>
  </si>
  <si>
    <t>Tecnología digital, Internet e inteligencia artificial</t>
  </si>
  <si>
    <t>IA; aprendizaje automático; Internet; redes; DNS; BGP; IPv6; RPKI; seguridad de ruteo; DDoS; malware; IoT; interconexión; QoS; blockchain; ciberseguridad</t>
  </si>
  <si>
    <t>Apoya investigaciones, estudios de caso, mediciones, pruebas de concepto, prototipos y proyectos de implementación que produzcan soluciones prácticas o conocimiento útil para una Internet regional abierta, estable y segura.</t>
  </si>
  <si>
    <t>La entidad responsable debe estar legalmente constituida y contar con personería jurídica. La UNPHU es compatible como institución académica radicada en la región.</t>
  </si>
  <si>
    <t>Proceso en dos etapas: solicitud simplificada y propuesta completa por invitación. Las propuestas seleccionadas para la segunda etapa se reciben del 12 al 30/08/2026. Los productos y resultados deben ofrecerse mediante código abierto, hardware libre o licencias abiertas, según corresponda.</t>
  </si>
  <si>
    <t>https://programafrida.net/</t>
  </si>
  <si>
    <t>LACNIC — Programa FRIDA; frida@lacnic.net</t>
  </si>
  <si>
    <t>Prioridad alta para el próximo ciclo anual. Muy compatible con investigaciones de la UNPHU sobre Internet, redes, ciberseguridad, conectividad, medición territorial, inteligencia artificial e infraestructura digital.</t>
  </si>
  <si>
    <t>Advancing Circular Economy — ACE Facility: Second Call for Proposals</t>
  </si>
  <si>
    <t>Caribbean Biodiversity Fund — CBF</t>
  </si>
  <si>
    <t>30-36 meses</t>
  </si>
  <si>
    <t>Economía circular; gestión de residuos; contaminación marina; ingeniería ambiental; materiales biodegradables; envases; reciclaje; modelos de negocio sostenibles; políticas ambientales; generación de datos</t>
  </si>
  <si>
    <t>Cuba, Dominica, República Dominicana, Granada, Haití, Jamaica, Montserrat, Santa Lucía y San Vicente y las Granadinas</t>
  </si>
  <si>
    <t>Medioambiente, economía circular y contaminación marina</t>
  </si>
  <si>
    <t>economía circular; residuos sólidos; basura marina; plásticos; envases; reciclaje; reutilización; biomateriales; contaminación marina; residuos médicos; textiles sintéticos; neumáticos; artes de pesca</t>
  </si>
  <si>
    <t>Financia proyectos innovadores que reduzcan residuos sólidos y basura marina, extiendan la vida útil de productos, desarrollen prácticas empresariales sostenibles y generen conocimiento o datos sobre economía circular y contaminación marina en el Caribe.</t>
  </si>
  <si>
    <t>Las universidades e instituciones de investigación están expresamente admitidas. La UNPHU puede participar como entidad caribeña radicada en uno de los países elegibles. Se exige personería jurídica, certificado de registro y estados financieros auditados de dos ejercicios fiscales recientes.</t>
  </si>
  <si>
    <t>Proceso en dos etapas: nota conceptual y propuesta completa por invitación. Para instituciones académicas y organizaciones sin fines de lucro se exige cofinanciamiento del 25 %, combinando efectivo y aportes en especie. El proyecto debe demostrar reducción directa y medible de basura marina y sostenibilidad financiera posterior.</t>
  </si>
  <si>
    <t>https://caribbeanbiodiversityfund.org/advancing-circular-economy-ace-facilitys-second-call-for-proposals/</t>
  </si>
  <si>
    <t>Caribbean Biodiversity Fund — ACE Facility</t>
  </si>
  <si>
    <t>Prioridad alta para el próximo ciclo. Muy compatible con envases biodegradables, recubrimientos biobasados, aditivos para reciclabilidad y valorización de residuos. La propuesta debe vincular esos desarrollos con la prevención o reducción de basura marina en el Caribe.</t>
  </si>
  <si>
    <t>Programa de Apoyo para Redes Iberoamericanas de Investigación — Convocatoria 2024-2025-2026, cuarto plazo</t>
  </si>
  <si>
    <t>Asociación Universitaria Iberoamericana de Postgrado — AUIP</t>
  </si>
  <si>
    <t>La ayuda debe utilizarse dentro de los seis meses posteriores a la notificación de aceptación</t>
  </si>
  <si>
    <t>Investigadores; coordinadores de grupos de investigación; responsables de redes científicas; personal académico perteneciente a universidades asociadas a la AUIP</t>
  </si>
  <si>
    <t>Espacio Iberoamericano del Conocimiento; instituciones y universidades asociadas a la AUIP</t>
  </si>
  <si>
    <t>Redes científicas e investigación multidisciplinaria</t>
  </si>
  <si>
    <t>redes de investigación; cooperación iberoamericana; investigación colaborativa; transferencia; innovación; Agenda 2030; ODS; internacionalización</t>
  </si>
  <si>
    <t>Apoya la creación de nuevas Redes Iberoamericanas de Investigación o la consolidación de redes AUIP ya constituidas, fortaleciendo la cooperación, la investigación, la transferencia tecnológica y la difusión de resultados.</t>
  </si>
  <si>
    <t>La UNPHU figura como institución asociada a la AUIP. Debe encontrarse al corriente en sus cuotas. Los grupos participantes deben estar adscritos a instituciones asociadas a la AUIP.</t>
  </si>
  <si>
    <t>Nueva red: valoración máxima de EUR 1.000. Apoyo o consolidación de una red AUIP: hasta EUR 1.500. La AUIP sufraga directamente los conceptos elegibles mediante facturas emitidas por terceros. Cierre: 31/07/2026 a las 23:59, hora de Madrid.</t>
  </si>
  <si>
    <t>https://auip.org/es/redes-de-investigacion/programa-de-apoyo?layout=blog</t>
  </si>
  <si>
    <t>AUIP — Programa de Redes Iberoamericanas de Investigación</t>
  </si>
  <si>
    <t>Acción inmediata. Confirmar que la UNPHU está al corriente en sus cuotas, identificar socios AUIP y definir si se presentará una nueva red o una actuación de consolidación. No es una subvención para ejecutar un proyecto científico completo.</t>
  </si>
  <si>
    <t>Iberarchivos — Convocatoria ordinaria 2026 de ayudas a proyectos archivísticos</t>
  </si>
  <si>
    <t>Programa Iberarchivos / Agencia Española de Cooperación Internacional para el Desarrollo — AECID</t>
  </si>
  <si>
    <t>Hasta 8 meses</t>
  </si>
  <si>
    <t>Archivística; documentación; bibliotecología; historia; conservación; restauración; patrimonio documental; preservación digital; digitalización; acceso público a información</t>
  </si>
  <si>
    <t>Países adheridos a Iberarchivos, incluida República Dominicana</t>
  </si>
  <si>
    <t>Patrimonio cultural y archivos documentales</t>
  </si>
  <si>
    <t>archivos; patrimonio documental; digitalización; preservación digital; catalogación; conservación; memoria histórica; acceso público; derechos humanos; transparencia</t>
  </si>
  <si>
    <t>Financia proyectos archivísticos que mejoren la conservación, organización, descripción, digitalización y acceso público al patrimonio documental de la comunidad iberoamericana.</t>
  </si>
  <si>
    <t>La UNPHU sería elegible si la unidad solicitante custodia patrimonio documental y garantiza acceso público y gratuito a los fondos y productos financiados. Los fondos privados deben poseer valor permanente o histórico y relevancia social o interés público.</t>
  </si>
  <si>
    <t>La ayuda no puede superar el 80 % del coste total; la entidad aporta al menos el 20 %. Hasta el 20 % de la ayuda puede destinarse a equipos o material inventariable. La solicitud se canaliza mediante el responsable nacional de Iberarchivos en el Archivo General de la Nación.</t>
  </si>
  <si>
    <t>https://iberarchivos.org/2026/04/convocatoria-2026-de-ayudas-a-proyectos-archivisticos/</t>
  </si>
  <si>
    <t>Unidad Técnica de Iberarchivos / Archivo General de la Nación de República Dominicana</t>
  </si>
  <si>
    <t>Compatible principalmente con el archivo institucional, la biblioteca y colecciones históricas o arquitectónicas de la UNPHU. No debe clasificarse como convocatoria general de investigación.</t>
  </si>
  <si>
    <t>Iberarchivos — Convocatoria supranacional 2026 de ayudas a proyectos archivísticos</t>
  </si>
  <si>
    <t>Archivística; documentación; historia; preservación digital; patrimonio cultural; conservación; catalogación; acceso a la información; fortalecimiento institucional</t>
  </si>
  <si>
    <t>Instituciones de al menos dos países adheridos a Iberarchivos, incluida República Dominicana</t>
  </si>
  <si>
    <t>Patrimonio documental y cooperación archivística regional</t>
  </si>
  <si>
    <t>patrimonio documental; archivos regionales; cooperación iberoamericana; digitalización; preservación; acceso a información; memoria colectiva; consorcios; derechos humanos</t>
  </si>
  <si>
    <t>Financia proyectos archivísticos supranacionales que produzcan un impacto positivo y sostenible en el acceso ciudadano a los archivos y en el desarrollo archivístico iberoamericano.</t>
  </si>
  <si>
    <t>Deben participar instituciones con sede en al menos dos países adheridos. Una entidad actúa como coordinadora y las demás como colaboradoras. Todas deben garantizar acceso público y gratuito y formalizar un acuerdo de colaboración.</t>
  </si>
  <si>
    <t>Cada proyecto puede solicitar hasta EUR 15.000 y no más del 80 % del coste total. Los socios deben aportar conjuntamente al menos el 20 %. Las ayudas superiores a EUR 10.000 se desembolsan en dos pagos: 60 % inicial y 40 % tras aprobar el informe intermedio.</t>
  </si>
  <si>
    <t>https://iberarchivos.org/2026/04/abierto-el-plazo-de-la-convocatoria-supranacional-2026-de-ayudas/</t>
  </si>
  <si>
    <t>Unidad Técnica de Iberarchivos / Consejo Intergubernamental de Iberarchivos</t>
  </si>
  <si>
    <t>Adecuada para un proyecto regional sobre archivos universitarios, patrimonio arquitectónico, memoria institucional o digitalización, con una universidad o archivo de otro país miembro.</t>
  </si>
  <si>
    <t>IAI Science, Technology and Policy — STeP Fellows 2026</t>
  </si>
  <si>
    <t>Instituto Interamericano para la Investigación del Cambio Global — IAI</t>
  </si>
  <si>
    <t>12 meses, renovable por hasta 12 meses adicionales</t>
  </si>
  <si>
    <t>Investigadores en etapa inicial de carrera; último año del doctorado o dentro de los siete años posteriores a su obtención; profesionales con maestría y aproximadamente cinco años de experiencia pertinente</t>
  </si>
  <si>
    <t>Trabajo remoto con disponibilidad durante el horario central de Panamá y disposición para realizar viajes internacionales</t>
  </si>
  <si>
    <t>Prioridad para ciudadanos de los Estados miembros del IAI; residentes oficiales pueden considerarse caso por caso</t>
  </si>
  <si>
    <t>Cambio global, sostenibilidad e interfaz ciencia-política</t>
  </si>
  <si>
    <t>cambio climático; sostenibilidad; ciencia-política; diplomacia científica; cooperación regional; investigación transdisciplinaria; comunicación científica; políticas públicas; liderazgo científico</t>
  </si>
  <si>
    <t>Ofrece fellowships a tiempo completo para apoyar los programas científicos y el Centro de Diplomacia Científica del IAI, con desarrollo profesional en cooperación científica regional, comunicación, formación, coordinación de proyectos y movilización de recursos.</t>
  </si>
  <si>
    <t>Formación y experiencia relacionadas con cambio ambiental global, sostenibilidad o políticas públicas; dominio operativo del inglés y español; capacidad para trabajar con investigadores y responsables de políticas de diferentes disciplinas y países.</t>
  </si>
  <si>
    <t>Dedicación de 40 horas semanales. La solicitud exigía carta de motivación, CV, tres referencias profesionales y video de presentación. El paquete podía presentarse en inglés o español.</t>
  </si>
  <si>
    <t>https://iai.int/en/request-for-applicants-for-iai-science-technology-and-policy-step-fellows-and-consultant-for-the-iai-directorate-science-programs-division-science-diplomacy-center/</t>
  </si>
  <si>
    <t>Dirección del IAI — Science Programs Division / Science Diplomacy Center</t>
  </si>
  <si>
    <t>Oportunidad dirigida a investigadores individuales, no una subvención institucional. Debe difundirse entre investigadores jóvenes de medioambiente, sostenibilidad, políticas públicas y cooperación internacional y vigilarse la próxima cohorte.</t>
  </si>
  <si>
    <t>Fondo de Ayuda Maleta Abierta 2026 — Proyectos Culturales Arte Migrante en Iberoamérica</t>
  </si>
  <si>
    <t>IberRutas / Secretaría General Iberoamericana — SEGIB</t>
  </si>
  <si>
    <t>Gestión cultural; artes; investigación social y humanística; migración; interculturalidad; memoria; patrimonio; comunicación; artes visuales, escénicas, musicales, audiovisuales o literarias</t>
  </si>
  <si>
    <t>Países de Iberoamérica, incluida República Dominicana</t>
  </si>
  <si>
    <t>Cultura, migración e interculturalidad</t>
  </si>
  <si>
    <t>migración; arte migrante; inclusión; interculturalidad; memoria; identidad; patrimonio inmaterial; artes visuales; literatura; música; audiovisual</t>
  </si>
  <si>
    <t>Apoya el desarrollo, fortalecimiento, circulación o difusión de iniciativas culturales que visibilicen las experiencias y aportes artísticos de las comunidades migrantes en Iberoamérica.</t>
  </si>
  <si>
    <t>La UNPHU puede presentarse como institución educativa, siempre que la propuesta tenga naturaleza cultural, se ajuste a las disciplinas admitidas y la entidad solicitante cumpla las condiciones jurídicas sin fines de lucro. No se aceptan postulaciones individuales.</t>
  </si>
  <si>
    <t>Fondo total de USD 25.000; cada iniciativa puede recibir hasta USD 2.500. Cierre: 03/08/2026 a las 23:59, hora de Buenos Aires. No pueden postular instituciones beneficiadas consecutivamente durante los dos últimos períodos.</t>
  </si>
  <si>
    <t>https://segib.org/es/convocatoria-maleta-abierta-2026-para-proyectos-de-arte-migrante-en-iberoamerica/</t>
  </si>
  <si>
    <t>Programa IberRutas / Secretaría General Iberoamericana</t>
  </si>
  <si>
    <t>Convocatoria abierta de monto reducido. Más apropiada para extensión cultural, documentación, divulgación o vinculación comunitaria que para investigación científica convencional. Pertinente para arquitectura, humanidades, ciencias sociales, comunicación y estudios migratorios.</t>
  </si>
  <si>
    <t>2026-107</t>
  </si>
  <si>
    <t>2026-108</t>
  </si>
  <si>
    <t>2026-109</t>
  </si>
  <si>
    <t>2026-110</t>
  </si>
  <si>
    <t>2026-111</t>
  </si>
  <si>
    <t>2026-112</t>
  </si>
  <si>
    <t>2026-113</t>
  </si>
  <si>
    <t>2026-114</t>
  </si>
  <si>
    <t>2026-115</t>
  </si>
  <si>
    <t>Fonds Équipe France — FEF clásico</t>
  </si>
  <si>
    <t>Ministère de l’Europe et des Affaires étrangères — MEAE</t>
  </si>
  <si>
    <t>Investigadores universitarios; médicos; ingenieros; arquitectos; urbanistas; especialistas en innovación, tecnología, medioambiente y políticas públicas</t>
  </si>
  <si>
    <t>República Dominicana y, cuando corresponda, otros países del Caribe</t>
  </si>
  <si>
    <t>Tecnología; medicina y salud; arquitectura, urbanismo y desarrollo sostenible</t>
  </si>
  <si>
    <t>cooperación científica; innovación tecnológica; salud pública; tecnologías médicas; inteligencia artificial; arquitectura sostenible; resiliencia urbana; investigación aplicada</t>
  </si>
  <si>
    <t>Instrumento del Gobierno francés para financiar proyectos locales y regionales de cooperación de alto impacto, diseñados por las embajadas francesas con instituciones del país beneficiario y socios científicos franceses.</t>
  </si>
  <si>
    <t>La UNPHU puede participar como universidad beneficiaria, contraparte científica, coordinadora técnica o ejecutora local. La propuesta formal debe ser construida y presentada por la Embajada de Francia o la administración francesa competente.</t>
  </si>
  <si>
    <t>No existe un formulario público de solicitud directa. La UNPHU debe presentar una nota conceptual al Service de coopération et d’action culturelle — SCAC para valorar su incorporación al calendario interno del FEF.</t>
  </si>
  <si>
    <t>https://www.diplomatie.gouv.fr/fr/services/annuaire-et-contacts/representations-francaises/ambassade-de-france-en-republique-dominicaine/</t>
  </si>
  <si>
    <t>Ministère de l’Europe et des Affaires étrangères / Embajada de Francia en República Dominicana — SCAC</t>
  </si>
  <si>
    <t>Prioridad muy alta. El antecedente FEF-CARIBS confirma la compatibilidad de la UNPHU con el mecanismo. Recomendable incorporar socios científicos franceses y dimensión regional.</t>
  </si>
  <si>
    <t>2026-116</t>
  </si>
  <si>
    <t>Fonds Équipe France Rapide — FEF-R</t>
  </si>
  <si>
    <t>Investigadores; médicos; ingenieros; arquitectos; tecnólogos; especialistas en salud pública, ambiente, resiliencia, innovación y transferencia tecnológica</t>
  </si>
  <si>
    <t>República Dominicana; puede admitir alcance caribeño o regional</t>
  </si>
  <si>
    <t>Tecnología; medicina; arquitectura y urbanismo</t>
  </si>
  <si>
    <t>proyecto piloto; prueba de concepto; prototipo; estudio de viabilidad; formación; tecnología médica; salud digital; arquitectura resiliente; innovación aplicada</t>
  </si>
  <si>
    <t>Modalidad rápida del Fonds Équipe France para proyectos piloto y acciones de cooperación de ejecución breve que permitan demostrar una solución o preparar una iniciativa de mayor escala.</t>
  </si>
  <si>
    <t>La UNPHU puede proponer la iniciativa y actuar como beneficiaria o ejecutora, pero el expediente debe ser construido y canalizado por la Embajada de Francia y su SCAC.</t>
  </si>
  <si>
    <t>Adecuado para estudios de viabilidad, prototipos, movilidad científica, generación de datos, capacitación y preparación de un FEF clásico, FEF+ u otra financiación de mayor escala.</t>
  </si>
  <si>
    <t>Prioridad alta para propuestas de entrada: pilotos de salud digital, biomateriales, sargazo, arquitectura resiliente, monitoreo ambiental o impresión 3D farmacéutica.</t>
  </si>
  <si>
    <t>2026-117</t>
  </si>
  <si>
    <t>Fonds Équipe France Plus — FEF+</t>
  </si>
  <si>
    <t>Generalmente hasta 24 meses</t>
  </si>
  <si>
    <t>Consorcios de investigadores; universidades; organismos públicos; hospitales; centros tecnológicos; arquitectos; ingenieros y organizaciones francesas especializadas</t>
  </si>
  <si>
    <t>República Dominicana y proyectos regionales del Caribe</t>
  </si>
  <si>
    <t>Tecnología y transformación digital; medicina y sistemas sanitarios; arquitectura, vivienda, territorio y resiliencia climática</t>
  </si>
  <si>
    <t>programa regional; infraestructura científica; transferencia tecnológica; investigación aplicada; salud regional; ciudades sostenibles; resiliencia; Caribe</t>
  </si>
  <si>
    <t>Modalidad ampliada del Fonds Équipe France para proyectos estratégicos de mayor escala, con articulación multinacional o interinstitucional y resultados estructurales.</t>
  </si>
  <si>
    <t>La UNPHU puede participar como socio institucional y ejecutor. Requiere que la Embajada de Francia respalde y presente el proyecto, además de un consorcio sólido con instituciones francesas y actores dominicanos o caribeños.</t>
  </si>
  <si>
    <t>No es una convocatoria pública directa. Debe responder a prioridades diplomáticas y de desarrollo, demostrar impacto institucional, sostenibilidad y posibilidades de continuidad o escalamiento.</t>
  </si>
  <si>
    <t>Ministère de l’Europe et des Affaires étrangères / Embajada de Francia en República Dominicana</t>
  </si>
  <si>
    <t>Prioridad media-alta. Recomendable cuando exista un consorcio regional, respaldo institucional o gubernamental y evidencia obtenida mediante pilotos previos.</t>
  </si>
  <si>
    <t>2026-118</t>
  </si>
  <si>
    <t>Fonds d’Innovation pour le Développement — FID</t>
  </si>
  <si>
    <t>Agence Française de Développement — AFD / Fonds d’Innovation pour le Développement</t>
  </si>
  <si>
    <t>Según la etapa y el nivel de madurez de la innovación</t>
  </si>
  <si>
    <t>Investigadores; especialistas en innovación, salud pública, tecnología, ingeniería, urbanismo, evaluación de impacto y políticas públicas</t>
  </si>
  <si>
    <t>Países de ingresos bajos y medios elegibles para ayuda oficial al desarrollo, incluida República Dominicana</t>
  </si>
  <si>
    <t>Tecnología; medicina y salud; arquitectura y urbanismo sostenible bajo enfoque de innovación social</t>
  </si>
  <si>
    <t>innovación para el desarrollo; salud digital; tecnología sanitaria; ciudades sostenibles; servicios urbanos; evaluación de impacto; reducción de desigualdades; escalamiento</t>
  </si>
  <si>
    <t>Financia la preparación, prueba, evaluación de impacto y escalamiento de innovaciones capaces de reducir la pobreza y las desigualdades en países elegibles.</t>
  </si>
  <si>
    <t>La UNPHU puede presentar directamente como persona jurídica o participar en consorcio. República Dominicana es compatible como país de ejecución.</t>
  </si>
  <si>
    <t>La plataforma de las principales etapas reabre el 1 de septiembre de 2026. Las subvenciones preparatorias permanecerán cerradas hasta 2027. No exige cofinanciación obligatoria.</t>
  </si>
  <si>
    <t>https://fundinnovation.dev/launch-project</t>
  </si>
  <si>
    <t>Agence Française de Développement / Fonds d’Innovation pour le Développement</t>
  </si>
  <si>
    <t>Aplicación directa posible. Prioridad alta. Preparar teoría de cambio, indicadores, presupuesto y estrategia de evaluación antes de la reapertura.</t>
  </si>
  <si>
    <t>2026-119</t>
  </si>
  <si>
    <t>Fondo Francés para el Medio Ambiente Mundial — FFEM</t>
  </si>
  <si>
    <t>Fonds Français pour l’Environnement Mondial — FFEM</t>
  </si>
  <si>
    <t>Investigadores en arquitectura bioclimática, urbanismo, ingeniería ambiental, energía, biodiversidad, cambio climático, contaminación, salud ambiental y tecnologías limpias</t>
  </si>
  <si>
    <t>Países en desarrollo elegibles para ayuda oficial al desarrollo, incluida República Dominicana</t>
  </si>
  <si>
    <t>Arquitectura y ciudades sostenibles; tecnología ambiental; salud ambiental y One Health</t>
  </si>
  <si>
    <t>arquitectura bioclimática; resiliencia urbana; eficiencia energética; refrigeración sostenible; biodiversidad; clima; contaminación; economía circular</t>
  </si>
  <si>
    <t>Cofinancia proyectos demostrativos, innovadores y replicables sobre cambio climático, biodiversidad, aguas internacionales, degradación de tierras, contaminantes y desarrollo urbano sostenible.</t>
  </si>
  <si>
    <t>La UNPHU puede figurar como proponente o integrante de un consorcio, pero debe obtener el respaldo de una institución francesa miembro del Comité de Pilotaje del FFEM.</t>
  </si>
  <si>
    <t>Puede financiar hasta el 50 % del presupuesto de determinados proyectos; el resto debe proceder de otras fuentes. Prioriza investigación aplicada y demostración, no investigación básica aislada.</t>
  </si>
  <si>
    <t>https://www.ffem.fr/fr/soumettre-un-projet</t>
  </si>
  <si>
    <t>Fonds Français pour l’Environnement Mondial</t>
  </si>
  <si>
    <t>Prioridad alta para arquitectura sostenible, edificios eficientes, resiliencia urbana, agua, energía, economía circular y tecnologías ambientales.</t>
  </si>
  <si>
    <t>2026-120</t>
  </si>
  <si>
    <t>Programa INTERREG Caraïbes 2021–2027</t>
  </si>
  <si>
    <t>Unión Europea / Région Guadeloupe — Autoridad de gestión</t>
  </si>
  <si>
    <t>Según el proyecto y el eje de intervención</t>
  </si>
  <si>
    <t>Investigadores; universidades; hospitales; centros tecnológicos; arquitectos; urbanistas; ingenieros; autoridades públicas y organizaciones sociales</t>
  </si>
  <si>
    <t>Caribe, con asociación entre territorios franceses ultramarinos y al menos un país o territorio caribeño no perteneciente a la Unión Europea</t>
  </si>
  <si>
    <t>Tecnología, investigación e innovación; medicina y sistemas sanitarios; arquitectura, energía, resiliencia y desarrollo urbano</t>
  </si>
  <si>
    <t>I+D; innovación; digitalización; conectividad; energías renovables; acceso sanitario; enfermedades regionales; resiliencia climática; economía circular; movilidad</t>
  </si>
  <si>
    <t>Programa de cooperación territorial que financia proyectos conjuntos entre los territorios franceses del Caribe y países vecinos en investigación, innovación, salud, clima, biodiversidad, energía, movilidad y formación.</t>
  </si>
  <si>
    <t>La UNPHU puede participar como socia caribeña, pero el jefe de fila debe estar establecido en Guadalupe, Martinica, Guayana Francesa o Saint-Martin.</t>
  </si>
  <si>
    <t>La presentación se realiza mediante la plataforma Synergie CTE. Debe confirmarse con la Secretaría Conjunta el tratamiento presupuestario de los gastos correspondientes al socio dominicano.</t>
  </si>
  <si>
    <t>https://interreg-caraibes.eu/appel-projets</t>
  </si>
  <si>
    <t>Région Guadeloupe — Autoridad de gestión del programa INTERREG Caraïbes</t>
  </si>
  <si>
    <t>Prioridad alta para consorcios con universidades, hospitales o centros de Guadalupe y Martinica. La UNPHU participa como socia, no como coordinadora.</t>
  </si>
  <si>
    <t>Programa Junior Fellowship 2026 — Direct-to-Device (D2D)</t>
  </si>
  <si>
    <t>Centro de Estudios de Telecomunicaciones de América Latina (cet.la) | ASIET</t>
  </si>
  <si>
    <t>4 meses</t>
  </si>
  <si>
    <t>Jóvenes analistas, consultores, investigadores, estudiantes y recién egresados de universidades o centros de investigación con experiencia e interés en economía, regulación y políticas públicas de las telecomunicaciones y el desarrollo digital</t>
  </si>
  <si>
    <t>América Latina; actividad remota desde el lugar de residencia de la persona seleccionada</t>
  </si>
  <si>
    <t>Telecomunicaciones; conectividad; políticas públicas y regulación digital</t>
  </si>
  <si>
    <t>Direct-to-Device; D2D; redes no terrestres; NTN; conectividad satelital; brecha digital; telecomunicaciones; regulación; políticas públicas</t>
  </si>
  <si>
    <t>Programa de cuatro meses para desarrollar investigación aplicada sobre tecnologías Direct-to-Device (D2D) y su impacto en las telecomunicaciones, la conectividad y las políticas públicas de América Latina. La persona seleccionada trabaja como coautora de reportes, estudios y materiales de divulgación bajo dirección de cet.la.</t>
  </si>
  <si>
    <t>Postulación individual para jóvenes analistas, consultores, investigadores, estudiantes y recién egresados de universidades o centros de investigación. Se requiere experiencia o interés en economía, regulación y políticas públicas de telecomunicaciones y desarrollo digital, además de dominio de español e inglés en contextos académicos.</t>
  </si>
  <si>
    <t>Beca total de USD 2,000, equivalente a USD 500 mensuales durante cuatro meses. La postulación requiere formulario en línea, currículum vitae y propuesta de investigación de hasta 2,000 palabras vinculada al tema Direct-to-Device (D2D). Fecha límite: 12/09/2026 inclusive.</t>
  </si>
  <si>
    <t>https://cet.la/noticias/actualidad/cet-la-lanza-una-nueva-convocatoria-al-programa-de-becas-junior-fellowship/</t>
  </si>
  <si>
    <t>Convocatoria especialmente pertinente para líneas de investigación de la UNPHU sobre conectividad, brecha digital, telecomunicaciones, redes satelitales/NTN y políticas públicas. Modalidad remota y postulación individual.</t>
  </si>
  <si>
    <t>2026-121</t>
  </si>
  <si>
    <t>SATREPS FY2027 — Bioresources</t>
  </si>
  <si>
    <t>Japan Science and Technology Agency (JST) / Japan International Cooperation Agency (JICA)</t>
  </si>
  <si>
    <t>Japón</t>
  </si>
  <si>
    <t>3–5 años</t>
  </si>
  <si>
    <t>Países en desarrollo elegibles para cooperación ODA de Japón; República Dominicana</t>
  </si>
  <si>
    <t>Sin restricción; prevalece la afiliación institucional</t>
  </si>
  <si>
    <t>Biorrecursos</t>
  </si>
  <si>
    <t>biorrecursos; agricultura sostenible; biotecnología; biodiversidad; biomasa; bioeconomía; recursos genéticos; microorganismos</t>
  </si>
  <si>
    <t>Programa de investigación conjunta Japón–país socio para desarrollar soluciones científicas y tecnológicas orientadas a la producción y utilización sostenible de recursos biológicos.</t>
  </si>
  <si>
    <t>UNPHU puede participar como institución contraparte dominicana asociada a una universidad o centro de investigación japonés. La parte japonesa presenta ante JST y la contraparte dominicana debe tramitar una solicitud oficial de cooperación técnica ODA por la vía gubernamental correspondiente.</t>
  </si>
  <si>
    <t>SATREPS FY2027 está abierto del 18/08/2026 al 19/10/2026. La solicitud ODA del país contraparte debe llegar al Ministerio de Asuntos Exteriores de Japón a más tardar el 13/10/2026; el plazo interno dominicano será anterior. Financiación JICA: hasta JPY 300 millones para un proyecto de 5 años; JST financia separadamente al equipo japonés.</t>
  </si>
  <si>
    <t>https://www.jst.go.jp/global/english/koubo/</t>
  </si>
  <si>
    <t>JST / JICA — SATREPS FY2027</t>
  </si>
  <si>
    <t>Prioridad estratégica para UNPHU. Requiere identificar cuanto antes un investigador principal y una institución japonesa asociada. Potencial en agricultura tropical, biomasa, biodiversidad, bioeconomía y biotecnología.</t>
  </si>
  <si>
    <t>SATREPS FY2027 — Disaster Prevention and Mitigation</t>
  </si>
  <si>
    <t>Prevención y mitigación de desastres</t>
  </si>
  <si>
    <t>desastres; huracanes; inundaciones; terremotos; deslizamientos; resiliencia; infraestructura; alerta temprana; SIG; teledetección</t>
  </si>
  <si>
    <t>Programa de investigación conjunta Japón–país socio orientado al estudio, predicción, prevención y mitigación de desastres naturales y al fortalecimiento de sociedades e infraestructuras resilientes.</t>
  </si>
  <si>
    <t>Prioridad estratégica para Ingeniería, Arquitectura y áreas territoriales de UNPHU. Potencial en huracanes, inundaciones urbanas, riesgos costeros, deslizamientos, infraestructura resiliente, SIG y alerta temprana.</t>
  </si>
  <si>
    <t>SATREPS FY2027 — Environment and Energy</t>
  </si>
  <si>
    <t>Medio ambiente y energía</t>
  </si>
  <si>
    <t>medio ambiente; energía; cambio climático; carbono; recursos hídricos; contaminación; economía circular; sostenibilidad</t>
  </si>
  <si>
    <t>Programa de investigación conjunta Japón–país socio para abordar problemas ambientales y energéticos de escala global mediante ciencia y tecnología y fortalecer capacidades de investigación en el país contraparte.</t>
  </si>
  <si>
    <t>Prioridad estratégica para UNPHU. Potencial en cambio climático, recursos hídricos, contaminación, energía renovable, economía circular y tecnologías ambientales.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</si>
</sst>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122" zoomScale="90" zoomScaleNormal="90" workbookViewId="0">
      <selection activeCell="AC122" sqref="AC122"/>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Vencida</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Vencida</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Vencida</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Próxima a vencer</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Próxima a vencer</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Próxima a vencer</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Próxima a vencer</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Próxima a vencer</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Próxima a vencer</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Próxima a vencer</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Próxima a vencer</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Próxima a vencer</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Próxima a vencer</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Abierta</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Abierta</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Próxima a vencer</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Vencida</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Abierta</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Abierta</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Próxima a vencer</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Próxima a vencer</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Abierta</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Abierta</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Vencida</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Vencida</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Vencida</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Abierta</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Abierta</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Abierta</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Vencida</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Próxima a vencer</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Abierta</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Próxima a vencer</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Próxima a vencer</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Vencida</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Próxima a vencer</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Abierta</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1478</v>
      </c>
      <c r="B101" s="4" t="s">
        <v>54</v>
      </c>
      <c r="C101" s="4" t="s">
        <v>1402</v>
      </c>
      <c r="D101" s="4" t="s">
        <v>1403</v>
      </c>
      <c r="E101" s="4" t="s">
        <v>139</v>
      </c>
      <c r="F101" s="4" t="s">
        <v>35</v>
      </c>
      <c r="G101" s="6">
        <v>46310</v>
      </c>
      <c r="H101" s="4" t="s">
        <v>36</v>
      </c>
      <c r="I101" s="4" t="s">
        <v>87</v>
      </c>
      <c r="J101" s="4" t="s">
        <v>38</v>
      </c>
      <c r="K101" s="4" t="str">
        <f t="shared" ca="1" si="2"/>
        <v>Abierta</v>
      </c>
      <c r="L101" s="8" t="s">
        <v>1199</v>
      </c>
      <c r="M101" s="8" t="s">
        <v>59</v>
      </c>
      <c r="N101" s="4" t="s">
        <v>39</v>
      </c>
      <c r="O101" s="4" t="s">
        <v>1404</v>
      </c>
      <c r="P101" s="4" t="s">
        <v>124</v>
      </c>
      <c r="Q101" s="4" t="s">
        <v>1405</v>
      </c>
      <c r="R101" s="4" t="s">
        <v>379</v>
      </c>
      <c r="S101" s="4" t="s">
        <v>122</v>
      </c>
      <c r="T101" s="4" t="s">
        <v>44</v>
      </c>
      <c r="U101" s="4" t="s">
        <v>1406</v>
      </c>
      <c r="V101" s="4" t="s">
        <v>1407</v>
      </c>
      <c r="W101" s="4" t="s">
        <v>1408</v>
      </c>
      <c r="X101" s="4" t="s">
        <v>1409</v>
      </c>
      <c r="Y101" s="4" t="s">
        <v>1410</v>
      </c>
      <c r="Z101" s="4" t="s">
        <v>1411</v>
      </c>
      <c r="AA101" s="4"/>
      <c r="AB101" s="6">
        <v>46230</v>
      </c>
      <c r="AC101" s="4" t="s">
        <v>1412</v>
      </c>
      <c r="AD101" s="4" t="s">
        <v>1413</v>
      </c>
    </row>
    <row r="102" spans="1:30" ht="114">
      <c r="A102" s="3" t="s">
        <v>1479</v>
      </c>
      <c r="B102" s="4" t="s">
        <v>54</v>
      </c>
      <c r="C102" s="4" t="s">
        <v>1414</v>
      </c>
      <c r="D102" s="4" t="s">
        <v>1403</v>
      </c>
      <c r="E102" s="4" t="s">
        <v>139</v>
      </c>
      <c r="F102" s="4" t="s">
        <v>35</v>
      </c>
      <c r="G102" s="6">
        <v>46310</v>
      </c>
      <c r="H102" s="4" t="s">
        <v>36</v>
      </c>
      <c r="I102" s="4" t="s">
        <v>87</v>
      </c>
      <c r="J102" s="4" t="s">
        <v>226</v>
      </c>
      <c r="K102" s="4" t="str">
        <f t="shared" ca="1" si="2"/>
        <v>Pendiente Apertura</v>
      </c>
      <c r="L102" s="8" t="s">
        <v>1199</v>
      </c>
      <c r="M102" s="8" t="s">
        <v>1199</v>
      </c>
      <c r="N102" s="4" t="s">
        <v>39</v>
      </c>
      <c r="O102" s="4" t="s">
        <v>1415</v>
      </c>
      <c r="P102" s="4" t="s">
        <v>124</v>
      </c>
      <c r="Q102" s="4" t="s">
        <v>1416</v>
      </c>
      <c r="R102" s="4" t="s">
        <v>379</v>
      </c>
      <c r="S102" s="4" t="s">
        <v>122</v>
      </c>
      <c r="T102" s="4" t="s">
        <v>44</v>
      </c>
      <c r="U102" s="4" t="s">
        <v>1417</v>
      </c>
      <c r="V102" s="4" t="s">
        <v>1418</v>
      </c>
      <c r="W102" s="4" t="s">
        <v>1419</v>
      </c>
      <c r="X102" s="4" t="s">
        <v>1420</v>
      </c>
      <c r="Y102" s="4" t="s">
        <v>1421</v>
      </c>
      <c r="Z102" s="4" t="s">
        <v>1422</v>
      </c>
      <c r="AA102" s="4"/>
      <c r="AB102" s="6">
        <v>46230</v>
      </c>
      <c r="AC102" s="4" t="s">
        <v>1423</v>
      </c>
      <c r="AD102" s="4" t="s">
        <v>1424</v>
      </c>
    </row>
    <row r="103" spans="1:30" ht="114">
      <c r="A103" s="3" t="s">
        <v>1480</v>
      </c>
      <c r="B103" s="4" t="s">
        <v>54</v>
      </c>
      <c r="C103" s="4" t="s">
        <v>1425</v>
      </c>
      <c r="D103" s="4" t="s">
        <v>1426</v>
      </c>
      <c r="E103" s="4" t="s">
        <v>34</v>
      </c>
      <c r="F103" s="4" t="s">
        <v>140</v>
      </c>
      <c r="G103" s="6">
        <v>46283</v>
      </c>
      <c r="H103" s="4" t="s">
        <v>36</v>
      </c>
      <c r="I103" s="4" t="s">
        <v>58</v>
      </c>
      <c r="J103" s="4" t="s">
        <v>38</v>
      </c>
      <c r="K103" s="4" t="str">
        <f t="shared" ca="1" si="2"/>
        <v>Próxima a vencer</v>
      </c>
      <c r="L103" s="8">
        <v>250000</v>
      </c>
      <c r="M103" s="8">
        <v>1000000</v>
      </c>
      <c r="N103" s="4" t="s">
        <v>39</v>
      </c>
      <c r="O103" s="4" t="s">
        <v>821</v>
      </c>
      <c r="P103" s="4" t="s">
        <v>471</v>
      </c>
      <c r="Q103" s="4" t="s">
        <v>1427</v>
      </c>
      <c r="R103" s="4" t="s">
        <v>379</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28.25">
      <c r="A104" s="3" t="s">
        <v>1481</v>
      </c>
      <c r="B104" s="4" t="s">
        <v>54</v>
      </c>
      <c r="C104" s="4" t="s">
        <v>1436</v>
      </c>
      <c r="D104" s="4" t="s">
        <v>1437</v>
      </c>
      <c r="E104" s="4" t="s">
        <v>121</v>
      </c>
      <c r="F104" s="4" t="s">
        <v>196</v>
      </c>
      <c r="G104" s="6">
        <v>46282</v>
      </c>
      <c r="H104" s="4" t="s">
        <v>36</v>
      </c>
      <c r="I104" s="4" t="s">
        <v>87</v>
      </c>
      <c r="J104" s="4" t="s">
        <v>38</v>
      </c>
      <c r="K104" s="4" t="str">
        <f t="shared" ca="1" si="2"/>
        <v>Próxima a vencer</v>
      </c>
      <c r="L104" s="8" t="s">
        <v>1199</v>
      </c>
      <c r="M104" s="8">
        <v>6000000</v>
      </c>
      <c r="N104" s="4" t="s">
        <v>197</v>
      </c>
      <c r="O104" s="4" t="s">
        <v>1438</v>
      </c>
      <c r="P104" s="4" t="s">
        <v>142</v>
      </c>
      <c r="Q104" s="4" t="s">
        <v>1439</v>
      </c>
      <c r="R104" s="4" t="s">
        <v>313</v>
      </c>
      <c r="S104" s="4" t="s">
        <v>1440</v>
      </c>
      <c r="T104" s="4" t="s">
        <v>44</v>
      </c>
      <c r="U104" s="4" t="s">
        <v>1441</v>
      </c>
      <c r="V104" s="4" t="s">
        <v>1442</v>
      </c>
      <c r="W104" s="4" t="s">
        <v>1443</v>
      </c>
      <c r="X104" s="4" t="s">
        <v>1444</v>
      </c>
      <c r="Y104" s="4" t="s">
        <v>1445</v>
      </c>
      <c r="Z104" s="4" t="s">
        <v>1446</v>
      </c>
      <c r="AA104" s="4"/>
      <c r="AB104" s="6">
        <v>46230</v>
      </c>
      <c r="AC104" s="4" t="s">
        <v>1447</v>
      </c>
      <c r="AD104" s="4" t="s">
        <v>1448</v>
      </c>
    </row>
    <row r="105" spans="1:30" ht="142.5">
      <c r="A105" s="3" t="s">
        <v>1482</v>
      </c>
      <c r="B105" s="4" t="s">
        <v>54</v>
      </c>
      <c r="C105" s="4" t="s">
        <v>1449</v>
      </c>
      <c r="D105" s="4" t="s">
        <v>1437</v>
      </c>
      <c r="E105" s="4" t="s">
        <v>121</v>
      </c>
      <c r="F105" s="4" t="s">
        <v>196</v>
      </c>
      <c r="G105" s="6">
        <v>46282</v>
      </c>
      <c r="H105" s="4" t="s">
        <v>36</v>
      </c>
      <c r="I105" s="4" t="s">
        <v>87</v>
      </c>
      <c r="J105" s="4" t="s">
        <v>38</v>
      </c>
      <c r="K105" s="4" t="str">
        <f t="shared" ca="1" si="2"/>
        <v>Próxima a vencer</v>
      </c>
      <c r="L105" s="8" t="s">
        <v>1199</v>
      </c>
      <c r="M105" s="8">
        <v>5000000</v>
      </c>
      <c r="N105" s="4" t="s">
        <v>197</v>
      </c>
      <c r="O105" s="4" t="s">
        <v>1438</v>
      </c>
      <c r="P105" s="4" t="s">
        <v>142</v>
      </c>
      <c r="Q105" s="4" t="s">
        <v>1450</v>
      </c>
      <c r="R105" s="4" t="s">
        <v>313</v>
      </c>
      <c r="S105" s="4" t="s">
        <v>1440</v>
      </c>
      <c r="T105" s="4" t="s">
        <v>44</v>
      </c>
      <c r="U105" s="4" t="s">
        <v>1451</v>
      </c>
      <c r="V105" s="4" t="s">
        <v>1452</v>
      </c>
      <c r="W105" s="4" t="s">
        <v>1453</v>
      </c>
      <c r="X105" s="4" t="s">
        <v>1454</v>
      </c>
      <c r="Y105" s="4" t="s">
        <v>1455</v>
      </c>
      <c r="Z105" s="4" t="s">
        <v>1456</v>
      </c>
      <c r="AA105" s="4"/>
      <c r="AB105" s="6">
        <v>46230</v>
      </c>
      <c r="AC105" s="4" t="s">
        <v>1447</v>
      </c>
      <c r="AD105" s="4" t="s">
        <v>1457</v>
      </c>
    </row>
    <row r="106" spans="1:30" ht="128.25">
      <c r="A106" s="3" t="s">
        <v>1483</v>
      </c>
      <c r="B106" s="4" t="s">
        <v>54</v>
      </c>
      <c r="C106" s="4" t="s">
        <v>1458</v>
      </c>
      <c r="D106" s="4" t="s">
        <v>1459</v>
      </c>
      <c r="E106" s="4" t="s">
        <v>121</v>
      </c>
      <c r="F106" s="4" t="s">
        <v>196</v>
      </c>
      <c r="G106" s="6">
        <v>46287</v>
      </c>
      <c r="H106" s="4" t="s">
        <v>36</v>
      </c>
      <c r="I106" s="4" t="s">
        <v>87</v>
      </c>
      <c r="J106" s="4" t="s">
        <v>38</v>
      </c>
      <c r="K106" s="4" t="str">
        <f t="shared" ca="1" si="2"/>
        <v>Próxima a vencer</v>
      </c>
      <c r="L106" s="8" t="s">
        <v>1199</v>
      </c>
      <c r="M106" s="8">
        <v>7000000</v>
      </c>
      <c r="N106" s="4" t="s">
        <v>197</v>
      </c>
      <c r="O106" s="4" t="s">
        <v>1438</v>
      </c>
      <c r="P106" s="4" t="s">
        <v>242</v>
      </c>
      <c r="Q106" s="4" t="s">
        <v>1460</v>
      </c>
      <c r="R106" s="4" t="s">
        <v>313</v>
      </c>
      <c r="S106" s="4" t="s">
        <v>1440</v>
      </c>
      <c r="T106" s="4" t="s">
        <v>44</v>
      </c>
      <c r="U106" s="4" t="s">
        <v>1461</v>
      </c>
      <c r="V106" s="4" t="s">
        <v>1462</v>
      </c>
      <c r="W106" s="4" t="s">
        <v>1463</v>
      </c>
      <c r="X106" s="4" t="s">
        <v>1464</v>
      </c>
      <c r="Y106" s="4" t="s">
        <v>1465</v>
      </c>
      <c r="Z106" s="4" t="s">
        <v>1466</v>
      </c>
      <c r="AA106" s="4"/>
      <c r="AB106" s="6">
        <v>46230</v>
      </c>
      <c r="AC106" s="4" t="s">
        <v>1467</v>
      </c>
      <c r="AD106" s="4" t="s">
        <v>1468</v>
      </c>
    </row>
    <row r="107" spans="1:30" ht="128.25">
      <c r="A107" s="3" t="s">
        <v>1484</v>
      </c>
      <c r="B107" s="4" t="s">
        <v>54</v>
      </c>
      <c r="C107" s="4" t="s">
        <v>1469</v>
      </c>
      <c r="D107" s="4" t="s">
        <v>1459</v>
      </c>
      <c r="E107" s="4" t="s">
        <v>121</v>
      </c>
      <c r="F107" s="4" t="s">
        <v>196</v>
      </c>
      <c r="G107" s="6">
        <v>46287</v>
      </c>
      <c r="H107" s="4" t="s">
        <v>36</v>
      </c>
      <c r="I107" s="4" t="s">
        <v>87</v>
      </c>
      <c r="J107" s="4" t="s">
        <v>38</v>
      </c>
      <c r="K107" s="4" t="str">
        <f t="shared" ca="1" si="2"/>
        <v>Próxima a vencer</v>
      </c>
      <c r="L107" s="8" t="s">
        <v>1199</v>
      </c>
      <c r="M107" s="8">
        <v>7000000</v>
      </c>
      <c r="N107" s="4" t="s">
        <v>197</v>
      </c>
      <c r="O107" s="4" t="s">
        <v>1438</v>
      </c>
      <c r="P107" s="4" t="s">
        <v>242</v>
      </c>
      <c r="Q107" s="4" t="s">
        <v>1470</v>
      </c>
      <c r="R107" s="4" t="s">
        <v>313</v>
      </c>
      <c r="S107" s="4" t="s">
        <v>1440</v>
      </c>
      <c r="T107" s="4" t="s">
        <v>44</v>
      </c>
      <c r="U107" s="4" t="s">
        <v>1471</v>
      </c>
      <c r="V107" s="4" t="s">
        <v>1472</v>
      </c>
      <c r="W107" s="4" t="s">
        <v>1473</v>
      </c>
      <c r="X107" s="4" t="s">
        <v>1474</v>
      </c>
      <c r="Y107" s="4" t="s">
        <v>1475</v>
      </c>
      <c r="Z107" s="4" t="s">
        <v>1476</v>
      </c>
      <c r="AA107" s="4"/>
      <c r="AB107" s="6">
        <v>46230</v>
      </c>
      <c r="AC107" s="4" t="s">
        <v>1467</v>
      </c>
      <c r="AD107" s="4" t="s">
        <v>1477</v>
      </c>
    </row>
    <row r="108" spans="1:30" ht="128.25">
      <c r="A108" s="3" t="s">
        <v>1585</v>
      </c>
      <c r="B108" s="4" t="s">
        <v>54</v>
      </c>
      <c r="C108" s="4" t="s">
        <v>1485</v>
      </c>
      <c r="D108" s="4" t="s">
        <v>1486</v>
      </c>
      <c r="E108" s="4" t="s">
        <v>121</v>
      </c>
      <c r="F108" s="4" t="s">
        <v>122</v>
      </c>
      <c r="G108" s="6">
        <v>46253</v>
      </c>
      <c r="H108" s="4" t="s">
        <v>36</v>
      </c>
      <c r="I108" s="4" t="s">
        <v>87</v>
      </c>
      <c r="J108" s="4" t="s">
        <v>38</v>
      </c>
      <c r="K108" s="4" t="str">
        <f t="shared" ca="1" si="2"/>
        <v>Vencida</v>
      </c>
      <c r="L108" s="8" t="s">
        <v>1199</v>
      </c>
      <c r="M108" s="8">
        <v>30000</v>
      </c>
      <c r="N108" s="4" t="s">
        <v>39</v>
      </c>
      <c r="O108" s="4" t="s">
        <v>40</v>
      </c>
      <c r="P108" s="4" t="s">
        <v>124</v>
      </c>
      <c r="Q108" s="4" t="s">
        <v>1487</v>
      </c>
      <c r="R108" s="4" t="s">
        <v>379</v>
      </c>
      <c r="S108" s="4" t="s">
        <v>1488</v>
      </c>
      <c r="T108" s="4" t="s">
        <v>44</v>
      </c>
      <c r="U108" s="4" t="s">
        <v>1489</v>
      </c>
      <c r="V108" s="4" t="s">
        <v>1490</v>
      </c>
      <c r="W108" s="4" t="s">
        <v>1491</v>
      </c>
      <c r="X108" s="4" t="s">
        <v>1492</v>
      </c>
      <c r="Y108" s="4" t="s">
        <v>1493</v>
      </c>
      <c r="Z108" s="4" t="s">
        <v>1494</v>
      </c>
      <c r="AA108" s="4"/>
      <c r="AB108" s="6">
        <v>46230</v>
      </c>
      <c r="AC108" s="4" t="s">
        <v>1495</v>
      </c>
      <c r="AD108" s="4" t="s">
        <v>1496</v>
      </c>
    </row>
    <row r="109" spans="1:30" ht="114">
      <c r="A109" s="3" t="s">
        <v>1586</v>
      </c>
      <c r="B109" s="4" t="s">
        <v>1263</v>
      </c>
      <c r="C109" s="4" t="s">
        <v>1497</v>
      </c>
      <c r="D109" s="4" t="s">
        <v>1498</v>
      </c>
      <c r="E109" s="4" t="s">
        <v>1266</v>
      </c>
      <c r="F109" s="4" t="s">
        <v>122</v>
      </c>
      <c r="G109" s="6">
        <v>46215</v>
      </c>
      <c r="H109" s="4" t="s">
        <v>36</v>
      </c>
      <c r="I109" s="4" t="s">
        <v>377</v>
      </c>
      <c r="J109" s="4" t="s">
        <v>88</v>
      </c>
      <c r="K109" s="4" t="str">
        <f t="shared" ca="1" si="2"/>
        <v>Cerrada</v>
      </c>
      <c r="L109" s="8" t="s">
        <v>1199</v>
      </c>
      <c r="M109" s="8">
        <v>20000</v>
      </c>
      <c r="N109" s="4" t="s">
        <v>39</v>
      </c>
      <c r="O109" s="4" t="s">
        <v>1077</v>
      </c>
      <c r="P109" s="4" t="s">
        <v>242</v>
      </c>
      <c r="Q109" s="4" t="s">
        <v>1499</v>
      </c>
      <c r="R109" s="4" t="s">
        <v>379</v>
      </c>
      <c r="S109" s="4" t="s">
        <v>1500</v>
      </c>
      <c r="T109" s="4" t="s">
        <v>44</v>
      </c>
      <c r="U109" s="4" t="s">
        <v>1501</v>
      </c>
      <c r="V109" s="4" t="s">
        <v>1502</v>
      </c>
      <c r="W109" s="4" t="s">
        <v>1503</v>
      </c>
      <c r="X109" s="4" t="s">
        <v>1504</v>
      </c>
      <c r="Y109" s="4" t="s">
        <v>1505</v>
      </c>
      <c r="Z109" s="4" t="s">
        <v>1506</v>
      </c>
      <c r="AA109" s="4"/>
      <c r="AB109" s="6">
        <v>46230</v>
      </c>
      <c r="AC109" s="4" t="s">
        <v>1507</v>
      </c>
      <c r="AD109" s="4" t="s">
        <v>1508</v>
      </c>
    </row>
    <row r="110" spans="1:30" ht="128.25">
      <c r="A110" s="3" t="s">
        <v>1587</v>
      </c>
      <c r="B110" s="4" t="s">
        <v>1263</v>
      </c>
      <c r="C110" s="4" t="s">
        <v>1509</v>
      </c>
      <c r="D110" s="4" t="s">
        <v>1510</v>
      </c>
      <c r="E110" s="4" t="s">
        <v>34</v>
      </c>
      <c r="F110" s="4" t="s">
        <v>122</v>
      </c>
      <c r="G110" s="6">
        <v>46026</v>
      </c>
      <c r="H110" s="4" t="s">
        <v>36</v>
      </c>
      <c r="I110" s="4" t="s">
        <v>377</v>
      </c>
      <c r="J110" s="4" t="s">
        <v>88</v>
      </c>
      <c r="K110" s="4" t="str">
        <f t="shared" ca="1" si="2"/>
        <v>Cerrada</v>
      </c>
      <c r="L110" s="8">
        <v>400000</v>
      </c>
      <c r="M110" s="8">
        <v>2000000</v>
      </c>
      <c r="N110" s="4" t="s">
        <v>39</v>
      </c>
      <c r="O110" s="4" t="s">
        <v>1511</v>
      </c>
      <c r="P110" s="4" t="s">
        <v>242</v>
      </c>
      <c r="Q110" s="4" t="s">
        <v>1512</v>
      </c>
      <c r="R110" s="4" t="s">
        <v>379</v>
      </c>
      <c r="S110" s="4" t="s">
        <v>1513</v>
      </c>
      <c r="T110" s="4" t="s">
        <v>44</v>
      </c>
      <c r="U110" s="4" t="s">
        <v>1514</v>
      </c>
      <c r="V110" s="4" t="s">
        <v>1515</v>
      </c>
      <c r="W110" s="4" t="s">
        <v>1516</v>
      </c>
      <c r="X110" s="4" t="s">
        <v>1517</v>
      </c>
      <c r="Y110" s="4" t="s">
        <v>1518</v>
      </c>
      <c r="Z110" s="4" t="s">
        <v>1519</v>
      </c>
      <c r="AA110" s="4"/>
      <c r="AB110" s="6">
        <v>46230</v>
      </c>
      <c r="AC110" s="4" t="s">
        <v>1520</v>
      </c>
      <c r="AD110" s="4" t="s">
        <v>1521</v>
      </c>
    </row>
    <row r="111" spans="1:30" ht="99.75">
      <c r="A111" s="3" t="s">
        <v>1588</v>
      </c>
      <c r="B111" s="4" t="s">
        <v>54</v>
      </c>
      <c r="C111" s="4" t="s">
        <v>1522</v>
      </c>
      <c r="D111" s="4" t="s">
        <v>1523</v>
      </c>
      <c r="E111" s="4" t="s">
        <v>470</v>
      </c>
      <c r="F111" s="4" t="s">
        <v>548</v>
      </c>
      <c r="G111" s="6">
        <v>46234</v>
      </c>
      <c r="H111" s="4" t="s">
        <v>36</v>
      </c>
      <c r="I111" s="4" t="s">
        <v>58</v>
      </c>
      <c r="J111" s="4" t="s">
        <v>38</v>
      </c>
      <c r="K111" s="4" t="str">
        <f t="shared" ca="1" si="2"/>
        <v>Vencida</v>
      </c>
      <c r="L111" s="8" t="s">
        <v>1199</v>
      </c>
      <c r="M111" s="8">
        <v>1500</v>
      </c>
      <c r="N111" s="4" t="s">
        <v>197</v>
      </c>
      <c r="O111" s="4" t="s">
        <v>1524</v>
      </c>
      <c r="P111" s="4" t="s">
        <v>41</v>
      </c>
      <c r="Q111" s="4" t="s">
        <v>1525</v>
      </c>
      <c r="R111" s="4" t="s">
        <v>313</v>
      </c>
      <c r="S111" s="4" t="s">
        <v>1526</v>
      </c>
      <c r="T111" s="4" t="s">
        <v>44</v>
      </c>
      <c r="U111" s="4" t="s">
        <v>1527</v>
      </c>
      <c r="V111" s="4" t="s">
        <v>1528</v>
      </c>
      <c r="W111" s="4" t="s">
        <v>1529</v>
      </c>
      <c r="X111" s="4" t="s">
        <v>1530</v>
      </c>
      <c r="Y111" s="4" t="s">
        <v>1531</v>
      </c>
      <c r="Z111" s="4" t="s">
        <v>1532</v>
      </c>
      <c r="AA111" s="4"/>
      <c r="AB111" s="6">
        <v>46230</v>
      </c>
      <c r="AC111" s="4" t="s">
        <v>1533</v>
      </c>
      <c r="AD111" s="4" t="s">
        <v>1534</v>
      </c>
    </row>
    <row r="112" spans="1:30" ht="99.75">
      <c r="A112" s="3" t="s">
        <v>1589</v>
      </c>
      <c r="B112" s="4" t="s">
        <v>54</v>
      </c>
      <c r="C112" s="4" t="s">
        <v>1535</v>
      </c>
      <c r="D112" s="4" t="s">
        <v>1536</v>
      </c>
      <c r="E112" s="4" t="s">
        <v>121</v>
      </c>
      <c r="F112" s="4" t="s">
        <v>548</v>
      </c>
      <c r="G112" s="6">
        <v>46209</v>
      </c>
      <c r="H112" s="4" t="s">
        <v>36</v>
      </c>
      <c r="I112" s="4" t="s">
        <v>87</v>
      </c>
      <c r="J112" s="4" t="s">
        <v>88</v>
      </c>
      <c r="K112" s="4" t="str">
        <f t="shared" ca="1" si="2"/>
        <v>Cerrada</v>
      </c>
      <c r="L112" s="8" t="s">
        <v>1199</v>
      </c>
      <c r="M112" s="8">
        <v>10000</v>
      </c>
      <c r="N112" s="4" t="s">
        <v>197</v>
      </c>
      <c r="O112" s="4" t="s">
        <v>1537</v>
      </c>
      <c r="P112" s="4" t="s">
        <v>61</v>
      </c>
      <c r="Q112" s="4" t="s">
        <v>1538</v>
      </c>
      <c r="R112" s="4" t="s">
        <v>379</v>
      </c>
      <c r="S112" s="4" t="s">
        <v>1539</v>
      </c>
      <c r="T112" s="4" t="s">
        <v>44</v>
      </c>
      <c r="U112" s="4" t="s">
        <v>1540</v>
      </c>
      <c r="V112" s="4" t="s">
        <v>1541</v>
      </c>
      <c r="W112" s="4" t="s">
        <v>1542</v>
      </c>
      <c r="X112" s="4" t="s">
        <v>1543</v>
      </c>
      <c r="Y112" s="4" t="s">
        <v>1544</v>
      </c>
      <c r="Z112" s="4" t="s">
        <v>1545</v>
      </c>
      <c r="AA112" s="4"/>
      <c r="AB112" s="6">
        <v>46230</v>
      </c>
      <c r="AC112" s="4" t="s">
        <v>1546</v>
      </c>
      <c r="AD112" s="4" t="s">
        <v>1547</v>
      </c>
    </row>
    <row r="113" spans="1:30" ht="99.75">
      <c r="A113" s="3" t="s">
        <v>1590</v>
      </c>
      <c r="B113" s="4" t="s">
        <v>54</v>
      </c>
      <c r="C113" s="4" t="s">
        <v>1548</v>
      </c>
      <c r="D113" s="4" t="s">
        <v>1536</v>
      </c>
      <c r="E113" s="4" t="s">
        <v>121</v>
      </c>
      <c r="F113" s="4" t="s">
        <v>548</v>
      </c>
      <c r="G113" s="6">
        <v>46209</v>
      </c>
      <c r="H113" s="4" t="s">
        <v>36</v>
      </c>
      <c r="I113" s="4" t="s">
        <v>87</v>
      </c>
      <c r="J113" s="4" t="s">
        <v>88</v>
      </c>
      <c r="K113" s="4" t="str">
        <f t="shared" ca="1" si="2"/>
        <v>Cerrada</v>
      </c>
      <c r="L113" s="8" t="s">
        <v>1199</v>
      </c>
      <c r="M113" s="8">
        <v>15000</v>
      </c>
      <c r="N113" s="4" t="s">
        <v>197</v>
      </c>
      <c r="O113" s="4" t="s">
        <v>1537</v>
      </c>
      <c r="P113" s="4" t="s">
        <v>61</v>
      </c>
      <c r="Q113" s="4" t="s">
        <v>1549</v>
      </c>
      <c r="R113" s="4" t="s">
        <v>313</v>
      </c>
      <c r="S113" s="4" t="s">
        <v>1550</v>
      </c>
      <c r="T113" s="4" t="s">
        <v>44</v>
      </c>
      <c r="U113" s="4" t="s">
        <v>1551</v>
      </c>
      <c r="V113" s="4" t="s">
        <v>1552</v>
      </c>
      <c r="W113" s="4" t="s">
        <v>1553</v>
      </c>
      <c r="X113" s="4" t="s">
        <v>1554</v>
      </c>
      <c r="Y113" s="4" t="s">
        <v>1555</v>
      </c>
      <c r="Z113" s="4" t="s">
        <v>1556</v>
      </c>
      <c r="AA113" s="4"/>
      <c r="AB113" s="6">
        <v>46230</v>
      </c>
      <c r="AC113" s="4" t="s">
        <v>1557</v>
      </c>
      <c r="AD113" s="4" t="s">
        <v>1558</v>
      </c>
    </row>
    <row r="114" spans="1:30" ht="114">
      <c r="A114" s="3" t="s">
        <v>1591</v>
      </c>
      <c r="B114" s="4" t="s">
        <v>54</v>
      </c>
      <c r="C114" s="4" t="s">
        <v>1559</v>
      </c>
      <c r="D114" s="4" t="s">
        <v>1560</v>
      </c>
      <c r="E114" s="4" t="s">
        <v>121</v>
      </c>
      <c r="F114" s="4" t="s">
        <v>122</v>
      </c>
      <c r="G114" s="6">
        <v>46225</v>
      </c>
      <c r="H114" s="4" t="s">
        <v>36</v>
      </c>
      <c r="I114" s="4" t="s">
        <v>58</v>
      </c>
      <c r="J114" s="4" t="s">
        <v>88</v>
      </c>
      <c r="K114" s="4" t="str">
        <f t="shared" ca="1" si="2"/>
        <v>Cerrada</v>
      </c>
      <c r="L114" s="8" t="s">
        <v>1199</v>
      </c>
      <c r="M114" s="8" t="s">
        <v>1199</v>
      </c>
      <c r="N114" s="4" t="s">
        <v>1200</v>
      </c>
      <c r="O114" s="4" t="s">
        <v>1561</v>
      </c>
      <c r="P114" s="4" t="s">
        <v>159</v>
      </c>
      <c r="Q114" s="4" t="s">
        <v>1562</v>
      </c>
      <c r="R114" s="4" t="s">
        <v>271</v>
      </c>
      <c r="S114" s="4" t="s">
        <v>1563</v>
      </c>
      <c r="T114" s="4" t="s">
        <v>1564</v>
      </c>
      <c r="U114" s="4" t="s">
        <v>1565</v>
      </c>
      <c r="V114" s="4" t="s">
        <v>1566</v>
      </c>
      <c r="W114" s="4" t="s">
        <v>1567</v>
      </c>
      <c r="X114" s="4" t="s">
        <v>1568</v>
      </c>
      <c r="Y114" s="4" t="s">
        <v>1569</v>
      </c>
      <c r="Z114" s="4" t="s">
        <v>1570</v>
      </c>
      <c r="AA114" s="4"/>
      <c r="AB114" s="6">
        <v>46230</v>
      </c>
      <c r="AC114" s="4" t="s">
        <v>1571</v>
      </c>
      <c r="AD114" s="4" t="s">
        <v>1572</v>
      </c>
    </row>
    <row r="115" spans="1:30" ht="128.25">
      <c r="A115" s="3" t="s">
        <v>1592</v>
      </c>
      <c r="B115" s="4" t="s">
        <v>54</v>
      </c>
      <c r="C115" s="4" t="s">
        <v>1573</v>
      </c>
      <c r="D115" s="4" t="s">
        <v>1574</v>
      </c>
      <c r="E115" s="4" t="s">
        <v>121</v>
      </c>
      <c r="F115" s="4" t="s">
        <v>548</v>
      </c>
      <c r="G115" s="6">
        <v>46237</v>
      </c>
      <c r="H115" s="4" t="s">
        <v>36</v>
      </c>
      <c r="I115" s="4" t="s">
        <v>58</v>
      </c>
      <c r="J115" s="4" t="s">
        <v>38</v>
      </c>
      <c r="K115" s="4" t="str">
        <f t="shared" ca="1" si="2"/>
        <v>Vencida</v>
      </c>
      <c r="L115" s="8" t="s">
        <v>1199</v>
      </c>
      <c r="M115" s="8">
        <v>2500</v>
      </c>
      <c r="N115" s="4" t="s">
        <v>39</v>
      </c>
      <c r="O115" s="4" t="s">
        <v>1199</v>
      </c>
      <c r="P115" s="4" t="s">
        <v>1107</v>
      </c>
      <c r="Q115" s="4" t="s">
        <v>1575</v>
      </c>
      <c r="R115" s="4" t="s">
        <v>379</v>
      </c>
      <c r="S115" s="4" t="s">
        <v>1576</v>
      </c>
      <c r="T115" s="4" t="s">
        <v>44</v>
      </c>
      <c r="U115" s="4" t="s">
        <v>1577</v>
      </c>
      <c r="V115" s="4" t="s">
        <v>1578</v>
      </c>
      <c r="W115" s="4" t="s">
        <v>1579</v>
      </c>
      <c r="X115" s="4" t="s">
        <v>1580</v>
      </c>
      <c r="Y115" s="4" t="s">
        <v>1581</v>
      </c>
      <c r="Z115" s="4" t="s">
        <v>1582</v>
      </c>
      <c r="AA115" s="4"/>
      <c r="AB115" s="6">
        <v>46230</v>
      </c>
      <c r="AC115" s="4" t="s">
        <v>1583</v>
      </c>
      <c r="AD115" s="4" t="s">
        <v>1584</v>
      </c>
    </row>
    <row r="116" spans="1:30" ht="128.25" customHeight="1">
      <c r="A116" s="4" t="s">
        <v>1593</v>
      </c>
      <c r="B116" s="4" t="s">
        <v>54</v>
      </c>
      <c r="C116" s="4" t="s">
        <v>1594</v>
      </c>
      <c r="D116" s="4" t="s">
        <v>1595</v>
      </c>
      <c r="E116" s="4" t="s">
        <v>139</v>
      </c>
      <c r="F116" s="4" t="s">
        <v>1136</v>
      </c>
      <c r="G116" s="6"/>
      <c r="H116" s="4" t="s">
        <v>225</v>
      </c>
      <c r="I116" s="4" t="s">
        <v>436</v>
      </c>
      <c r="J116" s="4" t="s">
        <v>38</v>
      </c>
      <c r="K116" s="4" t="str">
        <f t="shared" ca="1" si="2"/>
        <v>Sin fecha</v>
      </c>
      <c r="L116" s="8" t="s">
        <v>1199</v>
      </c>
      <c r="M116" s="8">
        <v>1000000</v>
      </c>
      <c r="N116" s="4" t="s">
        <v>197</v>
      </c>
      <c r="O116" s="4" t="s">
        <v>485</v>
      </c>
      <c r="P116" s="4" t="s">
        <v>124</v>
      </c>
      <c r="Q116" s="4" t="s">
        <v>1596</v>
      </c>
      <c r="R116" s="4" t="s">
        <v>313</v>
      </c>
      <c r="S116" s="4" t="s">
        <v>1597</v>
      </c>
      <c r="T116" s="4" t="s">
        <v>44</v>
      </c>
      <c r="U116" s="4" t="s">
        <v>1598</v>
      </c>
      <c r="V116" s="4" t="s">
        <v>1599</v>
      </c>
      <c r="W116" s="4" t="s">
        <v>1600</v>
      </c>
      <c r="X116" s="4" t="s">
        <v>1601</v>
      </c>
      <c r="Y116" s="4" t="s">
        <v>1602</v>
      </c>
      <c r="Z116" s="4" t="s">
        <v>1603</v>
      </c>
      <c r="AA116" s="4"/>
      <c r="AB116" s="6">
        <v>46238</v>
      </c>
      <c r="AC116" s="4" t="s">
        <v>1604</v>
      </c>
      <c r="AD116" s="4" t="s">
        <v>1605</v>
      </c>
    </row>
    <row r="117" spans="1:30" ht="128.25" customHeight="1">
      <c r="A117" s="4" t="s">
        <v>1606</v>
      </c>
      <c r="B117" s="4" t="s">
        <v>54</v>
      </c>
      <c r="C117" s="4" t="s">
        <v>1607</v>
      </c>
      <c r="D117" s="4" t="s">
        <v>1595</v>
      </c>
      <c r="E117" s="4" t="s">
        <v>139</v>
      </c>
      <c r="F117" s="4" t="s">
        <v>1136</v>
      </c>
      <c r="G117" s="6"/>
      <c r="H117" s="4" t="s">
        <v>225</v>
      </c>
      <c r="I117" s="4" t="s">
        <v>436</v>
      </c>
      <c r="J117" s="4" t="s">
        <v>38</v>
      </c>
      <c r="K117" s="4" t="str">
        <f t="shared" ca="1" si="2"/>
        <v>Sin fecha</v>
      </c>
      <c r="L117" s="8">
        <v>10000</v>
      </c>
      <c r="M117" s="8">
        <v>100000</v>
      </c>
      <c r="N117" s="4" t="s">
        <v>197</v>
      </c>
      <c r="O117" s="4" t="s">
        <v>1077</v>
      </c>
      <c r="P117" s="4" t="s">
        <v>242</v>
      </c>
      <c r="Q117" s="4" t="s">
        <v>1608</v>
      </c>
      <c r="R117" s="4" t="s">
        <v>313</v>
      </c>
      <c r="S117" s="4" t="s">
        <v>1609</v>
      </c>
      <c r="T117" s="4" t="s">
        <v>44</v>
      </c>
      <c r="U117" s="4" t="s">
        <v>1610</v>
      </c>
      <c r="V117" s="4" t="s">
        <v>1611</v>
      </c>
      <c r="W117" s="4" t="s">
        <v>1612</v>
      </c>
      <c r="X117" s="4" t="s">
        <v>1613</v>
      </c>
      <c r="Y117" s="4" t="s">
        <v>1614</v>
      </c>
      <c r="Z117" s="4" t="s">
        <v>1603</v>
      </c>
      <c r="AA117" s="4"/>
      <c r="AB117" s="6">
        <v>46238</v>
      </c>
      <c r="AC117" s="4" t="s">
        <v>1604</v>
      </c>
      <c r="AD117" s="4" t="s">
        <v>1615</v>
      </c>
    </row>
    <row r="118" spans="1:30" ht="128.25" customHeight="1">
      <c r="A118" s="4" t="s">
        <v>1616</v>
      </c>
      <c r="B118" s="4" t="s">
        <v>54</v>
      </c>
      <c r="C118" s="4" t="s">
        <v>1617</v>
      </c>
      <c r="D118" s="4" t="s">
        <v>1595</v>
      </c>
      <c r="E118" s="4" t="s">
        <v>139</v>
      </c>
      <c r="F118" s="4" t="s">
        <v>1136</v>
      </c>
      <c r="G118" s="6"/>
      <c r="H118" s="4" t="s">
        <v>225</v>
      </c>
      <c r="I118" s="4" t="s">
        <v>436</v>
      </c>
      <c r="J118" s="4" t="s">
        <v>38</v>
      </c>
      <c r="K118" s="4" t="str">
        <f t="shared" ca="1" si="2"/>
        <v>Sin fecha</v>
      </c>
      <c r="L118" s="8" t="s">
        <v>1199</v>
      </c>
      <c r="M118" s="8">
        <v>2000000</v>
      </c>
      <c r="N118" s="4" t="s">
        <v>197</v>
      </c>
      <c r="O118" s="4" t="s">
        <v>1618</v>
      </c>
      <c r="P118" s="4" t="s">
        <v>124</v>
      </c>
      <c r="Q118" s="4" t="s">
        <v>1619</v>
      </c>
      <c r="R118" s="4" t="s">
        <v>313</v>
      </c>
      <c r="S118" s="4" t="s">
        <v>1620</v>
      </c>
      <c r="T118" s="4" t="s">
        <v>44</v>
      </c>
      <c r="U118" s="4" t="s">
        <v>1621</v>
      </c>
      <c r="V118" s="4" t="s">
        <v>1622</v>
      </c>
      <c r="W118" s="4" t="s">
        <v>1623</v>
      </c>
      <c r="X118" s="4" t="s">
        <v>1624</v>
      </c>
      <c r="Y118" s="4" t="s">
        <v>1625</v>
      </c>
      <c r="Z118" s="4" t="s">
        <v>1603</v>
      </c>
      <c r="AA118" s="4"/>
      <c r="AB118" s="6">
        <v>46238</v>
      </c>
      <c r="AC118" s="4" t="s">
        <v>1626</v>
      </c>
      <c r="AD118" s="4" t="s">
        <v>1627</v>
      </c>
    </row>
    <row r="119" spans="1:30" ht="128.25" customHeight="1">
      <c r="A119" s="4" t="s">
        <v>1628</v>
      </c>
      <c r="B119" s="4" t="s">
        <v>54</v>
      </c>
      <c r="C119" s="4" t="s">
        <v>1629</v>
      </c>
      <c r="D119" s="4" t="s">
        <v>1630</v>
      </c>
      <c r="E119" s="4" t="s">
        <v>139</v>
      </c>
      <c r="F119" s="4" t="s">
        <v>1136</v>
      </c>
      <c r="G119" s="6"/>
      <c r="H119" s="4" t="s">
        <v>57</v>
      </c>
      <c r="I119" s="4" t="s">
        <v>58</v>
      </c>
      <c r="J119" s="4" t="s">
        <v>38</v>
      </c>
      <c r="K119" s="4" t="str">
        <f t="shared" ref="K119:K127" ca="1" si="3">IF(J119="Cerrada","Cerrada",IF(J119="Suspendida","Suspendida",IF(G119="","Sin fecha",IF(G119&lt;TODAY(),"Vencida",IF(G119-TODAY()&lt;=30,"Próxima a vencer","Abierta")))))</f>
        <v>Sin fecha</v>
      </c>
      <c r="L119" s="8" t="s">
        <v>1199</v>
      </c>
      <c r="M119" s="8">
        <v>4000000</v>
      </c>
      <c r="N119" s="4" t="s">
        <v>197</v>
      </c>
      <c r="O119" s="4" t="s">
        <v>1631</v>
      </c>
      <c r="P119" s="4" t="s">
        <v>242</v>
      </c>
      <c r="Q119" s="4" t="s">
        <v>1632</v>
      </c>
      <c r="R119" s="4" t="s">
        <v>379</v>
      </c>
      <c r="S119" s="4" t="s">
        <v>1633</v>
      </c>
      <c r="T119" s="4" t="s">
        <v>44</v>
      </c>
      <c r="U119" s="4" t="s">
        <v>1634</v>
      </c>
      <c r="V119" s="4" t="s">
        <v>1635</v>
      </c>
      <c r="W119" s="4" t="s">
        <v>1636</v>
      </c>
      <c r="X119" s="4" t="s">
        <v>1637</v>
      </c>
      <c r="Y119" s="4" t="s">
        <v>1638</v>
      </c>
      <c r="Z119" s="4" t="s">
        <v>1639</v>
      </c>
      <c r="AA119" s="4"/>
      <c r="AB119" s="6">
        <v>46238</v>
      </c>
      <c r="AC119" s="4" t="s">
        <v>1640</v>
      </c>
      <c r="AD119" s="4" t="s">
        <v>1641</v>
      </c>
    </row>
    <row r="120" spans="1:30" ht="128.25" customHeight="1">
      <c r="A120" s="4" t="s">
        <v>1642</v>
      </c>
      <c r="B120" s="4" t="s">
        <v>54</v>
      </c>
      <c r="C120" s="4" t="s">
        <v>1643</v>
      </c>
      <c r="D120" s="4" t="s">
        <v>1644</v>
      </c>
      <c r="E120" s="4" t="s">
        <v>139</v>
      </c>
      <c r="F120" s="4" t="s">
        <v>1136</v>
      </c>
      <c r="G120" s="6"/>
      <c r="H120" s="4" t="s">
        <v>57</v>
      </c>
      <c r="I120" s="4" t="s">
        <v>377</v>
      </c>
      <c r="J120" s="4" t="s">
        <v>38</v>
      </c>
      <c r="K120" s="4" t="str">
        <f t="shared" ca="1" si="3"/>
        <v>Sin fecha</v>
      </c>
      <c r="L120" s="8">
        <v>500000</v>
      </c>
      <c r="M120" s="8">
        <v>2000000</v>
      </c>
      <c r="N120" s="4" t="s">
        <v>197</v>
      </c>
      <c r="O120" s="4" t="s">
        <v>1415</v>
      </c>
      <c r="P120" s="4" t="s">
        <v>124</v>
      </c>
      <c r="Q120" s="4" t="s">
        <v>1645</v>
      </c>
      <c r="R120" s="4" t="s">
        <v>313</v>
      </c>
      <c r="S120" s="4" t="s">
        <v>1646</v>
      </c>
      <c r="T120" s="4" t="s">
        <v>44</v>
      </c>
      <c r="U120" s="4" t="s">
        <v>1647</v>
      </c>
      <c r="V120" s="4" t="s">
        <v>1648</v>
      </c>
      <c r="W120" s="4" t="s">
        <v>1649</v>
      </c>
      <c r="X120" s="4" t="s">
        <v>1650</v>
      </c>
      <c r="Y120" s="4" t="s">
        <v>1651</v>
      </c>
      <c r="Z120" s="4" t="s">
        <v>1652</v>
      </c>
      <c r="AA120" s="4"/>
      <c r="AB120" s="6">
        <v>46238</v>
      </c>
      <c r="AC120" s="4" t="s">
        <v>1653</v>
      </c>
      <c r="AD120" s="4" t="s">
        <v>1654</v>
      </c>
    </row>
    <row r="121" spans="1:30" ht="128.25" customHeight="1">
      <c r="A121" s="4" t="s">
        <v>1655</v>
      </c>
      <c r="B121" s="4" t="s">
        <v>54</v>
      </c>
      <c r="C121" s="4" t="s">
        <v>1656</v>
      </c>
      <c r="D121" s="4" t="s">
        <v>1657</v>
      </c>
      <c r="E121" s="4" t="s">
        <v>121</v>
      </c>
      <c r="F121" s="4" t="s">
        <v>1136</v>
      </c>
      <c r="G121" s="6"/>
      <c r="H121" s="4" t="s">
        <v>57</v>
      </c>
      <c r="I121" s="4" t="s">
        <v>87</v>
      </c>
      <c r="J121" s="4" t="s">
        <v>38</v>
      </c>
      <c r="K121" s="4" t="str">
        <f t="shared" ca="1" si="3"/>
        <v>Sin fecha</v>
      </c>
      <c r="L121" s="8" t="s">
        <v>1199</v>
      </c>
      <c r="M121" s="8" t="s">
        <v>1199</v>
      </c>
      <c r="N121" s="4" t="s">
        <v>197</v>
      </c>
      <c r="O121" s="4" t="s">
        <v>1658</v>
      </c>
      <c r="P121" s="4" t="s">
        <v>124</v>
      </c>
      <c r="Q121" s="4" t="s">
        <v>1659</v>
      </c>
      <c r="R121" s="4" t="s">
        <v>313</v>
      </c>
      <c r="S121" s="4" t="s">
        <v>1660</v>
      </c>
      <c r="T121" s="4" t="s">
        <v>44</v>
      </c>
      <c r="U121" s="4" t="s">
        <v>1661</v>
      </c>
      <c r="V121" s="4" t="s">
        <v>1662</v>
      </c>
      <c r="W121" s="4" t="s">
        <v>1663</v>
      </c>
      <c r="X121" s="4" t="s">
        <v>1664</v>
      </c>
      <c r="Y121" s="4" t="s">
        <v>1665</v>
      </c>
      <c r="Z121" s="4" t="s">
        <v>1666</v>
      </c>
      <c r="AA121" s="4"/>
      <c r="AB121" s="6">
        <v>46238</v>
      </c>
      <c r="AC121" s="4" t="s">
        <v>1667</v>
      </c>
      <c r="AD121" s="4" t="s">
        <v>1668</v>
      </c>
    </row>
    <row r="122" spans="1:30" ht="128.25">
      <c r="A122" s="4" t="s">
        <v>1681</v>
      </c>
      <c r="B122" s="4" t="s">
        <v>54</v>
      </c>
      <c r="C122" s="4" t="s">
        <v>1669</v>
      </c>
      <c r="D122" s="4" t="s">
        <v>1670</v>
      </c>
      <c r="E122" s="4" t="s">
        <v>121</v>
      </c>
      <c r="F122" s="4" t="s">
        <v>122</v>
      </c>
      <c r="G122" s="6">
        <v>46277</v>
      </c>
      <c r="H122" s="4" t="s">
        <v>36</v>
      </c>
      <c r="I122" s="4" t="s">
        <v>58</v>
      </c>
      <c r="J122" s="4" t="s">
        <v>38</v>
      </c>
      <c r="K122" s="4" t="str">
        <f t="shared" ca="1" si="3"/>
        <v>Próxima a vencer</v>
      </c>
      <c r="L122" s="8">
        <v>2000</v>
      </c>
      <c r="M122" s="8">
        <v>2000</v>
      </c>
      <c r="N122" s="4" t="s">
        <v>39</v>
      </c>
      <c r="O122" s="4" t="s">
        <v>1671</v>
      </c>
      <c r="P122" s="4" t="s">
        <v>185</v>
      </c>
      <c r="Q122" s="4" t="s">
        <v>1672</v>
      </c>
      <c r="R122" s="4" t="s">
        <v>271</v>
      </c>
      <c r="S122" s="4" t="s">
        <v>1673</v>
      </c>
      <c r="T122" s="4" t="s">
        <v>1199</v>
      </c>
      <c r="U122" s="4" t="s">
        <v>1674</v>
      </c>
      <c r="V122" s="4" t="s">
        <v>1675</v>
      </c>
      <c r="W122" s="4" t="s">
        <v>1676</v>
      </c>
      <c r="X122" s="4" t="s">
        <v>1677</v>
      </c>
      <c r="Y122" s="4" t="s">
        <v>1678</v>
      </c>
      <c r="Z122" s="4" t="s">
        <v>1679</v>
      </c>
      <c r="AA122" s="4"/>
      <c r="AB122" s="6">
        <v>46253</v>
      </c>
      <c r="AC122" s="4" t="s">
        <v>1670</v>
      </c>
      <c r="AD122" s="4" t="s">
        <v>1680</v>
      </c>
    </row>
    <row r="123" spans="1:30" ht="128.25">
      <c r="A123" s="4" t="str">
        <f t="shared" ref="A123:A128" si="4">IF(C123="","","OP-"&amp;TEXT(ROW()-1,"0000"))</f>
        <v>OP-0122</v>
      </c>
      <c r="B123" s="4" t="s">
        <v>54</v>
      </c>
      <c r="C123" s="4" t="s">
        <v>1682</v>
      </c>
      <c r="D123" s="4" t="s">
        <v>1683</v>
      </c>
      <c r="E123" s="4" t="s">
        <v>139</v>
      </c>
      <c r="F123" s="4" t="s">
        <v>1684</v>
      </c>
      <c r="G123" s="6">
        <v>46308</v>
      </c>
      <c r="H123" s="4" t="s">
        <v>36</v>
      </c>
      <c r="I123" s="4" t="s">
        <v>87</v>
      </c>
      <c r="J123" s="4" t="s">
        <v>38</v>
      </c>
      <c r="K123" s="4" t="str">
        <f t="shared" ca="1" si="3"/>
        <v>Abierta</v>
      </c>
      <c r="L123" s="8"/>
      <c r="M123" s="8">
        <v>300000000</v>
      </c>
      <c r="N123" s="4" t="s">
        <v>1200</v>
      </c>
      <c r="O123" s="4" t="s">
        <v>1685</v>
      </c>
      <c r="P123" s="4" t="s">
        <v>142</v>
      </c>
      <c r="Q123" s="4" t="s">
        <v>286</v>
      </c>
      <c r="R123" s="4" t="s">
        <v>313</v>
      </c>
      <c r="S123" s="4" t="s">
        <v>1686</v>
      </c>
      <c r="T123" s="4" t="s">
        <v>1687</v>
      </c>
      <c r="U123" s="4" t="s">
        <v>1688</v>
      </c>
      <c r="V123" s="4" t="s">
        <v>1689</v>
      </c>
      <c r="W123" s="4" t="s">
        <v>1690</v>
      </c>
      <c r="X123" s="4" t="s">
        <v>1691</v>
      </c>
      <c r="Y123" s="4" t="s">
        <v>1692</v>
      </c>
      <c r="Z123" s="4" t="s">
        <v>1693</v>
      </c>
      <c r="AA123" s="4"/>
      <c r="AB123" s="6">
        <v>46261</v>
      </c>
      <c r="AC123" s="4" t="s">
        <v>1694</v>
      </c>
      <c r="AD123" s="4" t="s">
        <v>1695</v>
      </c>
    </row>
    <row r="124" spans="1:30" ht="128.25">
      <c r="A124" s="4" t="str">
        <f t="shared" si="4"/>
        <v>OP-0123</v>
      </c>
      <c r="B124" s="4" t="s">
        <v>54</v>
      </c>
      <c r="C124" s="4" t="s">
        <v>1696</v>
      </c>
      <c r="D124" s="4" t="s">
        <v>1683</v>
      </c>
      <c r="E124" s="4" t="s">
        <v>139</v>
      </c>
      <c r="F124" s="4" t="s">
        <v>1684</v>
      </c>
      <c r="G124" s="6">
        <v>46308</v>
      </c>
      <c r="H124" s="4" t="s">
        <v>36</v>
      </c>
      <c r="I124" s="4" t="s">
        <v>87</v>
      </c>
      <c r="J124" s="4" t="s">
        <v>38</v>
      </c>
      <c r="K124" s="4" t="str">
        <f t="shared" ca="1" si="3"/>
        <v>Abierta</v>
      </c>
      <c r="L124" s="8"/>
      <c r="M124" s="8">
        <v>300000000</v>
      </c>
      <c r="N124" s="4" t="s">
        <v>1200</v>
      </c>
      <c r="O124" s="4" t="s">
        <v>1685</v>
      </c>
      <c r="P124" s="4" t="s">
        <v>142</v>
      </c>
      <c r="Q124" s="4" t="s">
        <v>286</v>
      </c>
      <c r="R124" s="4" t="s">
        <v>313</v>
      </c>
      <c r="S124" s="4" t="s">
        <v>1686</v>
      </c>
      <c r="T124" s="4" t="s">
        <v>1687</v>
      </c>
      <c r="U124" s="4" t="s">
        <v>1697</v>
      </c>
      <c r="V124" s="4" t="s">
        <v>1698</v>
      </c>
      <c r="W124" s="4" t="s">
        <v>1699</v>
      </c>
      <c r="X124" s="4" t="s">
        <v>1691</v>
      </c>
      <c r="Y124" s="4" t="s">
        <v>1692</v>
      </c>
      <c r="Z124" s="4" t="s">
        <v>1693</v>
      </c>
      <c r="AA124" s="4"/>
      <c r="AB124" s="6">
        <v>46261</v>
      </c>
      <c r="AC124" s="4" t="s">
        <v>1694</v>
      </c>
      <c r="AD124" s="4" t="s">
        <v>1700</v>
      </c>
    </row>
    <row r="125" spans="1:30" ht="128.25">
      <c r="A125" s="4" t="str">
        <f t="shared" si="4"/>
        <v>OP-0124</v>
      </c>
      <c r="B125" s="4" t="s">
        <v>54</v>
      </c>
      <c r="C125" s="4" t="s">
        <v>1701</v>
      </c>
      <c r="D125" s="4" t="s">
        <v>1683</v>
      </c>
      <c r="E125" s="4" t="s">
        <v>139</v>
      </c>
      <c r="F125" s="4" t="s">
        <v>1684</v>
      </c>
      <c r="G125" s="6">
        <v>46308</v>
      </c>
      <c r="H125" s="4" t="s">
        <v>36</v>
      </c>
      <c r="I125" s="4" t="s">
        <v>87</v>
      </c>
      <c r="J125" s="4" t="s">
        <v>38</v>
      </c>
      <c r="K125" s="4" t="str">
        <f t="shared" ca="1" si="3"/>
        <v>Abierta</v>
      </c>
      <c r="L125" s="8"/>
      <c r="M125" s="8">
        <v>300000000</v>
      </c>
      <c r="N125" s="4" t="s">
        <v>1200</v>
      </c>
      <c r="O125" s="4" t="s">
        <v>1685</v>
      </c>
      <c r="P125" s="4" t="s">
        <v>142</v>
      </c>
      <c r="Q125" s="4" t="s">
        <v>286</v>
      </c>
      <c r="R125" s="4" t="s">
        <v>313</v>
      </c>
      <c r="S125" s="4" t="s">
        <v>1686</v>
      </c>
      <c r="T125" s="4" t="s">
        <v>1687</v>
      </c>
      <c r="U125" s="4" t="s">
        <v>1702</v>
      </c>
      <c r="V125" s="4" t="s">
        <v>1703</v>
      </c>
      <c r="W125" s="4" t="s">
        <v>1704</v>
      </c>
      <c r="X125" s="4" t="s">
        <v>1691</v>
      </c>
      <c r="Y125" s="4" t="s">
        <v>1692</v>
      </c>
      <c r="Z125" s="4" t="s">
        <v>1693</v>
      </c>
      <c r="AA125" s="4"/>
      <c r="AB125" s="6">
        <v>46261</v>
      </c>
      <c r="AC125" s="4" t="s">
        <v>1694</v>
      </c>
      <c r="AD125" s="4" t="s">
        <v>1705</v>
      </c>
    </row>
    <row r="126" spans="1:30">
      <c r="A126" s="4" t="str">
        <f t="shared" si="4"/>
        <v/>
      </c>
      <c r="B126" s="4"/>
      <c r="C126" s="4"/>
      <c r="D126" s="4"/>
      <c r="E126" s="4"/>
      <c r="F126" s="4"/>
      <c r="G126" s="6"/>
      <c r="H126" s="4"/>
      <c r="I126" s="4"/>
      <c r="J126" s="4"/>
      <c r="K126" s="4" t="str">
        <f t="shared" ca="1" si="3"/>
        <v>Sin fecha</v>
      </c>
      <c r="L126" s="8"/>
      <c r="M126" s="8"/>
      <c r="N126" s="4"/>
      <c r="O126" s="4"/>
      <c r="P126" s="4"/>
      <c r="Q126" s="4"/>
      <c r="R126" s="4"/>
      <c r="S126" s="4"/>
      <c r="T126" s="4"/>
      <c r="U126" s="4"/>
      <c r="V126" s="4"/>
      <c r="W126" s="4"/>
      <c r="X126" s="4"/>
      <c r="Y126" s="4"/>
      <c r="Z126" s="4"/>
      <c r="AA126" s="4"/>
      <c r="AB126" s="6"/>
      <c r="AC126" s="4"/>
      <c r="AD126" s="4"/>
    </row>
    <row r="127" spans="1:30">
      <c r="A127" s="4" t="str">
        <f t="shared" si="4"/>
        <v/>
      </c>
      <c r="B127" s="4"/>
      <c r="C127" s="4"/>
      <c r="D127" s="4"/>
      <c r="E127" s="4"/>
      <c r="F127" s="4"/>
      <c r="G127" s="6"/>
      <c r="H127" s="4"/>
      <c r="I127" s="4"/>
      <c r="J127" s="4"/>
      <c r="K127" s="4" t="str">
        <f t="shared" ca="1" si="3"/>
        <v>Sin fecha</v>
      </c>
      <c r="L127" s="8"/>
      <c r="M127" s="8"/>
      <c r="N127" s="4"/>
      <c r="O127" s="4"/>
      <c r="P127" s="4"/>
      <c r="Q127" s="4"/>
      <c r="R127" s="4"/>
      <c r="S127" s="4"/>
      <c r="T127" s="4"/>
      <c r="U127" s="4"/>
      <c r="V127" s="4"/>
      <c r="W127" s="4"/>
      <c r="X127" s="4"/>
      <c r="Y127" s="4"/>
      <c r="Z127" s="4"/>
      <c r="AA127" s="4"/>
      <c r="AB127" s="6"/>
      <c r="AC127" s="4"/>
      <c r="AD127" s="4"/>
    </row>
    <row r="128" spans="1:30">
      <c r="A128" s="4" t="str">
        <f t="shared" si="4"/>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2026-08-27T19:18:23Z</dcterms:modified>
</cp:coreProperties>
</file>