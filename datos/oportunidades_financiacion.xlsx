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32" documentId="8_{C14D6F09-1B93-462F-AA33-5EAA9B55F73B}" xr6:coauthVersionLast="36" xr6:coauthVersionMax="36" xr10:uidLastSave="{716BFF34-97FB-4140-B0C5-D16B879C4288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<sst xmlns="http://schemas.openxmlformats.org/spreadsheetml/2006/main" count="3904" uniqueCount="1127">
  <si>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</si>
  <si>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</si>
  <si>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</si>
  <si>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</si>
  <si>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</si>
  <si>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</si>
  <si>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</si>
  <si>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</si>
  <si>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</si>
  <si>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</si>
  <si>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</si>
  <si>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</si>
  <si>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</si>
  <si>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</si>
  <si>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</si>
  <si>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</si>
  <si>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</si>
  <si>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</si>
  <si>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</si>
  <si>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</si>
  <si>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</si>
  <si>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</si>
  <si>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</si>
  <si>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</si>
  <si>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</si>
  <si>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</si>
  <si>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</si>
  <si>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</si>
  <si>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</si>
  <si>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</si>
  <si>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</si>
  <si>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</si>
  <si>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</si>
  <si>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</si>
  <si>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</si>
  <si>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</si>
  <si>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</si>
  <si>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</si>
  <si>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</si>
  <si>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</si>
  <si>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</si>
  <si>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</si>
  <si>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</si>
  <si>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</si>
  <si>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</si>
  <si>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</si>
  <si>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</si>
  <si>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</si>
  <si>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</si>
  <si>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</si>
  <si>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</si>
  <si>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</si>
  <si>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</si>
  <si>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</si>
  <si>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</si>
  <si>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</si>
  <si>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</si>
  <si>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</si>
  <si>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</si>
  <si>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</si>
  <si>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</si>
  <si>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</si>
  <si>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</si>
  <si>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</si>
  <si>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</si>
  <si>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</si>
  <si>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</si>
  <si>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</si>
  <si>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</si>
  <si>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</si>
  <si>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</si>
  <si>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</si>
  <si>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</si>
  <si>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</si>
  <si>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</si>
  <si>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</si>
  <si>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</si>
  <si>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</si>
  <si>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</si>
  <si>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</si>
  <si>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</si>
  <si>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</si>
  <si>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</si>
  <si>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</si>
  <si>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</si>
  <si>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</si>
  <si>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</si>
  <si>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</si>
  <si>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</si>
  <si>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</si>
  <si>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</si>
  <si>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</si>
  <si>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</si>
  <si>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</si>
  <si>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</si>
  <si>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</si>
  <si>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</si>
  <si>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</si>
  <si>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</si>
  <si>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</si>
  <si>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</si>
  <si>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</si>
  <si>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</si>
  <si>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</si>
  <si>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</si>
  <si>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</si>
  <si>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</si>
  <si>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</si>
  <si>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</si>
  <si>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</si>
  <si>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</si>
  <si>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</si>
  <si>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</si>
  <si>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</si>
  <si>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</si>
  <si>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</si>
  <si>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</si>
  <si>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</si>
  <si>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</si>
  <si>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</si>
  <si>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</si>
  <si>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</si>
  <si>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</si>
  <si>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</si>
  <si>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</si>
  <si>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</si>
  <si>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</si>
  <si>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</si>
  <si>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</si>
  <si>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</si>
  <si>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</si>
  <si>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</si>
  <si>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</si>
  <si>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</si>
  <si>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</si>
  <si>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</si>
  <si>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</si>
  <si>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</si>
  <si>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</si>
  <si>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</si>
  <si>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</si>
  <si>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</si>
  <si>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</si>
  <si>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</si>
  <si>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</si>
  <si>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</si>
  <si>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</si>
  <si>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</si>
  <si>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</si>
  <si>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</si>
  <si>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</si>
  <si>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</si>
  <si>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</si>
  <si>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</si>
  <si>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</si>
  <si>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</si>
  <si>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</si>
  <si>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</si>
  <si>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</si>
  <si>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</si>
  <si>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</si>
  <si>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</si>
  <si>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</si>
  <si>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</si>
  <si>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</si>
  <si>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</si>
  <si>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</si>
  <si>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</si>
  <si>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</si>
  <si>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</si>
  <si>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</si>
  <si>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</si>
  <si>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</si>
  <si>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</si>
  <si>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</si>
  <si>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</si>
  <si>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</si>
  <si>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</si>
  <si>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</si>
  <si>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</si>
  <si>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</si>
  <si>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</si>
  <si>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</si>
  <si>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</si>
  <si>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</si>
  <si>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</si>
  <si>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</si>
  <si>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</si>
  <si>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</si>
  <si>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</si>
  <si>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</si>
  <si>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</si>
  <si>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</si>
  <si>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</si>
  <si>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</si>
  <si>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</si>
  <si>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</si>
  <si>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</si>
  <si>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</si>
  <si>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</si>
  <si>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</si>
  <si>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</si>
  <si>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</si>
  <si>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</si>
  <si>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</si>
  <si>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</si>
  <si>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</si>
  <si>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</si>
  <si>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</si>
  <si>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</si>
  <si>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</si>
  <si>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</si>
  <si>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</si>
  <si>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</si>
  <si>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</si>
  <si>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</si>
  <si>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</si>
  <si>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</si>
  <si>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</si>
  <si>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</si>
  <si>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</si>
  <si>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</si>
  <si>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</si>
  <si>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</si>
  <si>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</si>
  <si>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</si>
  <si>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</si>
  <si>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</si>
  <si>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</si>
  <si>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</si>
  <si>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</si>
  <si>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</si>
  <si>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</si>
  <si>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</si>
  <si>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</si>
  <si>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</si>
  <si>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</si>
  <si>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</si>
  <si>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</si>
  <si>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</si>
  <si>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</si>
  <si>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</si>
  <si>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</si>
  <si>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</si>
  <si>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</si>
  <si>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</si>
  <si>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</si>
  <si>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</si>
  <si>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</si>
  <si>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</si>
  <si>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</si>
  <si>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</si>
  <si>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</si>
  <si>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</si>
  <si>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</si>
  <si>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</si>
  <si>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</si>
  <si>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</si>
  <si>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</si>
  <si>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</si>
  <si>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</si>
  <si>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</si>
  <si>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</si>
  <si>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</si>
  <si>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</si>
  <si>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</si>
  <si>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</si>
  <si>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</si>
  <si>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</si>
  <si>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</si>
  <si>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</si>
  <si>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</si>
  <si>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</si>
  <si>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</si>
  <si>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</si>
  <si>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</si>
  <si>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</si>
  <si>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</si>
  <si>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</si>
  <si>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</si>
  <si>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</si>
  <si>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</si>
  <si>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</si>
  <si>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</si>
  <si>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</si>
  <si>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</si>
  <si>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</si>
  <si>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</si>
  <si>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</si>
  <si>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</si>
  <si>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</si>
  <si>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</si>
  <si>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</si>
  <si>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</si>
  <si>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</si>
  <si>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</si>
  <si>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</si>
  <si>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</si>
  <si>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</si>
  <si>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</si>
  <si>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</si>
  <si>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</si>
  <si>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</si>
  <si>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</si>
  <si>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</si>
  <si>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</si>
  <si>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</si>
  <si>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</si>
  <si>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</si>
  <si>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</si>
  <si>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</si>
  <si>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</si>
  <si>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</si>
  <si>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</si>
  <si>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</si>
  <si>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</si>
  <si>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</si>
  <si>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</si>
  <si>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</si>
  <si>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</si>
  <si>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</si>
  <si>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</si>
  <si>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</si>
  <si>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</si>
  <si>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</si>
  <si>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</si>
  <si>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</si>
  <si>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</si>
  <si>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</si>
  <si>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</si>
  <si>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</si>
  <si>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</si>
  <si>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</si>
  <si>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</si>
  <si>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</si>
  <si>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</si>
  <si>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</si>
  <si>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</si>
  <si>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</si>
  <si>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</si>
  <si>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</si>
  <si>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</si>
  <si>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</si>
  <si>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</si>
  <si>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</si>
  <si>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</si>
  <si>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</si>
  <si>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</si>
  <si>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</si>
  <si>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</si>
  <si>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</si>
  <si>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</si>
  <si>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</si>
  <si>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</si>
  <si>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</si>
  <si>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</si>
  <si>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</si>
  <si>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</si>
  <si>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</si>
  <si>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</si>
  <si>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</si>
  <si>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</si>
  <si>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</si>
  <si>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</si>
  <si>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</si>
  <si>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</si>
  <si>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</si>
  <si>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</si>
  <si>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</si>
  <si>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</si>
  <si>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</si>
  <si>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</si>
  <si>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</si>
  <si>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</si>
  <si>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</si>
  <si>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</si>
  <si>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</si>
  <si>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</si>
  <si>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</si>
  <si>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</si>
  <si>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</si>
  <si>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</si>
  <si>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</si>
  <si>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</si>
  <si>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</si>
  <si>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</si>
  <si>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</si>
  <si>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</si>
  <si>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</si>
  <si>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</si>
  <si>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</si>
  <si>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</si>
  <si>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</si>
  <si>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</si>
  <si>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</si>
  <si>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</si>
  <si>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</si>
  <si>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</si>
  <si>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</si>
  <si>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</si>
  <si>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</si>
  <si>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</si>
  <si>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</si>
  <si>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</si>
  <si>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</si>
  <si>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</si>
  <si>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</si>
  <si>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</si>
  <si>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</si>
  <si>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</si>
  <si>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</si>
  <si>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</si>
  <si>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</si>
  <si>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</si>
  <si>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</si>
  <si>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</si>
  <si>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</si>
  <si>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</si>
  <si>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</si>
  <si>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</si>
  <si>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</si>
  <si>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</si>
  <si>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</si>
  <si>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</si>
  <si>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</si>
  <si>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</si>
  <si>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</si>
  <si>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</si>
  <si>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</si>
  <si>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</si>
  <si>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</si>
  <si>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</si>
  <si>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</si>
  <si>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</si>
  <si>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</si>
  <si>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</si>
  <si>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</si>
  <si>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</si>
  <si>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</si>
  <si>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</si>
  <si>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</si>
  <si>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</si>
  <si>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</si>
  <si>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</si>
  <si>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</si>
  <si>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</si>
  <si>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</si>
  <si>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</si>
  <si>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</si>
  <si>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</si>
  <si>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</si>
  <si>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</si>
  <si>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</si>
  <si>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</si>
  <si>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</si>
  <si>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</si>
  <si>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</si>
  <si>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</si>
  <si>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</si>
  <si>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</si>
  <si>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</si>
  <si>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</si>
  <si>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</si>
  <si>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</si>
  <si>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</si>
  <si>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</si>
  <si>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</si>
  <si>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</si>
  <si>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</si>
  <si>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</si>
  <si>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</si>
  <si>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</si>
  <si>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</si>
  <si>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</si>
  <si>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</si>
  <si>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</si>
  <si>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</si>
  <si>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</si>
  <si>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</si>
  <si>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</si>
  <si>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</si>
  <si>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</si>
  <si>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</si>
  <si>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</si>
  <si>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</si>
  <si>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</si>
  <si>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</si>
  <si>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</si>
  <si>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</si>
  <si>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</si>
  <si>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</si>
  <si>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</si>
  <si>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</si>
  <si>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</si>
  <si>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</si>
  <si>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</si>
  <si>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</si>
  <si>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</si>
  <si>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</si>
  <si>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</si>
  <si>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</si>
  <si>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</si>
  <si>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</si>
  <si>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</si>
  <si>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</si>
  <si>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</si>
  <si>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</si>
  <si>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</si>
  <si>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</si>
  <si>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</si>
  <si>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</si>
  <si>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</si>
  <si>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</si>
  <si>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</si>
  <si>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</si>
  <si>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</si>
  <si>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</si>
  <si>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</si>
  <si>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</si>
  <si>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</si>
  <si>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</si>
  <si>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</si>
  <si>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</si>
  <si>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</si>
  <si>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</si>
  <si>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</si>
  <si>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</si>
  <si>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</si>
  <si>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</si>
  <si>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</si>
  <si>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</si>
  <si>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</si>
  <si>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</si>
  <si>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</si>
  <si>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</si>
  <si>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</si>
  <si>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</si>
  <si>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</si>
  <si>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</si>
  <si>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</si>
  <si>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</si>
  <si>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</si>
  <si>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</si>
  <si>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</si>
  <si>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</si>
  <si>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</si>
  <si>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</si>
  <si>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</si>
  <si>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</si>
  <si>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</si>
  <si>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</si>
  <si>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</si>
  <si>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</si>
  <si>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</si>
  <si>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</si>
  <si>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</si>
  <si>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</si>
  <si>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</si>
  <si>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</si>
  <si>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</si>
  <si>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</si>
  <si>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</si>
  <si>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</si>
  <si>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</si>
  <si>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</si>
  <si>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</si>
  <si>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</si>
  <si>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</si>
  <si>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</si>
  <si>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</si>
  <si>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</si>
  <si>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</si>
  <si>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</si>
  <si>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</si>
  <si>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</si>
  <si>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</si>
  <si>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</si>
  <si>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</si>
  <si>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</si>
  <si>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</si>
  <si>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</si>
  <si>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</si>
  <si>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</si>
  <si>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</si>
  <si>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</si>
  <si>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</si>
  <si>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</si>
  <si>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</si>
  <si>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</si>
  <si>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</si>
  <si>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</si>
  <si>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</si>
  <si>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</si>
  <si>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</si>
  <si>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</si>
  <si>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</si>
  <si>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</si>
  <si>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</si>
  <si>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</si>
  <si>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</si>
  <si>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</si>
  <si>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</si>
  <si>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</si>
  <si>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</si>
  <si>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</si>
  <si>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</si>
  <si>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</si>
  <si>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</si>
  <si>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</si>
  <si>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</si>
  <si>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</si>
  <si>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</si>
  <si>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</si>
  <si>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</si>
  <si>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</si>
  <si>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</si>
  <si>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</si>
  <si>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</si>
  <si>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</si>
  <si>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</si>
  <si>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</si>
  <si>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</si>
  <si>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</si>
  <si>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</si>
  <si>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</si>
  <si>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</si>
  <si>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</si>
  <si>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</si>
  <si>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</si>
  <si>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</si>
  <si>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</si>
  <si>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</si>
  <si>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</si>
  <si>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</si>
  <si>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</si>
  <si>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</si>
  <si>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</si>
  <si>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</si>
  <si>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</si>
  <si>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</si>
  <si>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</si>
  <si>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</si>
  <si>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</si>
  <si>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</si>
  <si>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</si>
  <si>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</si>
  <si>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</si>
  <si>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</si>
  <si>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</si>
  <si>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</si>
  <si>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</si>
  <si>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</si>
  <si>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</si>
  <si>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</si>
  <si>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</si>
  <si>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</si>
  <si>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</si>
  <si>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</si>
  <si>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</si>
  <si>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</si>
  <si>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</si>
  <si>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</si>
  <si>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</si>
  <si>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</si>
  <si>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</si>
  <si>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</si>
  <si>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</si>
  <si>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</si>
  <si>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</si>
  <si>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</si>
  <si>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</si>
  <si>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</si>
  <si>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</si>
  <si>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</si>
  <si>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</si>
  <si>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</si>
  <si>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</si>
  <si>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</si>
  <si>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</si>
  <si>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</si>
  <si>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</si>
  <si>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</si>
  <si>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</si>
  <si>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</si>
  <si>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</si>
  <si>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</si>
  <si>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</si>
  <si>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</si>
  <si>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</si>
  <si>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</si>
  <si>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</si>
  <si>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</si>
  <si>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</si>
  <si>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</si>
  <si>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</si>
  <si>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</si>
  <si>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</si>
  <si>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</si>
  <si>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</si>
  <si>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</si>
  <si>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</si>
  <si>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</si>
  <si>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</si>
  <si>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</si>
  <si>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</si>
  <si>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</si>
  <si>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</si>
  <si>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</si>
  <si>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</si>
  <si>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</si>
  <si>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</si>
  <si>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</si>
  <si>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</si>
  <si>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</si>
  <si>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</si>
  <si>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</si>
  <si>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</si>
  <si>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</si>
  <si>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</si>
  <si>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</si>
  <si>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</si>
  <si>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</si>
  <si>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</si>
  <si>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</si>
  <si>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</si>
  <si>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</si>
  <si>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</si>
  <si>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</si>
  <si>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</si>
  <si>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</si>
  <si>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</si>
  <si>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</si>
  <si>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</si>
  <si>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</si>
  <si>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</si>
  <si>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</si>
  <si>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</si>
  <si>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</si>
  <si>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</si>
  <si>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</si>
  <si>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</si>
  <si>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</si>
  <si>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</si>
  <si>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</si>
  <si>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</si>
  <si>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</si>
  <si>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</si>
  <si>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</si>
  <si>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</si>
  <si>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</si>
  <si>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</si>
  <si>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</si>
  <si>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</si>
  <si>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</si>
  <si>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</si>
  <si>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</si>
  <si>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</si>
  <si>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</si>
  <si>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</si>
  <si>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</si>
  <si>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</si>
  <si>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</si>
  <si>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</si>
  <si>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</si>
  <si>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</si>
  <si>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</si>
  <si>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</si>
  <si>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</si>
  <si>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</si>
  <si>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</si>
  <si>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</si>
  <si>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</si>
  <si>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</si>
  <si>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</si>
  <si>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</si>
  <si>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</si>
  <si>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</si>
  <si>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</si>
  <si>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</si>
  <si>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</si>
  <si>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</si>
  <si>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</si>
  <si>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</si>
  <si>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</si>
  <si>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</si>
  <si>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</si>
  <si>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</si>
  <si>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</si>
  <si>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</si>
  <si>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</si>
  <si>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</si>
  <si>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</si>
  <si>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</si>
  <si>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</si>
  <si>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</si>
  <si>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</si>
  <si>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</si>
  <si>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</si>
  <si>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</si>
  <si>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</si>
  <si>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</si>
  <si>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</si>
  <si>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</si>
  <si>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</si>
  <si>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</si>
  <si>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</si>
  <si>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</si>
  <si>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</si>
  <si>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</si>
  <si>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</si>
  <si>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</si>
  <si>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</si>
  <si>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</si>
  <si>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</si>
  <si>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</si>
  <si>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</si>
  <si>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</si>
  <si>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</si>
  <si>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</si>
  <si>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</si>
  <si>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</si>
  <si>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</si>
  <si>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</si>
  <si>
    <t>Nestlé Foundation Research Grants</t>
  </si>
  <si>
    <t>Nestlé Foundation for the Study of Problems of Nutrition in the World</t>
  </si>
  <si>
    <t>Países de ingresos bajos y medios; República Dominicana elegible</t>
  </si>
  <si>
    <t>Nutrición materna, infantil y adolescente; seguridad nutricional</t>
  </si>
  <si>
    <t>Seguridad alimentaria; nutrición; malnutrición; salud materno-infantil; adolescentes; países de ingresos bajos y medios</t>
  </si>
  <si>
    <t>Apoya investigación aplicada e innovadora orientada a mejorar la nutrición materna, infantil y adolescente en países de ingresos bajos y medios.</t>
  </si>
  <si>
    <t>El investigador principal colaborador debe estar radicado en un país elegible y al menos 75 % del presupuesto debe ejecutarse allí. Estudiantes de maestría o doctorado pueden solicitar con supervisión.</t>
  </si>
  <si>
    <t>Carta de intención recibida de forma continua. Las propuestas completas son solo por invitación, con cortes habituales el 10 de enero y el 10 de julio. Regular: hasta USD 100,000 por año y USD 300,000 en total; Training: hasta USD 20,000 por año; Mobility: hasta USD 30,000. No financia estudios solo con animales o in vitro.</t>
  </si>
  <si>
    <t>https://www.nestlefoundation.org/research</t>
  </si>
  <si>
    <t>Nestlé Foundation; nf@nestlefoundation.org</t>
  </si>
  <si>
    <t>Alta afinidad con Nutrición, Medicina y Salud Pública de la UNPHU. República Dominicana figura dentro del universo general de países de ingresos medios.</t>
  </si>
  <si>
    <t>Seeding the Future Global Food System Challenge 2026</t>
  </si>
  <si>
    <t>Seeding The Future Foundation / Welthungerhilfe</t>
  </si>
  <si>
    <t>Según el cronograma del proyecto</t>
  </si>
  <si>
    <t>Internacional, salvo jurisdicciones sujetas a sanciones integrales</t>
  </si>
  <si>
    <t>Transformación de sistemas alimentarios</t>
  </si>
  <si>
    <t>Seguridad alimentaria; alimentos seguros y nutritivos; agricultura regenerativa; desperdicio de alimentos; acceso equitativo; innovación</t>
  </si>
  <si>
    <t>Premia innovaciones validadas que integren nutrición, sostenibilidad ambiental y acceso equitativo para transformar los sistemas alimentarios.</t>
  </si>
  <si>
    <t>Pueden participar universidades, institutos de investigación, ONG y empresas emergentes de todo el mundo. Las personas deben postular mediante una organización y se requiere prototipo o prueba de concepto.</t>
  </si>
  <si>
    <t>Próximo ciclo previsto del 15 de octubre al 15 de diciembre de 2026, sujeto a activación oficial. Seed Grants: USD 25,000; Growth Grants: USD 100,000; Grand Prizes: USD 250,000. No acepta ideas meramente teóricas.</t>
  </si>
  <si>
    <t>https://www.welthungerhilfe.org/global-food-system-challenge</t>
  </si>
  <si>
    <t>Welthungerhilfe / Seeding The Future Foundation; globalfoodsystemchallenge@welthungerhilfe.de</t>
  </si>
  <si>
    <t>La fecha 2026 se basa en el calendario recurrente publicado; confirmar la apertura efectiva antes de difundir o presentar.</t>
  </si>
  <si>
    <t>Sylvia Lane Mentor Fellowship</t>
  </si>
  <si>
    <t>Agricultural &amp; Applied Economics Association — AAEA Trust</t>
  </si>
  <si>
    <t>Según el plan de mentoría</t>
  </si>
  <si>
    <t>Sin restricción indicada</t>
  </si>
  <si>
    <t>Economía agrícola, alimentaria y de recursos</t>
  </si>
  <si>
    <t>Seguridad alimentaria; economía agrícola; políticas alimentarias; desarrollo rural; mentoría; mujeres</t>
  </si>
  <si>
    <t>Financia a mujeres en etapas iniciales de su carrera para desarrollar una colaboración de investigación y mentoría con una especialista de otra institución.</t>
  </si>
  <si>
    <t>Dirigida a mujeres en etapa inicial de carrera en economía agrícola, alimentaria o de recursos. Se prefieren nuevas relaciones de mentoría y la mentora debe pertenecer a una institución distinta.</t>
  </si>
  <si>
    <t>Requiere carta de presentación, CV, propuesta de investigación de hasta 3 páginas, recomendación, carta de intención de la mentora y presupuesto. La página menciona uso de fondos en 2026 pese al cierre de octubre; confirmar el cronograma con AAEA.</t>
  </si>
  <si>
    <t>https://www.aaea.org/trust/special-purpose-funds/sylvia-lane-mentorship-fund/call-for-applications</t>
  </si>
  <si>
    <t>https://pivot.proquest.com/funding_opps/dc186f8c-3a85-4d35-9c72-d1d75de8f0f3</t>
  </si>
  <si>
    <t>AAEA Trust; Jeanne Rhodes, jrhodes@aaea.org</t>
  </si>
  <si>
    <t>Incluida por su afinidad con seguridad alimentaria y economía agrícola; conviene validar la aparente inconsistencia temporal con AAEA.</t>
  </si>
  <si>
    <t>McCorkle Student Scholarship</t>
  </si>
  <si>
    <t>Economía agrícola y de alimentos</t>
  </si>
  <si>
    <t>Seguridad alimentaria; economía agrícola; precios; mercados; cadenas de valor; pobreza; desarrollo rural</t>
  </si>
  <si>
    <t>Apoya proyectos aplicados de estudiantes de posgrado sobre problemas económicos relacionados con la agricultura y los alimentos.</t>
  </si>
  <si>
    <t>Estudiante de posgrado con un proyecto aplicado y respaldo de su asesor o asesora académica.</t>
  </si>
  <si>
    <t>Puede cubrir recolección de datos, gastos de investigación, matrícula, cuotas, libros, suministros y equipo necesario. Requiere propuesta de hasta 5 páginas, presupuesto, carta del asesor y expediente académico. Confirmar expresamente la elegibilidad internacional.</t>
  </si>
  <si>
    <t>https://www.aaea.org/trust/special-purpose-funds/chester-o-mccorkle-jr-special-purpose-fund/mccorkle-scholarship-applications</t>
  </si>
  <si>
    <t>Adecuada para tesis de posgrado de la UNPHU; verificar con AAEA la participación de estudiantes fuera de Estados Unidos.</t>
  </si>
  <si>
    <t>Food Planet Prize</t>
  </si>
  <si>
    <t>Curt Bergfors Foundation</t>
  </si>
  <si>
    <t>Suecia</t>
  </si>
  <si>
    <t>Sistemas alimentarios sostenibles</t>
  </si>
  <si>
    <t>Seguridad alimentaria; sostenibilidad; clima; agricultura regenerativa; biodiversidad; cadenas alimentarias; innovación; escalamiento</t>
  </si>
  <si>
    <t>Reconoce iniciativas con capacidad demostrada para transformar el sistema alimentario y reducir su impacto ambiental.</t>
  </si>
  <si>
    <t>Acepta nominaciones propias o de terceros de personas y organizaciones comerciales o sin fines de lucro de cualquier país. Una iniciativa institucional de la UNPHU puede ser elegible.</t>
  </si>
  <si>
    <t>Las nominaciones se reciben durante todo el año. Como referencia del ciclo 2026, el premio principal fue de USD 1.5 millones y tres finalistas recibieron USD 150,000 cada uno; los montos de ciclos futuros no están garantizados.</t>
  </si>
  <si>
    <t>https://foodplanetprize.org/foundation/prize/nominate/</t>
  </si>
  <si>
    <t>Requiere una iniciativa validada y con potencial de impacto sistémico; no está concebido para una propuesta académica puramente teórica.</t>
  </si>
  <si>
    <t>IAFP Awards 2026</t>
  </si>
  <si>
    <t>International Association for Food Protection — IAFP</t>
  </si>
  <si>
    <t>Varía según el premio</t>
  </si>
  <si>
    <t>Inocuidad y protección de alimentos</t>
  </si>
  <si>
    <t>Inocuidad alimentaria; microbiología; enfermedades transmitidas por alimentos; laboratorio; innovación; salud pública</t>
  </si>
  <si>
    <t>Conjunto de reconocimientos de IAFP para investigación, innovación, liderazgo, educación y práctica profesional en inocuidad de los alimentos.</t>
  </si>
  <si>
    <t>En general, las personas nominadas deben ser miembros de IAFP, con excepciones según el premio; quien nomina no necesariamente debe ser miembro. Las ayudas de viaje estudiantil requieren membresía estudiantil.</t>
  </si>
  <si>
    <t>https://www.foodprotection.org/get-involved/awards/</t>
  </si>
  <si>
    <t>https://pivot.proquest.com/funding_opps/a7b90b20-be06-4f6d-84bc-d1d75de8f0f3</t>
  </si>
  <si>
    <t>Oportunidad complementaria de reconocimiento profesional y viaje, no una subvención para iniciar un proyecto. Mantener como antecedente y monitorear el próximo ciclo.</t>
  </si>
  <si>
    <t>2026-055</t>
  </si>
  <si>
    <t>2026-056</t>
  </si>
  <si>
    <t>2026-057</t>
  </si>
  <si>
    <t>2026-058</t>
  </si>
  <si>
    <t>2026-059</t>
  </si>
  <si>
    <t>2026-060</t>
  </si>
  <si>
    <t>Morris Animal Foundation Veterinary Student Scholars FY27 – Round 2</t>
  </si>
  <si>
    <t>Morris Animal Foundation</t>
  </si>
  <si>
    <t>Proyecto de investigación estudiantil tutorizado</t>
  </si>
  <si>
    <t>Estudiante de Veterinaria con mentor investigador</t>
  </si>
  <si>
    <t>Estudiante seleccionado por su institución</t>
  </si>
  <si>
    <t>Programas acreditados de Veterinaria; no se exige acreditación AVMA</t>
  </si>
  <si>
    <t>Investigación veterinaria estudiantil</t>
  </si>
  <si>
    <t>estudiantes; investigación mentorizada; perros; gatos; équidos; fauna silvestre; formación científica</t>
  </si>
  <si>
    <t>Ofrece experiencia de investigación clínica o básica tutorizada para avanzar la salud de perros, gatos, équidos o fauna silvestre.</t>
  </si>
  <si>
    <t>Estar matriculado en un programa acreditado de Medicina Veterinaria. No son elegibles estudiantes de programas combinados DVM/PhD. La institución debe seleccionar primero al candidato.</t>
  </si>
  <si>
    <t>Abre el 07/10/2026. Estipendio de hasta 5.500 USD por estudiante. Temática abierta en caninos, felinos, équidos y fauna silvestre. No cubre investigación sobre animales de producción.</t>
  </si>
  <si>
    <t>https://www.morrisanimalfoundation.org/veterinary-student-scholar-program</t>
  </si>
  <si>
    <t>Morris Animal Foundation – programa y calendario oficiales</t>
  </si>
  <si>
    <t>Morris Animal Foundation – Feline Annual RFP</t>
  </si>
  <si>
    <t>Investigador establecido; investigador emergente; postdoctorado</t>
  </si>
  <si>
    <t>Investigador o equipo con afiliación institucional</t>
  </si>
  <si>
    <t>Sin restricción, sujeto a sanciones económicas de Estados Unidos</t>
  </si>
  <si>
    <t>Salud felina</t>
  </si>
  <si>
    <t>gatos; medicina felina; enfermedades infecciosas; oncología; nutrición; diagnóstico; bienestar</t>
  </si>
  <si>
    <t>Convocatoria abierta temáticamente para proyectos que avancen la salud de los gatos mediante investigación científica rigurosa y humanitaria.</t>
  </si>
  <si>
    <t>Según modalidad: trayectoria investigadora para Established Investigator; nuevo profesorado para First Award; idea innovadora para Pilot Study; DVM/PhD o doctorando avanzado para Fellowship Training.</t>
  </si>
  <si>
    <t>Abre el 26/08/2026. Morris acepta investigadores de todo el mundo. No financia salud humana ni sanidad de animales de producción. La documentación y los montos de FY27 se publicarán en SmartSimple.</t>
  </si>
  <si>
    <t>https://www.morrisanimalfoundation.org/apply</t>
  </si>
  <si>
    <t>Morris Animal Foundation – calendario y FAQ oficiales</t>
  </si>
  <si>
    <t>Zebra Foundation for Veterinary Zoological Education Grants</t>
  </si>
  <si>
    <t>Zebra Foundation, con apoyo de EAZWV y BVZS</t>
  </si>
  <si>
    <t>Veterinarios y estudiantes de Veterinaria</t>
  </si>
  <si>
    <t>Medicina zoológica y salud de fauna silvestre</t>
  </si>
  <si>
    <t>fauna silvestre; zoológicos; medicina zoológica; mortalidad; epidemiología; formación veterinaria</t>
  </si>
  <si>
    <t>Apoya pequeños proyectos de laboratorio, campo o clínica que contribuyan a la salud zoológica o a la formación del solicitante en la disciplina.</t>
  </si>
  <si>
    <t>Veterinarios o estudiantes de Veterinaria. Son elegibles proyectos escritos durante prácticas en instituciones zoológicas e investigaciones que produzcan avances en medicina zoológica.</t>
  </si>
  <si>
    <t>Corte semestral. No cubre matrículas completas de maestría/doctorado, asistencia a conferencias ni prácticas sin un proyecto concreto. Prioriza a quienes inician su trayectoria en medicina zoológica.</t>
  </si>
  <si>
    <t>https://www.eazwv.org/page/grants</t>
  </si>
  <si>
    <t>EAZWV, BVZS y Zebra Foundation</t>
  </si>
  <si>
    <t>EveryCat Health Foundation – Fall 2026 Grant Cycle</t>
  </si>
  <si>
    <t>EveryCat Health Foundation</t>
  </si>
  <si>
    <t>Veterinarios; investigadores de salud felina</t>
  </si>
  <si>
    <t>Salud y medicina felina</t>
  </si>
  <si>
    <t>gatos domésticos; enfermedades felinas; diagnóstico; terapias; prevención; bienestar; FIP; genética; nutrición</t>
  </si>
  <si>
    <t>Financia proyectos con objetivos concretos y alcanzables que demuestren relevancia o beneficio para la salud de los gatos domésticos.</t>
  </si>
  <si>
    <t>Investigación sobre origen, diagnóstico, tratamiento o prevención de enfermedades felinas y sobre bienestar físico, mental o social. Se requiere cumplir las normas éticas y de bienestar animal aplicables.</t>
  </si>
  <si>
    <t>Cierre el 21/08/2026 a las 23:59 EDT. Solicitudes por encima de 50.000 USD no son consideradas. Resultados previstos para diciembre de 2026.</t>
  </si>
  <si>
    <t>https://everycat.smapply.io/prog/everycat_grant_fall_2026/</t>
  </si>
  <si>
    <t>EveryCat Health Foundation – RFP y portal oficial</t>
  </si>
  <si>
    <t>2026-061</t>
  </si>
  <si>
    <t>2026-062</t>
  </si>
  <si>
    <t>2026-063</t>
  </si>
  <si>
    <t>2026-064</t>
  </si>
  <si>
    <t>. Encaje muy alto para Veterinaria si cuenta con casos, muestras o población felina suficientes. Confirmar la recepción contractual de fondos en República Dominicana.</t>
  </si>
  <si>
    <t>Monto pequeño, pero buen instrumento semilla para estudiantes, levantamiento de datos, series de casos o pruebas piloto de fauna silvestre.</t>
  </si>
  <si>
    <t>Encaje muy alto. Preparar desde ahora equipo, hipótesis, población felina, aprobaciones éticas y borrador de prepropuesta.</t>
  </si>
  <si>
    <t>Confirmar que el programa de Medicina Veterinaria de UNPHU satisface la definición de acreditación de Morris y organizar una selección interna antes del 07/10.</t>
  </si>
  <si>
    <t>Harry Frank Guggenheim Distinguished Scholar Awards</t>
  </si>
  <si>
    <t>Harry Frank Guggenheim Foundation</t>
  </si>
  <si>
    <t>Persona individual; excepcionalmente equipo de 2–3 investigadores principales</t>
  </si>
  <si>
    <t>Derecho, violencia y políticas públicas</t>
  </si>
  <si>
    <t>violencia; criminología; justicia penal; derechos humanos; terrorismo; conflicto; violencia política; prevención</t>
  </si>
  <si>
    <t>Financia investigaciones sobre las causas, mecanismos y consecuencias de la violencia, con interés especial en resultados aplicables a políticas de reducción o prevención.</t>
  </si>
  <si>
    <t>No exige formalmente un grado académico ni afiliación institucional, pero no financia investigación realizada como requisito de un posgrado. Investigadores de la UNPHU pueden aplicar individualmente.</t>
  </si>
  <si>
    <t>Primera etapa mediante carta de interés. La propuesta completa vence el 11/09/2026 y se presenta únicamente por invitación. Los montos indicados son por año.</t>
  </si>
  <si>
    <t>https://www.hfg.org/distinguished-scholars/</t>
  </si>
  <si>
    <t>Prioridad alta para investigaciones jurídicas sobre violencia de género, criminalidad, justicia penal, violencia política, seguridad ciudadana o derechos humanos.</t>
  </si>
  <si>
    <t>Gerda Henkel Foundation: proyectos en Historia del Derecho</t>
  </si>
  <si>
    <t>Gerda Henkel Foundation</t>
  </si>
  <si>
    <t>Alemania</t>
  </si>
  <si>
    <t>Postdoctorado; Investigador establecido</t>
  </si>
  <si>
    <t>Institución académica; Persona individual</t>
  </si>
  <si>
    <t>Historia del Derecho</t>
  </si>
  <si>
    <t>historia jurídica; instituciones legales; derecho comparado histórico; archivos; teoría jurídica histórica</t>
  </si>
  <si>
    <t>Apoya proyectos de investigación en humanidades históricas, incluyendo expresamente la Historia del Derecho.</t>
  </si>
  <si>
    <t>La UNPHU puede postular como universidad o respaldar una solicitud de sus investigadores. La propuesta debe ser primordialmente histórica y no un estudio exclusivamente doctrinal del derecho vigente.</t>
  </si>
  <si>
    <t>Puede incluir personal, viajes y materiales. El procedimiento simplificado se aplica a solicitudes de hasta EUR 30,000; los proyectos regulares no publican un máximo general.</t>
  </si>
  <si>
    <t>https://www.gerda-henkel-stiftung.de/en/grants_projects</t>
  </si>
  <si>
    <t>https://pivot.proquest.com/funding_opps/1f4ad2e8-a821-4b73-b066-d1d75de8f0f3</t>
  </si>
  <si>
    <t>Muy adecuada para historia constitucional, historia judicial, derecho colonial y evolución de instituciones jurídicas dominicanas o caribeñas.</t>
  </si>
  <si>
    <t>Concurso Nacional de Libre Competencia 2026</t>
  </si>
  <si>
    <t>Comisión Nacional de Defensa de la Competencia – ProCompetencia</t>
  </si>
  <si>
    <t>Estudiante de grado; Estudiante de posgrado; Investigador emergente; Investigador establecido</t>
  </si>
  <si>
    <t>Persona individual o coautoría de máximo dos personas de la misma categoría</t>
  </si>
  <si>
    <t>Dominicanos, naturalizados o extranjeros residentes en República Dominicana</t>
  </si>
  <si>
    <t>Derecho de la competencia</t>
  </si>
  <si>
    <t>libre competencia; inteligencia artificial; economía digital; compras públicas; transparencia; sostenibilidad; crecimiento económico</t>
  </si>
  <si>
    <t>Premia ensayos jurídicos o interdisciplinarios sobre seis ejes de libre competencia, incluyendo inteligencia artificial, economía digital, transparencia y compras públicas.</t>
  </si>
  <si>
    <t>Son elegibles estudiantes activos de universidades acreditadas de la República Dominicana y profesionales con título de una institución acreditada. La UNPHU es compatible.</t>
  </si>
  <si>
    <t>La recepción de ensayos está abierta únicamente para quienes se registraron antes del 29/05/2026. Premios estudiantiles: DOP 75,000–150,000; profesionales: DOP 100,000–200,000.</t>
  </si>
  <si>
    <t>https://procompetencia.gob.do/concurso/2026/</t>
  </si>
  <si>
    <t>AALL Research Grants</t>
  </si>
  <si>
    <t>American Association of Law Libraries / LexisNexis</t>
  </si>
  <si>
    <t>Persona individual o equipo; fondos administrados por la institución</t>
  </si>
  <si>
    <t>Sin restricción expresa publicada</t>
  </si>
  <si>
    <t>Investigación jurídica y gestión de información legal</t>
  </si>
  <si>
    <t>bibliotecas jurídicas; acceso a justicia; información legal; investigación jurídica; colecciones; gestión documental</t>
  </si>
  <si>
    <t>Apoya proyectos relevantes para las profesiones que crean, difunden o utilizan información jurídica.</t>
  </si>
  <si>
    <t>Se da preferencia a miembros de AALL, pero la página oficial no establece la membresía como requisito absoluto. Investigadores de la UNPHU pueden participar sujetos a revisión administrativa.</t>
  </si>
  <si>
    <t>El total disponible del programa no supera USD 10,000 y puede distribuirse entre uno o varios proyectos. No permite recuperación de costos indirectos.</t>
  </si>
  <si>
    <t>https://www.aallnet.org/education-training/grants/research-grants/</t>
  </si>
  <si>
    <t>https://pivot.proquest.com/funding_opps/88bc3731-ca3d-4426-8c5a-d1d75de8f0f3</t>
  </si>
  <si>
    <t>American Association of Law Libraries</t>
  </si>
  <si>
    <t>Convocatoria 2026 cerrada. Verificar membresía AALL y las bases de la próxima edición antes de postular.</t>
  </si>
  <si>
    <t>CIUS Research Grants 2026–2027</t>
  </si>
  <si>
    <t>Canadian Institute of Ukrainian Studies – University of Alberta</t>
  </si>
  <si>
    <t>Persona individual o proyecto académico, según el subfondo</t>
  </si>
  <si>
    <t>Internacional; sujeto a condiciones del fondo específico</t>
  </si>
  <si>
    <t>Sin restricción general publicada</t>
  </si>
  <si>
    <t>Derecho y estudios ucranianos</t>
  </si>
  <si>
    <t>Ucrania; derecho comparado; derechos humanos; conflicto; justicia transicional; estudios jurídicos</t>
  </si>
  <si>
    <t>Financia investigación independiente sobre temas ucranianos o ucraniano-canadienses, incluyendo expresamente el campo del Derecho.</t>
  </si>
  <si>
    <t>Compatible únicamente si el proyecto jurídico tiene un componente central sobre Ucrania o la diáspora ucraniana. Deben revisarse las restricciones del subfondo seleccionado.</t>
  </si>
  <si>
    <t>Cubre costos directos; no financia costos indirectos, ingresos personales ni investigaciones requeridas para completar un grado. La mayoría de las ayudas históricas se sitúa entre CAD 1,500 y 3,500.</t>
  </si>
  <si>
    <t>https://www.ualberta.ca/en/canadian-institute-of-ukrainian-studies/funding-and-awards/cius-research-grants.html</t>
  </si>
  <si>
    <t>https://pivot.proquest.com/funding_opps/5965af03-0cce-48fa-b0ed-d1d75de8f0f3</t>
  </si>
  <si>
    <t>Convocatoria 2026 cerrada y de encaje temático muy específico. Reconfirmar el tope monetario en las bases de la próxima edición.</t>
  </si>
  <si>
    <t>ASLH Early Career Global Legal History Research Fellowships</t>
  </si>
  <si>
    <t>American Society for Legal History – ASLH</t>
  </si>
  <si>
    <t>Estudiante de posgrado; Postdoctorado; Investigador emergente</t>
  </si>
  <si>
    <t>Historia jurídica global y comparada</t>
  </si>
  <si>
    <t>historia del Derecho; derecho caribeño; derecho colonial; historia constitucional; instituciones jurídicas</t>
  </si>
  <si>
    <t>Otorga ayudas a investigadores de carrera temprana que publiquen en inglés y trabajen sobre historia jurídica fuera de Estados Unidos.</t>
  </si>
  <si>
    <t>Incluye doctorandos, recién graduados e investigadores que desarrollen su primera monografía o proyecto principal. La relevancia jurídica debe quedar claramente demostrada.</t>
  </si>
  <si>
    <t>La solicitud incluye propuesta de máximo 750 palabras, presupuesto y cronograma de una página, CV de una página y carta de recomendación.</t>
  </si>
  <si>
    <t>https://aslh.net/award/early-career-global-legal-history-research-fellowships/</t>
  </si>
  <si>
    <t>2026-065</t>
  </si>
  <si>
    <t>2026-066</t>
  </si>
  <si>
    <t>2026-067</t>
  </si>
  <si>
    <t>2026-068</t>
  </si>
  <si>
    <t>2026-069</t>
  </si>
  <si>
    <t>2026-070</t>
  </si>
  <si>
    <t>Canada</t>
  </si>
  <si>
    <t xml:space="preserve">Encaje excelente para historia jurídica dominicana, caribeña, colonial o transnacional. </t>
  </si>
  <si>
    <t xml:space="preserve">No financia la ejecución de un proyecto de investigación; es un premio académico. </t>
  </si>
  <si>
    <t>Targeted Grants to Institutes</t>
  </si>
  <si>
    <t>Simons Foundation</t>
  </si>
  <si>
    <t>Dirección científica e investigadores establecidos en física teórica, matemáticas o informática teórica</t>
  </si>
  <si>
    <t>Física teórica básica</t>
  </si>
  <si>
    <t>física teórica; física matemática; matemáticas; informática teórica; instituto científico; colaboración internacional</t>
  </si>
  <si>
    <t>Apoya institutos consolidados que fomenten investigación de frontera y contactos científicos internacionales.</t>
  </si>
  <si>
    <t>Instituciones extranjeras son elegibles. UNPHU debe postular mediante un instituto o centro establecido, con espacio físico y misión científica propia.</t>
  </si>
  <si>
    <t>No favorece un centro que funcione únicamente como punto de reunión para profesores locales. Requiere representante institucional autorizado. Inicio previsto entre junio y septiembre de 2027.</t>
  </si>
  <si>
    <t>https://www.simonsfoundation.org/grant/targeted-grants-to-institutes/</t>
  </si>
  <si>
    <t>Simons Foundation; mps@simonsfoundation.org</t>
  </si>
  <si>
    <t>Long Range Broad Agency Announcement for Navy and Marine Corps Science and Technology — N00014-25-S-B001</t>
  </si>
  <si>
    <t>Office of Naval Research</t>
  </si>
  <si>
    <t>Equipos universitarios y centros científicos con capacidades relevantes</t>
  </si>
  <si>
    <t>Sin restricción general; aplican controles de seguridad y exportación</t>
  </si>
  <si>
    <t>Física, materiales y ciencias oceánicas</t>
  </si>
  <si>
    <t>óptica; acústica; plasma; fluidos; materiales; energía; sensores; océano; atmósfera; modelización</t>
  </si>
  <si>
    <t>Convocatoria amplia para propuestas científicas y tecnológicas relacionadas con las necesidades de la Marina y el Cuerpo de Marines de Estados Unidos.</t>
  </si>
  <si>
    <t>Fuentes responsables de todo el mundo pueden presentar. UNPHU debe identificar primero el área técnica y su punto de contacto.</t>
  </si>
  <si>
    <t>La alineación con una necesidad programática es esencial. Se recomienda enviar previamente un white paper o contactar al responsable técnico.</t>
  </si>
  <si>
    <t>https://www.onr.navy.mil/work-with-us/funding-opportunities/fy25-long-range-broad-agency-announcement-baa-navy-and-marine</t>
  </si>
  <si>
    <t>Office of Naval Research; usn.ncr.onrghq.list.grantsproposals@us.navy.mil</t>
  </si>
  <si>
    <t>ICTP Support for Scientific Meetings in Developing Countries</t>
  </si>
  <si>
    <t>Abdus Salam International Centre for Theoretical Physics — ICTP</t>
  </si>
  <si>
    <t>Organizador científico y equipo académico de física o matemáticas</t>
  </si>
  <si>
    <t>Sin ciudadanía específica; se priorizan participantes de países en desarrollo de la región</t>
  </si>
  <si>
    <t>Física y matemáticas</t>
  </si>
  <si>
    <t>conferencia; taller; escuela; física; matemáticas; capacitación; cooperación regional</t>
  </si>
  <si>
    <t>Cofinancia reuniones presenciales de física o matemáticas realizadas en países en desarrollo.</t>
  </si>
  <si>
    <t>UNPHU puede ser institución anfitriona en República Dominicana. La solicitud debe estar firmada por el organizador y una autoridad institucional.</t>
  </si>
  <si>
    <t>Se exige una contribución local al menos equivalente. Los fondos se orientan principalmente a viajes; como máximo 40 % puede destinarse a alojamiento y manutención.</t>
  </si>
  <si>
    <t>https://www.ictp.it/home/other-opportunities-institutes</t>
  </si>
  <si>
    <t>ICTP External Activities Unit; oea@ictp.it</t>
  </si>
  <si>
    <t>HECAP Call 2026 — Short-Term Visits</t>
  </si>
  <si>
    <t>Estudiante de posgrado; Postdoctorado; Investigador emergente; Investigador establecido</t>
  </si>
  <si>
    <t>ICTP, Trieste, Italia</t>
  </si>
  <si>
    <t>Se alienta especialmente a científicos procedentes de países en desarrollo y que trabajen en ellos</t>
  </si>
  <si>
    <t>Física teórica de altas energías</t>
  </si>
  <si>
    <t>high-energy physics; cosmología; astropartículas; teoría; ICTP; visita científica</t>
  </si>
  <si>
    <t>Financia visitas cortas para desarrollar proyectos y colaboraciones con el grupo HECAP del ICTP.</t>
  </si>
  <si>
    <t>Investigadores de UNPHU en las áreas HECAP son compatibles. Estudiantes, posdoctorandos y jóvenes investigadores deben aportar recomendación.</t>
  </si>
  <si>
    <t>Requiere un plan breve de investigación. La página oficial no publica cuantías individuales predeterminadas.</t>
  </si>
  <si>
    <t>https://www.ictp.it/opportunity/hecap-call-2026-short-term-visits</t>
  </si>
  <si>
    <t>ICTP, grupo HECAP</t>
  </si>
  <si>
    <t>E. Leonard “Len” Jossem International Education Fund</t>
  </si>
  <si>
    <t>American Association of Physics Teachers</t>
  </si>
  <si>
    <t>Estudiante de posgrado; Postdoctorado; Profesor</t>
  </si>
  <si>
    <t>Internacional, especialmente colaboración entre Estados Unidos y países en desarrollo</t>
  </si>
  <si>
    <t>Sin restricción publicada; se exige membresía vigente de AAPT</t>
  </si>
  <si>
    <t>Enseñanza de la física</t>
  </si>
  <si>
    <t>educación en física; cooperación internacional; viaje; conferencia; formación docente</t>
  </si>
  <si>
    <t>Apoya actividades internacionales que fortalezcan la enseñanza y el aprendizaje de la física.</t>
  </si>
  <si>
    <t>Un investigador o docente de UNPHU puede solicitar individualmente si es miembro vigente de AAPT y la actividad encaja en los objetivos internacionales.</t>
  </si>
  <si>
    <t>No es una subvención institucional de investigación. La página indica recepción de solicitudes, pero no publica una fecha exacta independiente; confirmar el ciclo aplicable con AAPT.</t>
  </si>
  <si>
    <t>https://aapt.org/Programs/grants/Jossem.cfm</t>
  </si>
  <si>
    <t>https://pivot.proquest.com/funding_opps/2c77b23c-b7f7-4964-98d7-d1d75de8f0f3</t>
  </si>
  <si>
    <t>American Association of Physics Teachers; eo@aapt.org</t>
  </si>
  <si>
    <t>Outstanding Doctoral Thesis Research in Beam Physics Award</t>
  </si>
  <si>
    <t>American Physical Society</t>
  </si>
  <si>
    <t>Estudiante de posgrado o recién doctorado en física de haces</t>
  </si>
  <si>
    <t>Física de haces y aceleradores</t>
  </si>
  <si>
    <t>beam physics; aceleradores; tesis doctoral; instrumentación; partículas</t>
  </si>
  <si>
    <t>Reconoce trabajo doctoral sobresaliente en física de haces.</t>
  </si>
  <si>
    <t>El trabajo debe formar parte del doctorado y la defensa no puede haber ocurrido más de 18 meses antes del cierre. Solo se permite una nominación.</t>
  </si>
  <si>
    <t>Incluye USD 2,500, viaje de hasta USD 500 y exención de inscripción. La ficha también indica membresía vitalicia de APS y de la unidad correspondiente.</t>
  </si>
  <si>
    <t>https://www.aps.org/funding-recognition/award/beam-physics</t>
  </si>
  <si>
    <t>https://pivot.proquest.com/funding_opps/0eb241fc-9d07-41eb-99cf-d1d75de8f0f3</t>
  </si>
  <si>
    <t>Arctowski Medal</t>
  </si>
  <si>
    <t>National Academy of Sciences</t>
  </si>
  <si>
    <t>Investigador establecido con contribuciones sobresalientes en física solar</t>
  </si>
  <si>
    <t>Candidatos internacionales; membresía de NAS no requerida</t>
  </si>
  <si>
    <t>Física solar y relaciones Sol-Tierra</t>
  </si>
  <si>
    <t>solar physics; heliophysics; Sun-Earth; space weather; astronomía</t>
  </si>
  <si>
    <t>Reconoce contribuciones sobresalientes al estudio de la física solar y de las relaciones Sol-Tierra.</t>
  </si>
  <si>
    <t>Candidatos internacionales son elegibles. No se admite autonominación; el nominador no debe pertenecer a la institución de origen del candidato.</t>
  </si>
  <si>
    <t>El premio total es de USD 200,000: USD 100,000 personales y USD 100,000 para investigación en una institución seleccionada por la persona premiada.</t>
  </si>
  <si>
    <t>https://www.nasonline.org/award/arctowski-medal/</t>
  </si>
  <si>
    <t>https://pivot.proquest.com/funding_opps/0f620de5-7753-45d4-bfea-d1d75de8f0f3</t>
  </si>
  <si>
    <t>National Academy of Sciences; awards@nas.edu</t>
  </si>
  <si>
    <t>Nicholas Metropolis Award for Outstanding Doctoral Thesis Work in Computational Physics</t>
  </si>
  <si>
    <t>Estudiante de posgrado o recién doctorado en física computacional</t>
  </si>
  <si>
    <t>Cualquier país</t>
  </si>
  <si>
    <t>Física computacional</t>
  </si>
  <si>
    <t>simulación; métodos numéricos; modelización; tesis doctoral; computational physics</t>
  </si>
  <si>
    <t>Premia trabajo de tesis doctoral sobresaliente en física computacional.</t>
  </si>
  <si>
    <t>Es elegible un estudiante doctoral actual o anterior de cualquier país; la defensa no debe superar 18 meses antes del cierre y solo puede ser nominado una vez.</t>
  </si>
  <si>
    <t>La candidatura puede mantenerse durante dos ciclos si se recertifica. Incluye USD 2,500, viaje de hasta USD 1,500 y exención de inscripción.</t>
  </si>
  <si>
    <t>https://www.aps.org/funding-recognition/award/nicholas-metropolis</t>
  </si>
  <si>
    <t>https://pivot.proquest.com/funding_opps/9834f3a0-f8b7-4dc6-a486-d1d75de8f0f3</t>
  </si>
  <si>
    <t>2026-071</t>
  </si>
  <si>
    <t>2026-072</t>
  </si>
  <si>
    <t>2026-073</t>
  </si>
  <si>
    <t>2026-074</t>
  </si>
  <si>
    <t>2026-075</t>
  </si>
  <si>
    <t>2026-076</t>
  </si>
  <si>
    <t>2026-077</t>
  </si>
  <si>
    <t>2026-078</t>
  </si>
  <si>
    <t xml:space="preserve"> Compatible con candidatos individuales de UNPHU; no es subvención para un proyecto institucional.</t>
  </si>
  <si>
    <t xml:space="preserve"> Muy selectiva; publicar para perfiles sénior con trayectoria internacional fuerte en física solar.</t>
  </si>
  <si>
    <t xml:space="preserve"> Compatible con candidatos individuales vinculados a UNPHU; no financia un proyecto institucional.</t>
  </si>
  <si>
    <t>Mantener separada de las subvenciones de investigación; funciona principalmente como movilidad y educación.</t>
  </si>
  <si>
    <t>Alta pertinencia para física teórica; difundir inmediatamente por la proximidad del cierre.</t>
  </si>
  <si>
    <t>Compatibilidad alta; opción directa para organizar una escuela o taller internacional de física en UNPHU.</t>
  </si>
  <si>
    <t xml:space="preserve"> solo para grupos con temática claramente alineada y capacidad para cumplir los controles estadounidenses.</t>
  </si>
  <si>
    <t xml:space="preserve"> Alta cuantía; la compatibilidad depende de demostrar trayectoria, infraestructura y alcance internacional del centro postulante de UNPHU.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</si>
</sst>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C72" workbookViewId="0">
      <selection activeCell="AD72" sqref="AD72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Abierta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Vencida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 ht="114">
      <c r="A56" s="3" t="s">
        <v>887</v>
      </c>
      <c r="B56" s="4" t="s">
        <v>42</v>
      </c>
      <c r="C56" s="4" t="s">
        <v>823</v>
      </c>
      <c r="D56" s="4" t="s">
        <v>824</v>
      </c>
      <c r="E56" s="4" t="s">
        <v>31</v>
      </c>
      <c r="F56" s="4" t="s">
        <v>737</v>
      </c>
      <c r="G56" s="6"/>
      <c r="H56" s="4" t="s">
        <v>56</v>
      </c>
      <c r="I56" s="4" t="s">
        <v>49</v>
      </c>
      <c r="J56" s="4" t="s">
        <v>35</v>
      </c>
      <c r="K56" s="4" t="str">
        <f t="shared" ca="1" si="1"/>
        <v>Sin fecha</v>
      </c>
      <c r="L56" s="8"/>
      <c r="M56" s="8">
        <v>300000</v>
      </c>
      <c r="N56" s="4" t="s">
        <v>36</v>
      </c>
      <c r="O56" s="4" t="s">
        <v>533</v>
      </c>
      <c r="P56" s="4" t="s">
        <v>189</v>
      </c>
      <c r="Q56" s="4" t="s">
        <v>61</v>
      </c>
      <c r="R56" s="4" t="s">
        <v>46</v>
      </c>
      <c r="S56" s="4" t="s">
        <v>825</v>
      </c>
      <c r="T56" s="4" t="s">
        <v>40</v>
      </c>
      <c r="U56" s="4" t="s">
        <v>826</v>
      </c>
      <c r="V56" s="4" t="s">
        <v>827</v>
      </c>
      <c r="W56" s="4" t="s">
        <v>828</v>
      </c>
      <c r="X56" s="4" t="s">
        <v>829</v>
      </c>
      <c r="Y56" s="4" t="s">
        <v>830</v>
      </c>
      <c r="Z56" s="4" t="s">
        <v>831</v>
      </c>
      <c r="AA56" s="4"/>
      <c r="AB56" s="6">
        <v>46223</v>
      </c>
      <c r="AC56" s="4" t="s">
        <v>832</v>
      </c>
      <c r="AD56" s="4" t="s">
        <v>833</v>
      </c>
    </row>
    <row r="57" spans="1:30" ht="85.5">
      <c r="A57" s="3" t="s">
        <v>888</v>
      </c>
      <c r="B57" s="4" t="s">
        <v>42</v>
      </c>
      <c r="C57" s="4" t="s">
        <v>834</v>
      </c>
      <c r="D57" s="4" t="s">
        <v>835</v>
      </c>
      <c r="E57" s="4" t="s">
        <v>31</v>
      </c>
      <c r="F57" s="4" t="s">
        <v>187</v>
      </c>
      <c r="G57" s="6">
        <v>46371</v>
      </c>
      <c r="H57" s="4" t="s">
        <v>48</v>
      </c>
      <c r="I57" s="4" t="s">
        <v>70</v>
      </c>
      <c r="J57" s="4" t="s">
        <v>64</v>
      </c>
      <c r="K57" s="4" t="str">
        <f t="shared" ca="1" si="1"/>
        <v>Pendiente Apertura</v>
      </c>
      <c r="L57" s="8">
        <v>25000</v>
      </c>
      <c r="M57" s="8">
        <v>250000</v>
      </c>
      <c r="N57" s="4" t="s">
        <v>36</v>
      </c>
      <c r="O57" s="4" t="s">
        <v>836</v>
      </c>
      <c r="P57" s="4" t="s">
        <v>82</v>
      </c>
      <c r="Q57" s="4" t="s">
        <v>61</v>
      </c>
      <c r="R57" s="4" t="s">
        <v>46</v>
      </c>
      <c r="S57" s="4" t="s">
        <v>837</v>
      </c>
      <c r="T57" s="4" t="s">
        <v>40</v>
      </c>
      <c r="U57" s="4" t="s">
        <v>838</v>
      </c>
      <c r="V57" s="4" t="s">
        <v>839</v>
      </c>
      <c r="W57" s="4" t="s">
        <v>840</v>
      </c>
      <c r="X57" s="4" t="s">
        <v>841</v>
      </c>
      <c r="Y57" s="4" t="s">
        <v>842</v>
      </c>
      <c r="Z57" s="4" t="s">
        <v>843</v>
      </c>
      <c r="AA57" s="4"/>
      <c r="AB57" s="6">
        <v>46223</v>
      </c>
      <c r="AC57" s="4" t="s">
        <v>844</v>
      </c>
      <c r="AD57" s="4" t="s">
        <v>845</v>
      </c>
    </row>
    <row r="58" spans="1:30" ht="99.75">
      <c r="A58" s="3" t="s">
        <v>889</v>
      </c>
      <c r="B58" s="4" t="s">
        <v>42</v>
      </c>
      <c r="C58" s="4" t="s">
        <v>846</v>
      </c>
      <c r="D58" s="4" t="s">
        <v>847</v>
      </c>
      <c r="E58" s="4" t="s">
        <v>80</v>
      </c>
      <c r="F58" s="4" t="s">
        <v>32</v>
      </c>
      <c r="G58" s="6">
        <v>46307</v>
      </c>
      <c r="H58" s="4" t="s">
        <v>33</v>
      </c>
      <c r="I58" s="4" t="s">
        <v>70</v>
      </c>
      <c r="J58" s="4" t="s">
        <v>35</v>
      </c>
      <c r="K58" s="4" t="str">
        <f t="shared" ca="1" si="1"/>
        <v>Abierta</v>
      </c>
      <c r="L58" s="8"/>
      <c r="M58" s="8">
        <v>2500</v>
      </c>
      <c r="N58" s="4" t="s">
        <v>36</v>
      </c>
      <c r="O58" s="4" t="s">
        <v>848</v>
      </c>
      <c r="P58" s="4" t="s">
        <v>52</v>
      </c>
      <c r="Q58" s="4" t="s">
        <v>61</v>
      </c>
      <c r="R58" s="4" t="s">
        <v>74</v>
      </c>
      <c r="S58" s="4" t="s">
        <v>187</v>
      </c>
      <c r="T58" s="4" t="s">
        <v>849</v>
      </c>
      <c r="U58" s="4" t="s">
        <v>850</v>
      </c>
      <c r="V58" s="4" t="s">
        <v>851</v>
      </c>
      <c r="W58" s="4" t="s">
        <v>852</v>
      </c>
      <c r="X58" s="4" t="s">
        <v>853</v>
      </c>
      <c r="Y58" s="4" t="s">
        <v>854</v>
      </c>
      <c r="Z58" s="4" t="s">
        <v>855</v>
      </c>
      <c r="AA58" s="4" t="s">
        <v>856</v>
      </c>
      <c r="AB58" s="6">
        <v>46223</v>
      </c>
      <c r="AC58" s="4" t="s">
        <v>857</v>
      </c>
      <c r="AD58" s="4" t="s">
        <v>858</v>
      </c>
    </row>
    <row r="59" spans="1:30" ht="99.75">
      <c r="A59" s="3" t="s">
        <v>890</v>
      </c>
      <c r="B59" s="4" t="s">
        <v>42</v>
      </c>
      <c r="C59" s="4" t="s">
        <v>859</v>
      </c>
      <c r="D59" s="4" t="s">
        <v>847</v>
      </c>
      <c r="E59" s="4" t="s">
        <v>80</v>
      </c>
      <c r="F59" s="4" t="s">
        <v>32</v>
      </c>
      <c r="G59" s="6">
        <v>46307</v>
      </c>
      <c r="H59" s="4" t="s">
        <v>33</v>
      </c>
      <c r="I59" s="4" t="s">
        <v>70</v>
      </c>
      <c r="J59" s="4" t="s">
        <v>35</v>
      </c>
      <c r="K59" s="4" t="str">
        <f t="shared" ca="1" si="1"/>
        <v>Abierta</v>
      </c>
      <c r="L59" s="8"/>
      <c r="M59" s="8">
        <v>2000</v>
      </c>
      <c r="N59" s="4" t="s">
        <v>36</v>
      </c>
      <c r="O59" s="4" t="s">
        <v>387</v>
      </c>
      <c r="P59" s="4" t="s">
        <v>52</v>
      </c>
      <c r="Q59" s="4" t="s">
        <v>53</v>
      </c>
      <c r="R59" s="4" t="s">
        <v>74</v>
      </c>
      <c r="S59" s="4" t="s">
        <v>187</v>
      </c>
      <c r="T59" s="4" t="s">
        <v>849</v>
      </c>
      <c r="U59" s="4" t="s">
        <v>860</v>
      </c>
      <c r="V59" s="4" t="s">
        <v>861</v>
      </c>
      <c r="W59" s="4" t="s">
        <v>862</v>
      </c>
      <c r="X59" s="4" t="s">
        <v>863</v>
      </c>
      <c r="Y59" s="4" t="s">
        <v>864</v>
      </c>
      <c r="Z59" s="4" t="s">
        <v>865</v>
      </c>
      <c r="AA59" s="4"/>
      <c r="AB59" s="6">
        <v>46223</v>
      </c>
      <c r="AC59" s="4" t="s">
        <v>857</v>
      </c>
      <c r="AD59" s="4" t="s">
        <v>866</v>
      </c>
    </row>
    <row r="60" spans="1:30" ht="85.5">
      <c r="A60" s="3" t="s">
        <v>891</v>
      </c>
      <c r="B60" s="4" t="s">
        <v>42</v>
      </c>
      <c r="C60" s="4" t="s">
        <v>867</v>
      </c>
      <c r="D60" s="4" t="s">
        <v>868</v>
      </c>
      <c r="E60" s="4" t="s">
        <v>31</v>
      </c>
      <c r="F60" s="4" t="s">
        <v>869</v>
      </c>
      <c r="G60" s="6"/>
      <c r="H60" s="4" t="s">
        <v>56</v>
      </c>
      <c r="I60" s="4" t="s">
        <v>75</v>
      </c>
      <c r="J60" s="4" t="s">
        <v>35</v>
      </c>
      <c r="K60" s="4" t="str">
        <f t="shared" ca="1" si="1"/>
        <v>Sin fecha</v>
      </c>
      <c r="L60" s="8">
        <v>150000</v>
      </c>
      <c r="M60" s="8">
        <v>1500000</v>
      </c>
      <c r="N60" s="4" t="s">
        <v>36</v>
      </c>
      <c r="O60" s="4" t="s">
        <v>83</v>
      </c>
      <c r="P60" s="4" t="s">
        <v>60</v>
      </c>
      <c r="Q60" s="4" t="s">
        <v>83</v>
      </c>
      <c r="R60" s="4" t="s">
        <v>46</v>
      </c>
      <c r="S60" s="4" t="s">
        <v>187</v>
      </c>
      <c r="T60" s="4" t="s">
        <v>40</v>
      </c>
      <c r="U60" s="4" t="s">
        <v>870</v>
      </c>
      <c r="V60" s="4" t="s">
        <v>871</v>
      </c>
      <c r="W60" s="4" t="s">
        <v>872</v>
      </c>
      <c r="X60" s="4" t="s">
        <v>873</v>
      </c>
      <c r="Y60" s="4" t="s">
        <v>874</v>
      </c>
      <c r="Z60" s="4" t="s">
        <v>875</v>
      </c>
      <c r="AA60" s="4"/>
      <c r="AB60" s="6">
        <v>46223</v>
      </c>
      <c r="AC60" s="4" t="s">
        <v>868</v>
      </c>
      <c r="AD60" s="4" t="s">
        <v>876</v>
      </c>
    </row>
    <row r="61" spans="1:30" ht="85.5">
      <c r="A61" s="3" t="s">
        <v>892</v>
      </c>
      <c r="B61" s="4" t="s">
        <v>42</v>
      </c>
      <c r="C61" s="4" t="s">
        <v>877</v>
      </c>
      <c r="D61" s="4" t="s">
        <v>878</v>
      </c>
      <c r="E61" s="4" t="s">
        <v>80</v>
      </c>
      <c r="F61" s="4" t="s">
        <v>32</v>
      </c>
      <c r="G61" s="6">
        <v>46063</v>
      </c>
      <c r="H61" s="4" t="s">
        <v>33</v>
      </c>
      <c r="I61" s="4" t="s">
        <v>75</v>
      </c>
      <c r="J61" s="4" t="s">
        <v>50</v>
      </c>
      <c r="K61" s="4" t="str">
        <f t="shared" ca="1" si="1"/>
        <v>Cerrada</v>
      </c>
      <c r="L61" s="8"/>
      <c r="M61" s="8"/>
      <c r="N61" s="4" t="s">
        <v>36</v>
      </c>
      <c r="O61" s="4" t="s">
        <v>83</v>
      </c>
      <c r="P61" s="4" t="s">
        <v>60</v>
      </c>
      <c r="Q61" s="4" t="s">
        <v>83</v>
      </c>
      <c r="R61" s="4" t="s">
        <v>74</v>
      </c>
      <c r="S61" s="4" t="s">
        <v>187</v>
      </c>
      <c r="T61" s="4" t="s">
        <v>879</v>
      </c>
      <c r="U61" s="4" t="s">
        <v>880</v>
      </c>
      <c r="V61" s="4" t="s">
        <v>881</v>
      </c>
      <c r="W61" s="4" t="s">
        <v>882</v>
      </c>
      <c r="X61" s="4" t="s">
        <v>883</v>
      </c>
      <c r="Y61" s="4"/>
      <c r="Z61" s="4" t="s">
        <v>884</v>
      </c>
      <c r="AA61" s="4" t="s">
        <v>885</v>
      </c>
      <c r="AB61" s="6">
        <v>46223</v>
      </c>
      <c r="AC61" s="4" t="s">
        <v>878</v>
      </c>
      <c r="AD61" s="4" t="s">
        <v>886</v>
      </c>
    </row>
    <row r="62" spans="1:30" ht="71.25">
      <c r="A62" s="3" t="s">
        <v>937</v>
      </c>
      <c r="B62" s="4" t="s">
        <v>42</v>
      </c>
      <c r="C62" s="4" t="s">
        <v>893</v>
      </c>
      <c r="D62" s="4" t="s">
        <v>894</v>
      </c>
      <c r="E62" s="4" t="s">
        <v>31</v>
      </c>
      <c r="F62" s="4" t="s">
        <v>32</v>
      </c>
      <c r="G62" s="6">
        <v>46351</v>
      </c>
      <c r="H62" s="4" t="s">
        <v>33</v>
      </c>
      <c r="I62" s="4" t="s">
        <v>70</v>
      </c>
      <c r="J62" s="4" t="s">
        <v>64</v>
      </c>
      <c r="K62" s="4" t="str">
        <f t="shared" ca="1" si="1"/>
        <v>Pendiente Apertura</v>
      </c>
      <c r="L62" s="8"/>
      <c r="M62" s="8">
        <v>5500</v>
      </c>
      <c r="N62" s="4" t="s">
        <v>36</v>
      </c>
      <c r="O62" s="4" t="s">
        <v>895</v>
      </c>
      <c r="P62" s="4" t="s">
        <v>52</v>
      </c>
      <c r="Q62" s="4" t="s">
        <v>896</v>
      </c>
      <c r="R62" s="4" t="s">
        <v>897</v>
      </c>
      <c r="S62" s="4" t="s">
        <v>898</v>
      </c>
      <c r="T62" s="4" t="s">
        <v>369</v>
      </c>
      <c r="U62" s="4" t="s">
        <v>899</v>
      </c>
      <c r="V62" s="4" t="s">
        <v>900</v>
      </c>
      <c r="W62" s="4" t="s">
        <v>901</v>
      </c>
      <c r="X62" s="4" t="s">
        <v>902</v>
      </c>
      <c r="Y62" s="4" t="s">
        <v>903</v>
      </c>
      <c r="Z62" s="4" t="s">
        <v>904</v>
      </c>
      <c r="AA62" s="4"/>
      <c r="AB62" s="6">
        <v>46223</v>
      </c>
      <c r="AC62" s="4" t="s">
        <v>905</v>
      </c>
      <c r="AD62" s="4" t="s">
        <v>944</v>
      </c>
    </row>
    <row r="63" spans="1:30" ht="71.25">
      <c r="A63" s="3" t="s">
        <v>938</v>
      </c>
      <c r="B63" s="4" t="s">
        <v>42</v>
      </c>
      <c r="C63" s="4" t="s">
        <v>906</v>
      </c>
      <c r="D63" s="4" t="s">
        <v>894</v>
      </c>
      <c r="E63" s="4" t="s">
        <v>31</v>
      </c>
      <c r="F63" s="4" t="s">
        <v>32</v>
      </c>
      <c r="G63" s="6">
        <v>46295</v>
      </c>
      <c r="H63" s="4" t="s">
        <v>33</v>
      </c>
      <c r="I63" s="4" t="s">
        <v>57</v>
      </c>
      <c r="J63" s="4" t="s">
        <v>64</v>
      </c>
      <c r="K63" s="4" t="str">
        <f t="shared" ca="1" si="1"/>
        <v>Pendiente Apertura</v>
      </c>
      <c r="L63" s="8"/>
      <c r="M63" s="8"/>
      <c r="N63" s="4" t="s">
        <v>36</v>
      </c>
      <c r="O63" s="4"/>
      <c r="P63" s="4" t="s">
        <v>189</v>
      </c>
      <c r="Q63" s="4" t="s">
        <v>907</v>
      </c>
      <c r="R63" s="4" t="s">
        <v>908</v>
      </c>
      <c r="S63" s="4" t="s">
        <v>187</v>
      </c>
      <c r="T63" s="4" t="s">
        <v>909</v>
      </c>
      <c r="U63" s="4" t="s">
        <v>910</v>
      </c>
      <c r="V63" s="4" t="s">
        <v>911</v>
      </c>
      <c r="W63" s="4" t="s">
        <v>912</v>
      </c>
      <c r="X63" s="4" t="s">
        <v>913</v>
      </c>
      <c r="Y63" s="4" t="s">
        <v>914</v>
      </c>
      <c r="Z63" s="4" t="s">
        <v>915</v>
      </c>
      <c r="AA63" s="4"/>
      <c r="AB63" s="6">
        <v>46223</v>
      </c>
      <c r="AC63" s="4" t="s">
        <v>916</v>
      </c>
      <c r="AD63" s="4" t="s">
        <v>943</v>
      </c>
    </row>
    <row r="64" spans="1:30" ht="71.25">
      <c r="A64" s="3" t="s">
        <v>939</v>
      </c>
      <c r="B64" s="4" t="s">
        <v>42</v>
      </c>
      <c r="C64" s="4" t="s">
        <v>917</v>
      </c>
      <c r="D64" s="4" t="s">
        <v>918</v>
      </c>
      <c r="E64" s="4" t="s">
        <v>31</v>
      </c>
      <c r="F64" s="4" t="s">
        <v>202</v>
      </c>
      <c r="G64" s="6">
        <v>46295</v>
      </c>
      <c r="H64" s="4" t="s">
        <v>33</v>
      </c>
      <c r="I64" s="4" t="s">
        <v>70</v>
      </c>
      <c r="J64" s="4" t="s">
        <v>35</v>
      </c>
      <c r="K64" s="4" t="str">
        <f t="shared" ca="1" si="1"/>
        <v>Abierta</v>
      </c>
      <c r="L64" s="8">
        <v>100</v>
      </c>
      <c r="M64" s="8">
        <v>1000</v>
      </c>
      <c r="N64" s="4" t="s">
        <v>59</v>
      </c>
      <c r="O64" s="4" t="s">
        <v>387</v>
      </c>
      <c r="P64" s="4" t="s">
        <v>189</v>
      </c>
      <c r="Q64" s="4" t="s">
        <v>919</v>
      </c>
      <c r="R64" s="4" t="s">
        <v>74</v>
      </c>
      <c r="S64" s="4" t="s">
        <v>187</v>
      </c>
      <c r="T64" s="4" t="s">
        <v>369</v>
      </c>
      <c r="U64" s="4" t="s">
        <v>920</v>
      </c>
      <c r="V64" s="4" t="s">
        <v>921</v>
      </c>
      <c r="W64" s="4" t="s">
        <v>922</v>
      </c>
      <c r="X64" s="4" t="s">
        <v>923</v>
      </c>
      <c r="Y64" s="4" t="s">
        <v>924</v>
      </c>
      <c r="Z64" s="4" t="s">
        <v>925</v>
      </c>
      <c r="AA64" s="4"/>
      <c r="AB64" s="6">
        <v>46223</v>
      </c>
      <c r="AC64" s="4" t="s">
        <v>926</v>
      </c>
      <c r="AD64" s="4" t="s">
        <v>942</v>
      </c>
    </row>
    <row r="65" spans="1:30" ht="71.25">
      <c r="A65" s="3" t="s">
        <v>940</v>
      </c>
      <c r="B65" s="4" t="s">
        <v>42</v>
      </c>
      <c r="C65" s="4" t="s">
        <v>927</v>
      </c>
      <c r="D65" s="4" t="s">
        <v>928</v>
      </c>
      <c r="E65" s="4" t="s">
        <v>31</v>
      </c>
      <c r="F65" s="4" t="s">
        <v>32</v>
      </c>
      <c r="G65" s="6">
        <v>46255</v>
      </c>
      <c r="H65" s="4" t="s">
        <v>33</v>
      </c>
      <c r="I65" s="4" t="s">
        <v>34</v>
      </c>
      <c r="J65" s="4" t="s">
        <v>35</v>
      </c>
      <c r="K65" s="4" t="str">
        <f t="shared" ca="1" si="1"/>
        <v>Abierta</v>
      </c>
      <c r="L65" s="8"/>
      <c r="M65" s="8">
        <v>50000</v>
      </c>
      <c r="N65" s="4" t="s">
        <v>36</v>
      </c>
      <c r="O65" s="4"/>
      <c r="P65" s="4" t="s">
        <v>189</v>
      </c>
      <c r="Q65" s="4" t="s">
        <v>929</v>
      </c>
      <c r="R65" s="4" t="s">
        <v>908</v>
      </c>
      <c r="S65" s="4" t="s">
        <v>187</v>
      </c>
      <c r="T65" s="4" t="s">
        <v>369</v>
      </c>
      <c r="U65" s="4" t="s">
        <v>930</v>
      </c>
      <c r="V65" s="4" t="s">
        <v>931</v>
      </c>
      <c r="W65" s="4" t="s">
        <v>932</v>
      </c>
      <c r="X65" s="4" t="s">
        <v>933</v>
      </c>
      <c r="Y65" s="4" t="s">
        <v>934</v>
      </c>
      <c r="Z65" s="4" t="s">
        <v>935</v>
      </c>
      <c r="AA65" s="4"/>
      <c r="AB65" s="6">
        <v>46223</v>
      </c>
      <c r="AC65" s="4" t="s">
        <v>936</v>
      </c>
      <c r="AD65" s="4" t="s">
        <v>941</v>
      </c>
    </row>
    <row r="66" spans="1:30" ht="85.5" customHeight="1">
      <c r="A66" s="3" t="s">
        <v>1014</v>
      </c>
      <c r="B66" s="4" t="s">
        <v>42</v>
      </c>
      <c r="C66" s="4" t="s">
        <v>945</v>
      </c>
      <c r="D66" s="4" t="s">
        <v>946</v>
      </c>
      <c r="E66" s="4" t="s">
        <v>31</v>
      </c>
      <c r="F66" s="4" t="s">
        <v>32</v>
      </c>
      <c r="G66" s="6">
        <v>46234</v>
      </c>
      <c r="H66" s="4" t="s">
        <v>33</v>
      </c>
      <c r="I66" s="4" t="s">
        <v>49</v>
      </c>
      <c r="J66" s="4" t="s">
        <v>35</v>
      </c>
      <c r="K66" s="4" t="str">
        <f t="shared" ca="1" si="1"/>
        <v>Próxima a vencer</v>
      </c>
      <c r="L66" s="8">
        <v>15000</v>
      </c>
      <c r="M66" s="8">
        <v>75000</v>
      </c>
      <c r="N66" s="4" t="s">
        <v>36</v>
      </c>
      <c r="O66" s="4" t="s">
        <v>188</v>
      </c>
      <c r="P66" s="4" t="s">
        <v>189</v>
      </c>
      <c r="Q66" s="4" t="s">
        <v>67</v>
      </c>
      <c r="R66" s="4" t="s">
        <v>947</v>
      </c>
      <c r="S66" s="4" t="s">
        <v>187</v>
      </c>
      <c r="T66" s="4" t="s">
        <v>40</v>
      </c>
      <c r="U66" s="4" t="s">
        <v>948</v>
      </c>
      <c r="V66" s="4" t="s">
        <v>949</v>
      </c>
      <c r="W66" s="4" t="s">
        <v>950</v>
      </c>
      <c r="X66" s="4" t="s">
        <v>951</v>
      </c>
      <c r="Y66" s="4" t="s">
        <v>952</v>
      </c>
      <c r="Z66" s="4" t="s">
        <v>953</v>
      </c>
      <c r="AA66" s="4"/>
      <c r="AB66" s="6">
        <v>46224</v>
      </c>
      <c r="AC66" s="4" t="s">
        <v>946</v>
      </c>
      <c r="AD66" s="4" t="s">
        <v>954</v>
      </c>
    </row>
    <row r="67" spans="1:30" ht="85.5" customHeight="1">
      <c r="A67" s="3" t="s">
        <v>1015</v>
      </c>
      <c r="B67" s="4" t="s">
        <v>42</v>
      </c>
      <c r="C67" s="4" t="s">
        <v>955</v>
      </c>
      <c r="D67" s="4" t="s">
        <v>956</v>
      </c>
      <c r="E67" s="4" t="s">
        <v>31</v>
      </c>
      <c r="F67" s="4" t="s">
        <v>957</v>
      </c>
      <c r="G67" s="6">
        <v>46346</v>
      </c>
      <c r="H67" s="4" t="s">
        <v>33</v>
      </c>
      <c r="I67" s="4" t="s">
        <v>34</v>
      </c>
      <c r="J67" s="4" t="s">
        <v>35</v>
      </c>
      <c r="K67" s="4" t="str">
        <f t="shared" ca="1" si="1"/>
        <v>Abierta</v>
      </c>
      <c r="L67" s="8"/>
      <c r="M67" s="8">
        <v>30000</v>
      </c>
      <c r="N67" s="4" t="s">
        <v>51</v>
      </c>
      <c r="O67" s="4"/>
      <c r="P67" s="4" t="s">
        <v>37</v>
      </c>
      <c r="Q67" s="4" t="s">
        <v>958</v>
      </c>
      <c r="R67" s="4" t="s">
        <v>959</v>
      </c>
      <c r="S67" s="4" t="s">
        <v>187</v>
      </c>
      <c r="T67" s="4" t="s">
        <v>40</v>
      </c>
      <c r="U67" s="4" t="s">
        <v>960</v>
      </c>
      <c r="V67" s="4" t="s">
        <v>961</v>
      </c>
      <c r="W67" s="4" t="s">
        <v>962</v>
      </c>
      <c r="X67" s="4" t="s">
        <v>963</v>
      </c>
      <c r="Y67" s="4" t="s">
        <v>964</v>
      </c>
      <c r="Z67" s="4" t="s">
        <v>965</v>
      </c>
      <c r="AA67" s="4" t="s">
        <v>966</v>
      </c>
      <c r="AB67" s="6">
        <v>46224</v>
      </c>
      <c r="AC67" s="4" t="s">
        <v>956</v>
      </c>
      <c r="AD67" s="4" t="s">
        <v>967</v>
      </c>
    </row>
    <row r="68" spans="1:30" ht="85.5" customHeight="1">
      <c r="A68" s="3" t="s">
        <v>1016</v>
      </c>
      <c r="B68" s="4" t="s">
        <v>42</v>
      </c>
      <c r="C68" s="4" t="s">
        <v>968</v>
      </c>
      <c r="D68" s="4" t="s">
        <v>969</v>
      </c>
      <c r="E68" s="4" t="s">
        <v>43</v>
      </c>
      <c r="F68" s="4" t="s">
        <v>135</v>
      </c>
      <c r="G68" s="6">
        <v>46233</v>
      </c>
      <c r="H68" s="4" t="s">
        <v>33</v>
      </c>
      <c r="I68" s="4" t="s">
        <v>84</v>
      </c>
      <c r="J68" s="4" t="s">
        <v>35</v>
      </c>
      <c r="K68" s="4" t="str">
        <f t="shared" ca="1" si="1"/>
        <v>Próxima a vencer</v>
      </c>
      <c r="L68" s="8">
        <v>75000</v>
      </c>
      <c r="M68" s="8">
        <v>200000</v>
      </c>
      <c r="N68" s="4" t="s">
        <v>65</v>
      </c>
      <c r="O68" s="4" t="s">
        <v>83</v>
      </c>
      <c r="P68" s="4" t="s">
        <v>60</v>
      </c>
      <c r="Q68" s="4" t="s">
        <v>970</v>
      </c>
      <c r="R68" s="4" t="s">
        <v>971</v>
      </c>
      <c r="S68" s="4" t="s">
        <v>135</v>
      </c>
      <c r="T68" s="4" t="s">
        <v>972</v>
      </c>
      <c r="U68" s="4" t="s">
        <v>973</v>
      </c>
      <c r="V68" s="4" t="s">
        <v>974</v>
      </c>
      <c r="W68" s="4" t="s">
        <v>975</v>
      </c>
      <c r="X68" s="4" t="s">
        <v>976</v>
      </c>
      <c r="Y68" s="4" t="s">
        <v>977</v>
      </c>
      <c r="Z68" s="4" t="s">
        <v>978</v>
      </c>
      <c r="AA68" s="4"/>
      <c r="AB68" s="6">
        <v>46224</v>
      </c>
      <c r="AC68" s="4" t="s">
        <v>969</v>
      </c>
      <c r="AD68" s="4" t="s">
        <v>1022</v>
      </c>
    </row>
    <row r="69" spans="1:30" ht="85.5" customHeight="1">
      <c r="A69" s="3" t="s">
        <v>1017</v>
      </c>
      <c r="B69" s="4" t="s">
        <v>42</v>
      </c>
      <c r="C69" s="4" t="s">
        <v>979</v>
      </c>
      <c r="D69" s="4" t="s">
        <v>980</v>
      </c>
      <c r="E69" s="4" t="s">
        <v>80</v>
      </c>
      <c r="F69" s="4" t="s">
        <v>32</v>
      </c>
      <c r="G69" s="6">
        <v>46113</v>
      </c>
      <c r="H69" s="4" t="s">
        <v>33</v>
      </c>
      <c r="I69" s="4" t="s">
        <v>34</v>
      </c>
      <c r="J69" s="4" t="s">
        <v>50</v>
      </c>
      <c r="K69" s="4" t="str">
        <f t="shared" ca="1" si="1"/>
        <v>Cerrada</v>
      </c>
      <c r="L69" s="8"/>
      <c r="M69" s="8">
        <v>10000</v>
      </c>
      <c r="N69" s="4" t="s">
        <v>36</v>
      </c>
      <c r="O69" s="4" t="s">
        <v>138</v>
      </c>
      <c r="P69" s="4" t="s">
        <v>189</v>
      </c>
      <c r="Q69" s="4" t="s">
        <v>38</v>
      </c>
      <c r="R69" s="4" t="s">
        <v>981</v>
      </c>
      <c r="S69" s="4" t="s">
        <v>187</v>
      </c>
      <c r="T69" s="4" t="s">
        <v>982</v>
      </c>
      <c r="U69" s="4" t="s">
        <v>983</v>
      </c>
      <c r="V69" s="4" t="s">
        <v>984</v>
      </c>
      <c r="W69" s="4" t="s">
        <v>985</v>
      </c>
      <c r="X69" s="4" t="s">
        <v>986</v>
      </c>
      <c r="Y69" s="4" t="s">
        <v>987</v>
      </c>
      <c r="Z69" s="4" t="s">
        <v>988</v>
      </c>
      <c r="AA69" s="4" t="s">
        <v>989</v>
      </c>
      <c r="AB69" s="6">
        <v>46224</v>
      </c>
      <c r="AC69" s="4" t="s">
        <v>990</v>
      </c>
      <c r="AD69" s="4" t="s">
        <v>991</v>
      </c>
    </row>
    <row r="70" spans="1:30" ht="85.5" customHeight="1">
      <c r="A70" s="3" t="s">
        <v>1018</v>
      </c>
      <c r="B70" s="4" t="s">
        <v>42</v>
      </c>
      <c r="C70" s="4" t="s">
        <v>992</v>
      </c>
      <c r="D70" s="4" t="s">
        <v>993</v>
      </c>
      <c r="E70" s="4" t="s">
        <v>46</v>
      </c>
      <c r="F70" s="4" t="s">
        <v>1020</v>
      </c>
      <c r="G70" s="6">
        <v>46082</v>
      </c>
      <c r="H70" s="4" t="s">
        <v>33</v>
      </c>
      <c r="I70" s="4" t="s">
        <v>70</v>
      </c>
      <c r="J70" s="4" t="s">
        <v>50</v>
      </c>
      <c r="K70" s="4" t="str">
        <f t="shared" ca="1" si="1"/>
        <v>Cerrada</v>
      </c>
      <c r="L70" s="8"/>
      <c r="M70" s="8">
        <v>7500</v>
      </c>
      <c r="N70" s="4" t="s">
        <v>71</v>
      </c>
      <c r="O70" s="4">
        <v>7</v>
      </c>
      <c r="P70" s="4" t="s">
        <v>189</v>
      </c>
      <c r="Q70" s="4" t="s">
        <v>38</v>
      </c>
      <c r="R70" s="4" t="s">
        <v>994</v>
      </c>
      <c r="S70" s="4" t="s">
        <v>995</v>
      </c>
      <c r="T70" s="4" t="s">
        <v>996</v>
      </c>
      <c r="U70" s="4" t="s">
        <v>997</v>
      </c>
      <c r="V70" s="4" t="s">
        <v>998</v>
      </c>
      <c r="W70" s="4" t="s">
        <v>999</v>
      </c>
      <c r="X70" s="4" t="s">
        <v>1000</v>
      </c>
      <c r="Y70" s="4" t="s">
        <v>1001</v>
      </c>
      <c r="Z70" s="4" t="s">
        <v>1002</v>
      </c>
      <c r="AA70" s="4" t="s">
        <v>1003</v>
      </c>
      <c r="AB70" s="6">
        <v>46224</v>
      </c>
      <c r="AC70" s="4" t="s">
        <v>993</v>
      </c>
      <c r="AD70" s="4" t="s">
        <v>1004</v>
      </c>
    </row>
    <row r="71" spans="1:30" ht="85.5" customHeight="1">
      <c r="A71" s="3" t="s">
        <v>1019</v>
      </c>
      <c r="B71" s="4" t="s">
        <v>42</v>
      </c>
      <c r="C71" s="4" t="s">
        <v>1005</v>
      </c>
      <c r="D71" s="4" t="s">
        <v>1006</v>
      </c>
      <c r="E71" s="4" t="s">
        <v>80</v>
      </c>
      <c r="F71" s="4" t="s">
        <v>32</v>
      </c>
      <c r="G71" s="6">
        <v>46174</v>
      </c>
      <c r="H71" s="4" t="s">
        <v>33</v>
      </c>
      <c r="I71" s="4" t="s">
        <v>34</v>
      </c>
      <c r="J71" s="4" t="s">
        <v>50</v>
      </c>
      <c r="K71" s="4" t="str">
        <f t="shared" ca="1" si="1"/>
        <v>Cerrada</v>
      </c>
      <c r="L71" s="8">
        <v>2000</v>
      </c>
      <c r="M71" s="8">
        <v>2000</v>
      </c>
      <c r="N71" s="4" t="s">
        <v>36</v>
      </c>
      <c r="O71" s="4"/>
      <c r="P71" s="4" t="s">
        <v>52</v>
      </c>
      <c r="Q71" s="4" t="s">
        <v>1007</v>
      </c>
      <c r="R71" s="4" t="s">
        <v>74</v>
      </c>
      <c r="S71" s="4" t="s">
        <v>187</v>
      </c>
      <c r="T71" s="4" t="s">
        <v>635</v>
      </c>
      <c r="U71" s="4" t="s">
        <v>1008</v>
      </c>
      <c r="V71" s="4" t="s">
        <v>1009</v>
      </c>
      <c r="W71" s="4" t="s">
        <v>1010</v>
      </c>
      <c r="X71" s="4" t="s">
        <v>1011</v>
      </c>
      <c r="Y71" s="4" t="s">
        <v>1012</v>
      </c>
      <c r="Z71" s="4" t="s">
        <v>1013</v>
      </c>
      <c r="AA71" s="4"/>
      <c r="AB71" s="6">
        <v>46224</v>
      </c>
      <c r="AC71" s="4" t="s">
        <v>1006</v>
      </c>
      <c r="AD71" s="4" t="s">
        <v>1021</v>
      </c>
    </row>
    <row r="72" spans="1:30" ht="71.25">
      <c r="A72" s="3" t="s">
        <v>1111</v>
      </c>
      <c r="B72" s="4" t="s">
        <v>42</v>
      </c>
      <c r="C72" s="4" t="s">
        <v>1023</v>
      </c>
      <c r="D72" s="4" t="s">
        <v>1024</v>
      </c>
      <c r="E72" s="4" t="s">
        <v>31</v>
      </c>
      <c r="F72" s="4" t="s">
        <v>32</v>
      </c>
      <c r="G72" s="6">
        <v>46295</v>
      </c>
      <c r="H72" s="4" t="s">
        <v>33</v>
      </c>
      <c r="I72" s="4" t="s">
        <v>34</v>
      </c>
      <c r="J72" s="4" t="s">
        <v>35</v>
      </c>
      <c r="K72" s="4" t="str">
        <f t="shared" ca="1" si="1"/>
        <v>Abierta</v>
      </c>
      <c r="L72" s="8"/>
      <c r="M72" s="8">
        <v>750000</v>
      </c>
      <c r="N72" s="4" t="s">
        <v>36</v>
      </c>
      <c r="O72" s="4" t="s">
        <v>533</v>
      </c>
      <c r="P72" s="4" t="s">
        <v>189</v>
      </c>
      <c r="Q72" s="4" t="s">
        <v>1025</v>
      </c>
      <c r="R72" s="4" t="s">
        <v>46</v>
      </c>
      <c r="S72" s="4" t="s">
        <v>187</v>
      </c>
      <c r="T72" s="4" t="s">
        <v>635</v>
      </c>
      <c r="U72" s="4" t="s">
        <v>1026</v>
      </c>
      <c r="V72" s="4" t="s">
        <v>1027</v>
      </c>
      <c r="W72" s="4" t="s">
        <v>1028</v>
      </c>
      <c r="X72" s="4" t="s">
        <v>1029</v>
      </c>
      <c r="Y72" s="4" t="s">
        <v>1030</v>
      </c>
      <c r="Z72" s="4" t="s">
        <v>1031</v>
      </c>
      <c r="AA72" s="4"/>
      <c r="AB72" s="6">
        <v>46224</v>
      </c>
      <c r="AC72" s="4" t="s">
        <v>1032</v>
      </c>
      <c r="AD72" s="4" t="s">
        <v>1126</v>
      </c>
    </row>
    <row r="73" spans="1:30" ht="57">
      <c r="A73" s="3" t="s">
        <v>1112</v>
      </c>
      <c r="B73" s="4" t="s">
        <v>42</v>
      </c>
      <c r="C73" s="4" t="s">
        <v>1033</v>
      </c>
      <c r="D73" s="4" t="s">
        <v>1034</v>
      </c>
      <c r="E73" s="4" t="s">
        <v>47</v>
      </c>
      <c r="F73" s="4" t="s">
        <v>32</v>
      </c>
      <c r="G73" s="6">
        <v>46295</v>
      </c>
      <c r="H73" s="4" t="s">
        <v>33</v>
      </c>
      <c r="I73" s="4" t="s">
        <v>34</v>
      </c>
      <c r="J73" s="4" t="s">
        <v>35</v>
      </c>
      <c r="K73" s="4" t="str">
        <f t="shared" ca="1" si="1"/>
        <v>Abierta</v>
      </c>
      <c r="L73" s="8"/>
      <c r="M73" s="8"/>
      <c r="N73" s="4" t="s">
        <v>36</v>
      </c>
      <c r="O73" s="4"/>
      <c r="P73" s="4" t="s">
        <v>189</v>
      </c>
      <c r="Q73" s="4" t="s">
        <v>1035</v>
      </c>
      <c r="R73" s="4" t="s">
        <v>46</v>
      </c>
      <c r="S73" s="4" t="s">
        <v>187</v>
      </c>
      <c r="T73" s="4" t="s">
        <v>1036</v>
      </c>
      <c r="U73" s="4" t="s">
        <v>1037</v>
      </c>
      <c r="V73" s="4" t="s">
        <v>1038</v>
      </c>
      <c r="W73" s="4" t="s">
        <v>1039</v>
      </c>
      <c r="X73" s="4" t="s">
        <v>1040</v>
      </c>
      <c r="Y73" s="4" t="s">
        <v>1041</v>
      </c>
      <c r="Z73" s="4" t="s">
        <v>1042</v>
      </c>
      <c r="AA73" s="4"/>
      <c r="AB73" s="6">
        <v>46224</v>
      </c>
      <c r="AC73" s="4" t="s">
        <v>1043</v>
      </c>
      <c r="AD73" s="4" t="s">
        <v>1125</v>
      </c>
    </row>
    <row r="74" spans="1:30" ht="71.25">
      <c r="A74" s="3" t="s">
        <v>1113</v>
      </c>
      <c r="B74" s="4" t="s">
        <v>42</v>
      </c>
      <c r="C74" s="4" t="s">
        <v>1044</v>
      </c>
      <c r="D74" s="4" t="s">
        <v>1045</v>
      </c>
      <c r="E74" s="4" t="s">
        <v>55</v>
      </c>
      <c r="F74" s="4" t="s">
        <v>187</v>
      </c>
      <c r="G74" s="6">
        <v>46295</v>
      </c>
      <c r="H74" s="4" t="s">
        <v>33</v>
      </c>
      <c r="I74" s="4" t="s">
        <v>70</v>
      </c>
      <c r="J74" s="4" t="s">
        <v>35</v>
      </c>
      <c r="K74" s="4" t="str">
        <f t="shared" ca="1" si="1"/>
        <v>Abierta</v>
      </c>
      <c r="L74" s="8"/>
      <c r="M74" s="8">
        <v>5000</v>
      </c>
      <c r="N74" s="4" t="s">
        <v>51</v>
      </c>
      <c r="O74" s="4"/>
      <c r="P74" s="4" t="s">
        <v>72</v>
      </c>
      <c r="Q74" s="4" t="s">
        <v>1046</v>
      </c>
      <c r="R74" s="4" t="s">
        <v>46</v>
      </c>
      <c r="S74" s="4" t="s">
        <v>187</v>
      </c>
      <c r="T74" s="4" t="s">
        <v>1047</v>
      </c>
      <c r="U74" s="4" t="s">
        <v>1048</v>
      </c>
      <c r="V74" s="4" t="s">
        <v>1049</v>
      </c>
      <c r="W74" s="4" t="s">
        <v>1050</v>
      </c>
      <c r="X74" s="4" t="s">
        <v>1051</v>
      </c>
      <c r="Y74" s="4" t="s">
        <v>1052</v>
      </c>
      <c r="Z74" s="4" t="s">
        <v>1053</v>
      </c>
      <c r="AA74" s="4"/>
      <c r="AB74" s="6">
        <v>46224</v>
      </c>
      <c r="AC74" s="4" t="s">
        <v>1054</v>
      </c>
      <c r="AD74" s="4" t="s">
        <v>1124</v>
      </c>
    </row>
    <row r="75" spans="1:30" ht="71.25">
      <c r="A75" s="3" t="s">
        <v>1114</v>
      </c>
      <c r="B75" s="4" t="s">
        <v>42</v>
      </c>
      <c r="C75" s="4" t="s">
        <v>1055</v>
      </c>
      <c r="D75" s="4" t="s">
        <v>1045</v>
      </c>
      <c r="E75" s="4" t="s">
        <v>55</v>
      </c>
      <c r="F75" s="4" t="s">
        <v>187</v>
      </c>
      <c r="G75" s="6">
        <v>46249</v>
      </c>
      <c r="H75" s="4" t="s">
        <v>33</v>
      </c>
      <c r="I75" s="4" t="s">
        <v>70</v>
      </c>
      <c r="J75" s="4" t="s">
        <v>35</v>
      </c>
      <c r="K75" s="4" t="str">
        <f t="shared" ca="1" si="1"/>
        <v>Próxima a vencer</v>
      </c>
      <c r="L75" s="8"/>
      <c r="M75" s="8"/>
      <c r="N75" s="4"/>
      <c r="O75" s="4" t="s">
        <v>325</v>
      </c>
      <c r="P75" s="4" t="s">
        <v>52</v>
      </c>
      <c r="Q75" s="4" t="s">
        <v>1056</v>
      </c>
      <c r="R75" s="4" t="s">
        <v>74</v>
      </c>
      <c r="S75" s="4" t="s">
        <v>1057</v>
      </c>
      <c r="T75" s="4" t="s">
        <v>1058</v>
      </c>
      <c r="U75" s="4" t="s">
        <v>1059</v>
      </c>
      <c r="V75" s="4" t="s">
        <v>1060</v>
      </c>
      <c r="W75" s="4" t="s">
        <v>1061</v>
      </c>
      <c r="X75" s="4" t="s">
        <v>1062</v>
      </c>
      <c r="Y75" s="4" t="s">
        <v>1063</v>
      </c>
      <c r="Z75" s="4" t="s">
        <v>1064</v>
      </c>
      <c r="AA75" s="4"/>
      <c r="AB75" s="6">
        <v>46224</v>
      </c>
      <c r="AC75" s="4" t="s">
        <v>1065</v>
      </c>
      <c r="AD75" s="4" t="s">
        <v>1123</v>
      </c>
    </row>
    <row r="76" spans="1:30" ht="71.25">
      <c r="A76" s="3" t="s">
        <v>1115</v>
      </c>
      <c r="B76" s="4" t="s">
        <v>42</v>
      </c>
      <c r="C76" s="4" t="s">
        <v>1066</v>
      </c>
      <c r="D76" s="4" t="s">
        <v>1067</v>
      </c>
      <c r="E76" s="4" t="s">
        <v>80</v>
      </c>
      <c r="F76" s="4" t="s">
        <v>32</v>
      </c>
      <c r="G76" s="6"/>
      <c r="H76" s="4" t="s">
        <v>63</v>
      </c>
      <c r="I76" s="4" t="s">
        <v>70</v>
      </c>
      <c r="J76" s="4" t="s">
        <v>35</v>
      </c>
      <c r="K76" s="4" t="str">
        <f t="shared" ca="1" si="1"/>
        <v>Sin fecha</v>
      </c>
      <c r="L76" s="8">
        <v>200</v>
      </c>
      <c r="M76" s="8">
        <v>2000</v>
      </c>
      <c r="N76" s="4" t="s">
        <v>36</v>
      </c>
      <c r="O76" s="4"/>
      <c r="P76" s="4" t="s">
        <v>52</v>
      </c>
      <c r="Q76" s="4" t="s">
        <v>1068</v>
      </c>
      <c r="R76" s="4" t="s">
        <v>74</v>
      </c>
      <c r="S76" s="4" t="s">
        <v>1069</v>
      </c>
      <c r="T76" s="4" t="s">
        <v>1070</v>
      </c>
      <c r="U76" s="4" t="s">
        <v>1071</v>
      </c>
      <c r="V76" s="4" t="s">
        <v>1072</v>
      </c>
      <c r="W76" s="4" t="s">
        <v>1073</v>
      </c>
      <c r="X76" s="4" t="s">
        <v>1074</v>
      </c>
      <c r="Y76" s="4" t="s">
        <v>1075</v>
      </c>
      <c r="Z76" s="4" t="s">
        <v>1076</v>
      </c>
      <c r="AA76" s="4" t="s">
        <v>1077</v>
      </c>
      <c r="AB76" s="6">
        <v>46224</v>
      </c>
      <c r="AC76" s="4" t="s">
        <v>1078</v>
      </c>
      <c r="AD76" s="4" t="s">
        <v>1122</v>
      </c>
    </row>
    <row r="77" spans="1:30" ht="57">
      <c r="A77" s="3" t="s">
        <v>1116</v>
      </c>
      <c r="B77" s="4" t="s">
        <v>42</v>
      </c>
      <c r="C77" s="4" t="s">
        <v>1079</v>
      </c>
      <c r="D77" s="4" t="s">
        <v>1080</v>
      </c>
      <c r="E77" s="4" t="s">
        <v>80</v>
      </c>
      <c r="F77" s="4" t="s">
        <v>32</v>
      </c>
      <c r="G77" s="6">
        <v>46266</v>
      </c>
      <c r="H77" s="4" t="s">
        <v>33</v>
      </c>
      <c r="I77" s="4" t="s">
        <v>75</v>
      </c>
      <c r="J77" s="4" t="s">
        <v>35</v>
      </c>
      <c r="K77" s="4" t="str">
        <f t="shared" ca="1" si="1"/>
        <v>Abierta</v>
      </c>
      <c r="L77" s="8">
        <v>2500</v>
      </c>
      <c r="M77" s="8">
        <v>3000</v>
      </c>
      <c r="N77" s="4" t="s">
        <v>36</v>
      </c>
      <c r="O77" s="4"/>
      <c r="P77" s="4" t="s">
        <v>60</v>
      </c>
      <c r="Q77" s="4" t="s">
        <v>1081</v>
      </c>
      <c r="R77" s="4" t="s">
        <v>74</v>
      </c>
      <c r="S77" s="4" t="s">
        <v>187</v>
      </c>
      <c r="T77" s="4" t="s">
        <v>635</v>
      </c>
      <c r="U77" s="4" t="s">
        <v>1082</v>
      </c>
      <c r="V77" s="4" t="s">
        <v>1083</v>
      </c>
      <c r="W77" s="4" t="s">
        <v>1084</v>
      </c>
      <c r="X77" s="4" t="s">
        <v>1085</v>
      </c>
      <c r="Y77" s="4" t="s">
        <v>1086</v>
      </c>
      <c r="Z77" s="4" t="s">
        <v>1087</v>
      </c>
      <c r="AA77" s="4" t="s">
        <v>1088</v>
      </c>
      <c r="AB77" s="6">
        <v>46224</v>
      </c>
      <c r="AC77" s="4" t="s">
        <v>1080</v>
      </c>
      <c r="AD77" s="4" t="s">
        <v>1121</v>
      </c>
    </row>
    <row r="78" spans="1:30" ht="57">
      <c r="A78" s="3" t="s">
        <v>1117</v>
      </c>
      <c r="B78" s="4" t="s">
        <v>42</v>
      </c>
      <c r="C78" s="4" t="s">
        <v>1089</v>
      </c>
      <c r="D78" s="4" t="s">
        <v>1090</v>
      </c>
      <c r="E78" s="4" t="s">
        <v>80</v>
      </c>
      <c r="F78" s="4" t="s">
        <v>32</v>
      </c>
      <c r="G78" s="6">
        <v>46300</v>
      </c>
      <c r="H78" s="4" t="s">
        <v>33</v>
      </c>
      <c r="I78" s="4" t="s">
        <v>75</v>
      </c>
      <c r="J78" s="4" t="s">
        <v>35</v>
      </c>
      <c r="K78" s="4" t="str">
        <f t="shared" ca="1" si="1"/>
        <v>Abierta</v>
      </c>
      <c r="L78" s="8">
        <v>200000</v>
      </c>
      <c r="M78" s="8">
        <v>200000</v>
      </c>
      <c r="N78" s="4" t="s">
        <v>36</v>
      </c>
      <c r="O78" s="4"/>
      <c r="P78" s="4" t="s">
        <v>60</v>
      </c>
      <c r="Q78" s="4" t="s">
        <v>1091</v>
      </c>
      <c r="R78" s="4" t="s">
        <v>74</v>
      </c>
      <c r="S78" s="4" t="s">
        <v>187</v>
      </c>
      <c r="T78" s="4" t="s">
        <v>1092</v>
      </c>
      <c r="U78" s="4" t="s">
        <v>1093</v>
      </c>
      <c r="V78" s="4" t="s">
        <v>1094</v>
      </c>
      <c r="W78" s="4" t="s">
        <v>1095</v>
      </c>
      <c r="X78" s="4" t="s">
        <v>1096</v>
      </c>
      <c r="Y78" s="4" t="s">
        <v>1097</v>
      </c>
      <c r="Z78" s="4" t="s">
        <v>1098</v>
      </c>
      <c r="AA78" s="4" t="s">
        <v>1099</v>
      </c>
      <c r="AB78" s="6">
        <v>46224</v>
      </c>
      <c r="AC78" s="4" t="s">
        <v>1100</v>
      </c>
      <c r="AD78" s="4" t="s">
        <v>1120</v>
      </c>
    </row>
    <row r="79" spans="1:30" ht="57">
      <c r="A79" s="3" t="s">
        <v>1118</v>
      </c>
      <c r="B79" s="4" t="s">
        <v>42</v>
      </c>
      <c r="C79" s="4" t="s">
        <v>1101</v>
      </c>
      <c r="D79" s="4" t="s">
        <v>1080</v>
      </c>
      <c r="E79" s="4" t="s">
        <v>80</v>
      </c>
      <c r="F79" s="4" t="s">
        <v>32</v>
      </c>
      <c r="G79" s="6">
        <v>46266</v>
      </c>
      <c r="H79" s="4" t="s">
        <v>33</v>
      </c>
      <c r="I79" s="4" t="s">
        <v>75</v>
      </c>
      <c r="J79" s="4" t="s">
        <v>35</v>
      </c>
      <c r="K79" s="4" t="str">
        <f t="shared" ca="1" si="1"/>
        <v>Abierta</v>
      </c>
      <c r="L79" s="8">
        <v>2500</v>
      </c>
      <c r="M79" s="8">
        <v>4000</v>
      </c>
      <c r="N79" s="4" t="s">
        <v>36</v>
      </c>
      <c r="O79" s="4"/>
      <c r="P79" s="4" t="s">
        <v>60</v>
      </c>
      <c r="Q79" s="4" t="s">
        <v>1102</v>
      </c>
      <c r="R79" s="4" t="s">
        <v>74</v>
      </c>
      <c r="S79" s="4" t="s">
        <v>187</v>
      </c>
      <c r="T79" s="4" t="s">
        <v>1103</v>
      </c>
      <c r="U79" s="4" t="s">
        <v>1104</v>
      </c>
      <c r="V79" s="4" t="s">
        <v>1105</v>
      </c>
      <c r="W79" s="4" t="s">
        <v>1106</v>
      </c>
      <c r="X79" s="4" t="s">
        <v>1107</v>
      </c>
      <c r="Y79" s="4" t="s">
        <v>1108</v>
      </c>
      <c r="Z79" s="4" t="s">
        <v>1109</v>
      </c>
      <c r="AA79" s="4" t="s">
        <v>1110</v>
      </c>
      <c r="AB79" s="6">
        <v>46224</v>
      </c>
      <c r="AC79" s="4" t="s">
        <v>1080</v>
      </c>
      <c r="AD79" s="4" t="s">
        <v>1119</v>
      </c>
    </row>
    <row r="80" spans="1:30">
      <c r="A80" s="4" t="str">
        <f t="shared" ref="A72:A128" si="2">IF(C80="","","OP-"&amp;TEXT(ROW()-1,"0000"))</f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2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3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2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3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2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3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2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3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2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3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2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3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2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3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2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3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2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3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2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3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2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3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2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3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2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3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2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3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2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3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2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3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2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3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2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3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2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3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2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3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2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3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2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3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2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3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2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3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2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3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2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3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2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3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2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3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2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3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2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3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2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3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2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3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2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3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2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3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2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3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2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3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2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3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2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3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2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4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2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2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4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2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4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2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4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2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4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2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4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2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4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2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4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2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5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6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6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5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6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5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6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5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6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5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6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5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6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5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6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5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6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5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6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5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6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5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6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5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6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5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6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5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6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5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6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5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6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5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6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5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6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5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6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5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6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5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6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5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6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5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6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5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6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5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6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5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6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5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6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5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6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5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6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5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6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5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6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5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6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5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6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5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6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5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6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5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6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5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6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5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6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5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6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5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6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5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6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5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6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5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6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5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6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5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6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5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6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5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6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5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6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5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6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5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6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5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6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5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6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5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6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5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6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5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6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5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6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5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6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5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6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5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6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5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6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5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6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5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6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5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6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7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8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7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8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7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8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7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8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7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8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7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8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7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8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7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8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7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8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7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8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7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8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7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8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7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8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7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8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7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8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7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8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7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8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7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8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7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8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7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8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7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8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7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8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7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8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7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8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7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8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7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8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7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8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7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8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7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8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7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8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7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8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7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8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7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8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7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8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7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8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7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8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7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8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7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8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7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8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7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8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7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8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7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8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7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8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7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8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7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8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7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8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7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8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7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8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7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8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7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8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7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8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7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8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7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8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7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8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7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8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7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8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7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8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7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8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7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8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7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8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7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8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7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8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7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8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7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8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9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0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9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0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9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0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9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0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9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0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9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0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9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0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9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0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9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0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9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0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9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0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9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0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9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0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9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0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9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0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9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0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9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0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9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0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9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0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9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0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9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0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9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0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9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0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9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0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9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0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9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0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9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0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9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0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9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0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9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0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9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0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9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0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9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0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9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0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9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0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9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0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9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0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9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0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9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0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9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0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9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0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9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0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9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0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9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0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9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0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9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0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9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0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9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0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9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0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9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0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9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0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9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0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9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0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9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0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9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0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9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0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9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0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9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0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9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0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9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0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9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0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9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0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9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0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9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0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1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2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1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2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1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2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1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2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1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2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1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2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1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2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1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2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1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2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1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2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1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2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1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2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1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2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1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2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1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2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1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2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1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2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1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2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1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2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1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2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1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2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1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2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1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2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1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2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1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2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1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2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1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2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1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2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1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2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1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2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1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2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1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2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1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2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1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2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1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2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1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2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1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2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1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2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1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2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1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2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1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2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1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2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1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2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1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2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1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2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1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2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1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2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1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2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1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2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1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2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1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2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1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2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1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2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1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2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1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2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1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2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1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2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1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2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1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2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1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2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1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2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1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2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1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2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1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2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3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4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3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4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3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4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3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4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3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4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3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4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3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4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3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4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3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4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3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4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3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4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3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4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3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4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3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4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3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4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3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4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3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4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3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4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3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4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3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4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3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4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3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4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3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4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3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4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3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4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3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4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3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4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3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4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3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4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3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4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3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4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3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4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3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4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3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4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3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4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3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4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3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4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3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4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3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4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3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4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3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4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3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4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3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4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3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4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3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4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3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4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3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4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3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4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3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4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3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4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3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4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3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4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3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4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3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4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3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4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3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4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3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4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3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4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3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4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3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4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3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4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3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4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3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4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3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4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5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6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5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6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5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6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5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6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5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6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5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6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5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6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5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6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5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6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5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6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5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6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5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6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5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6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5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6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5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6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5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6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5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6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5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6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5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6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5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6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5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6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5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6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5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6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5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6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5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6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5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6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5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6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5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6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5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6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5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6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5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6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5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6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5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6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5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6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5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6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5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6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5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6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5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6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5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6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5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6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5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6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5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6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5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6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5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6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5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6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5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6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5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6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5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6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5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6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5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6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5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6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5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11" sqref="J11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  <c r="J9" t="s">
        <v>957</v>
      </c>
    </row>
    <row r="10" spans="1:10" ht="28.5">
      <c r="B10" t="s">
        <v>84</v>
      </c>
      <c r="D10" t="s">
        <v>84</v>
      </c>
      <c r="G10" s="10" t="s">
        <v>126</v>
      </c>
      <c r="J10" t="s">
        <v>1020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2026-07-21T20:16:42Z</dcterms:modified>
</cp:coreProperties>
</file>