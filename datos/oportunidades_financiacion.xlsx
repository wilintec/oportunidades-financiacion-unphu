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https://d.docs.live.net/2796b0d1104aec5a/UNPHU/Fuentes Financiacion Externas 2026/"/>
    </mc:Choice>
  </mc:AlternateContent>
  <xr:revisionPtr revIDLastSave="13" documentId="8_{C14D6F09-1B93-462F-AA33-5EAA9B55F73B}" xr6:coauthVersionLast="36" xr6:coauthVersionMax="36" xr10:uidLastSave="{8C90D661-570E-467B-B384-44D981355A9D}"/>
  <bookViews>
    <workbookView xWindow="0" yWindow="0" windowWidth="28800" windowHeight="12105" xr2:uid="{00000000-000D-0000-FFFF-FFFF00000000}"/>
  </bookViews>
  <sheets>
    <sheet name="Oportunidades" sheetId="1" r:id="rId1"/>
    <sheet name="Catálogos" sheetId="2" r:id="rId2"/>
    <sheet name="Guía de uso" sheetId="3" r:id="rId3"/>
  </sheets>
  <definedNames>
    <definedName name="ListaPaises">Catálogos!$J$2:INDEX(Catálogos!$J:$J,COUNTA(Catálogos!$J:$J))</definedName>
  </definedNames>
  <calcPr calcId="191029"/>
</workbook>
</file>

<file path=xl/calcChain.xml><?xml version="1.0" encoding="utf-8"?>
<calcChain xmlns="http://schemas.openxmlformats.org/spreadsheetml/2006/main">
  <c r="K19" i="1" l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8" i="1"/>
  <c r="K499" i="1" l="1"/>
  <c r="A499" i="1"/>
  <c r="K498" i="1"/>
  <c r="A498" i="1"/>
  <c r="K497" i="1"/>
  <c r="A497" i="1"/>
  <c r="K496" i="1"/>
  <c r="A496" i="1"/>
  <c r="K495" i="1"/>
  <c r="A495" i="1"/>
  <c r="K494" i="1"/>
  <c r="A494" i="1"/>
  <c r="K493" i="1"/>
  <c r="A493" i="1"/>
  <c r="K492" i="1"/>
  <c r="A492" i="1"/>
  <c r="K491" i="1"/>
  <c r="A491" i="1"/>
  <c r="K490" i="1"/>
  <c r="A490" i="1"/>
  <c r="K489" i="1"/>
  <c r="A489" i="1"/>
  <c r="K488" i="1"/>
  <c r="A488" i="1"/>
  <c r="K487" i="1"/>
  <c r="A487" i="1"/>
  <c r="K486" i="1"/>
  <c r="A486" i="1"/>
  <c r="K485" i="1"/>
  <c r="A485" i="1"/>
  <c r="K484" i="1"/>
  <c r="A484" i="1"/>
  <c r="K483" i="1"/>
  <c r="A483" i="1"/>
  <c r="K482" i="1"/>
  <c r="A482" i="1"/>
  <c r="K481" i="1"/>
  <c r="A481" i="1"/>
  <c r="K480" i="1"/>
  <c r="A480" i="1"/>
  <c r="K479" i="1"/>
  <c r="A479" i="1"/>
  <c r="K478" i="1"/>
  <c r="A478" i="1"/>
  <c r="K477" i="1"/>
  <c r="A477" i="1"/>
  <c r="K476" i="1"/>
  <c r="A476" i="1"/>
  <c r="K475" i="1"/>
  <c r="A475" i="1"/>
  <c r="K474" i="1"/>
  <c r="A474" i="1"/>
  <c r="K473" i="1"/>
  <c r="A473" i="1"/>
  <c r="K472" i="1"/>
  <c r="A472" i="1"/>
  <c r="K471" i="1"/>
  <c r="A471" i="1"/>
  <c r="K470" i="1"/>
  <c r="A470" i="1"/>
  <c r="K469" i="1"/>
  <c r="A469" i="1"/>
  <c r="K468" i="1"/>
  <c r="A468" i="1"/>
  <c r="K467" i="1"/>
  <c r="A467" i="1"/>
  <c r="K466" i="1"/>
  <c r="A466" i="1"/>
  <c r="K465" i="1"/>
  <c r="A465" i="1"/>
  <c r="K464" i="1"/>
  <c r="A464" i="1"/>
  <c r="K463" i="1"/>
  <c r="A463" i="1"/>
  <c r="K462" i="1"/>
  <c r="A462" i="1"/>
  <c r="K461" i="1"/>
  <c r="A461" i="1"/>
  <c r="K460" i="1"/>
  <c r="A460" i="1"/>
  <c r="K459" i="1"/>
  <c r="A459" i="1"/>
  <c r="K458" i="1"/>
  <c r="A458" i="1"/>
  <c r="K457" i="1"/>
  <c r="A457" i="1"/>
  <c r="K456" i="1"/>
  <c r="A456" i="1"/>
  <c r="K455" i="1"/>
  <c r="A455" i="1"/>
  <c r="K454" i="1"/>
  <c r="A454" i="1"/>
  <c r="K453" i="1"/>
  <c r="A453" i="1"/>
  <c r="K452" i="1"/>
  <c r="A452" i="1"/>
  <c r="K451" i="1"/>
  <c r="A451" i="1"/>
  <c r="K450" i="1"/>
  <c r="A450" i="1"/>
  <c r="K449" i="1"/>
  <c r="A449" i="1"/>
  <c r="K448" i="1"/>
  <c r="A448" i="1"/>
  <c r="K447" i="1"/>
  <c r="A447" i="1"/>
  <c r="K446" i="1"/>
  <c r="A446" i="1"/>
  <c r="K445" i="1"/>
  <c r="A445" i="1"/>
  <c r="K444" i="1"/>
  <c r="A444" i="1"/>
  <c r="K443" i="1"/>
  <c r="A443" i="1"/>
  <c r="K442" i="1"/>
  <c r="A442" i="1"/>
  <c r="K441" i="1"/>
  <c r="A441" i="1"/>
  <c r="K440" i="1"/>
  <c r="A440" i="1"/>
  <c r="K439" i="1"/>
  <c r="A439" i="1"/>
  <c r="K438" i="1"/>
  <c r="A438" i="1"/>
  <c r="K437" i="1"/>
  <c r="A437" i="1"/>
  <c r="K436" i="1"/>
  <c r="A436" i="1"/>
  <c r="K435" i="1"/>
  <c r="A435" i="1"/>
  <c r="K434" i="1"/>
  <c r="A434" i="1"/>
  <c r="K433" i="1"/>
  <c r="A433" i="1"/>
  <c r="K432" i="1"/>
  <c r="A432" i="1"/>
  <c r="K431" i="1"/>
  <c r="A431" i="1"/>
  <c r="K430" i="1"/>
  <c r="A430" i="1"/>
  <c r="K429" i="1"/>
  <c r="A429" i="1"/>
  <c r="K428" i="1"/>
  <c r="A428" i="1"/>
  <c r="K427" i="1"/>
  <c r="A427" i="1"/>
  <c r="K426" i="1"/>
  <c r="A426" i="1"/>
  <c r="K425" i="1"/>
  <c r="A425" i="1"/>
  <c r="K424" i="1"/>
  <c r="A424" i="1"/>
  <c r="K423" i="1"/>
  <c r="A423" i="1"/>
  <c r="K422" i="1"/>
  <c r="A422" i="1"/>
  <c r="K421" i="1"/>
  <c r="A421" i="1"/>
  <c r="K420" i="1"/>
  <c r="A420" i="1"/>
  <c r="K419" i="1"/>
  <c r="A419" i="1"/>
  <c r="K418" i="1"/>
  <c r="A418" i="1"/>
  <c r="K417" i="1"/>
  <c r="A417" i="1"/>
  <c r="K416" i="1"/>
  <c r="A416" i="1"/>
  <c r="K415" i="1"/>
  <c r="A415" i="1"/>
  <c r="K414" i="1"/>
  <c r="A414" i="1"/>
  <c r="K413" i="1"/>
  <c r="A413" i="1"/>
  <c r="K412" i="1"/>
  <c r="A412" i="1"/>
  <c r="K411" i="1"/>
  <c r="A411" i="1"/>
  <c r="K410" i="1"/>
  <c r="A410" i="1"/>
  <c r="K409" i="1"/>
  <c r="A409" i="1"/>
  <c r="K408" i="1"/>
  <c r="A408" i="1"/>
  <c r="K407" i="1"/>
  <c r="A407" i="1"/>
  <c r="K406" i="1"/>
  <c r="A406" i="1"/>
  <c r="K405" i="1"/>
  <c r="A405" i="1"/>
  <c r="K404" i="1"/>
  <c r="A404" i="1"/>
  <c r="K403" i="1"/>
  <c r="A403" i="1"/>
  <c r="K402" i="1"/>
  <c r="A402" i="1"/>
  <c r="K401" i="1"/>
  <c r="A401" i="1"/>
  <c r="K400" i="1"/>
  <c r="A400" i="1"/>
  <c r="K399" i="1"/>
  <c r="A399" i="1"/>
  <c r="K398" i="1"/>
  <c r="A398" i="1"/>
  <c r="K397" i="1"/>
  <c r="A397" i="1"/>
  <c r="K396" i="1"/>
  <c r="A396" i="1"/>
  <c r="K395" i="1"/>
  <c r="A395" i="1"/>
  <c r="K394" i="1"/>
  <c r="A394" i="1"/>
  <c r="K393" i="1"/>
  <c r="A393" i="1"/>
  <c r="K392" i="1"/>
  <c r="A392" i="1"/>
  <c r="K391" i="1"/>
  <c r="A391" i="1"/>
  <c r="K390" i="1"/>
  <c r="A390" i="1"/>
  <c r="K389" i="1"/>
  <c r="A389" i="1"/>
  <c r="K388" i="1"/>
  <c r="A388" i="1"/>
  <c r="K387" i="1"/>
  <c r="A387" i="1"/>
  <c r="K386" i="1"/>
  <c r="A386" i="1"/>
  <c r="K385" i="1"/>
  <c r="A385" i="1"/>
  <c r="K384" i="1"/>
  <c r="A384" i="1"/>
  <c r="K383" i="1"/>
  <c r="A383" i="1"/>
  <c r="K382" i="1"/>
  <c r="A382" i="1"/>
  <c r="K381" i="1"/>
  <c r="A381" i="1"/>
  <c r="K380" i="1"/>
  <c r="A380" i="1"/>
  <c r="K379" i="1"/>
  <c r="A379" i="1"/>
  <c r="K378" i="1"/>
  <c r="A378" i="1"/>
  <c r="K377" i="1"/>
  <c r="A377" i="1"/>
  <c r="K376" i="1"/>
  <c r="A376" i="1"/>
  <c r="K375" i="1"/>
  <c r="A375" i="1"/>
  <c r="K374" i="1"/>
  <c r="A374" i="1"/>
  <c r="K373" i="1"/>
  <c r="A373" i="1"/>
  <c r="K372" i="1"/>
  <c r="A372" i="1"/>
  <c r="K371" i="1"/>
  <c r="A371" i="1"/>
  <c r="K370" i="1"/>
  <c r="A370" i="1"/>
  <c r="K369" i="1"/>
  <c r="A369" i="1"/>
  <c r="K368" i="1"/>
  <c r="A368" i="1"/>
  <c r="K367" i="1"/>
  <c r="A367" i="1"/>
  <c r="K366" i="1"/>
  <c r="A366" i="1"/>
  <c r="K365" i="1"/>
  <c r="A365" i="1"/>
  <c r="K364" i="1"/>
  <c r="A364" i="1"/>
  <c r="K363" i="1"/>
  <c r="A363" i="1"/>
  <c r="K362" i="1"/>
  <c r="A362" i="1"/>
  <c r="K361" i="1"/>
  <c r="A361" i="1"/>
  <c r="K360" i="1"/>
  <c r="A360" i="1"/>
  <c r="K359" i="1"/>
  <c r="A359" i="1"/>
  <c r="K358" i="1"/>
  <c r="A358" i="1"/>
  <c r="K357" i="1"/>
  <c r="A357" i="1"/>
  <c r="K356" i="1"/>
  <c r="A356" i="1"/>
  <c r="K355" i="1"/>
  <c r="A355" i="1"/>
  <c r="K354" i="1"/>
  <c r="A354" i="1"/>
  <c r="K353" i="1"/>
  <c r="A353" i="1"/>
  <c r="K352" i="1"/>
  <c r="A352" i="1"/>
  <c r="K351" i="1"/>
  <c r="A351" i="1"/>
  <c r="K350" i="1"/>
  <c r="A350" i="1"/>
  <c r="K349" i="1"/>
  <c r="A349" i="1"/>
  <c r="K348" i="1"/>
  <c r="A348" i="1"/>
  <c r="K347" i="1"/>
  <c r="A347" i="1"/>
  <c r="K346" i="1"/>
  <c r="A346" i="1"/>
  <c r="K345" i="1"/>
  <c r="A345" i="1"/>
  <c r="K344" i="1"/>
  <c r="A344" i="1"/>
  <c r="K343" i="1"/>
  <c r="A343" i="1"/>
  <c r="K342" i="1"/>
  <c r="A342" i="1"/>
  <c r="K341" i="1"/>
  <c r="A341" i="1"/>
  <c r="K340" i="1"/>
  <c r="A340" i="1"/>
  <c r="K339" i="1"/>
  <c r="A339" i="1"/>
  <c r="K338" i="1"/>
  <c r="A338" i="1"/>
  <c r="K337" i="1"/>
  <c r="A337" i="1"/>
  <c r="K336" i="1"/>
  <c r="A336" i="1"/>
  <c r="K335" i="1"/>
  <c r="A335" i="1"/>
  <c r="K334" i="1"/>
  <c r="A334" i="1"/>
  <c r="K333" i="1"/>
  <c r="A333" i="1"/>
  <c r="K332" i="1"/>
  <c r="A332" i="1"/>
  <c r="K331" i="1"/>
  <c r="A331" i="1"/>
  <c r="K330" i="1"/>
  <c r="A330" i="1"/>
  <c r="K329" i="1"/>
  <c r="A329" i="1"/>
  <c r="K328" i="1"/>
  <c r="A328" i="1"/>
  <c r="K327" i="1"/>
  <c r="A327" i="1"/>
  <c r="K326" i="1"/>
  <c r="A326" i="1"/>
  <c r="K325" i="1"/>
  <c r="A325" i="1"/>
  <c r="K324" i="1"/>
  <c r="A324" i="1"/>
  <c r="K323" i="1"/>
  <c r="A323" i="1"/>
  <c r="K322" i="1"/>
  <c r="A322" i="1"/>
  <c r="K321" i="1"/>
  <c r="A321" i="1"/>
  <c r="K320" i="1"/>
  <c r="A320" i="1"/>
  <c r="K319" i="1"/>
  <c r="A319" i="1"/>
  <c r="K318" i="1"/>
  <c r="A318" i="1"/>
  <c r="K317" i="1"/>
  <c r="A317" i="1"/>
  <c r="K316" i="1"/>
  <c r="A316" i="1"/>
  <c r="K315" i="1"/>
  <c r="A315" i="1"/>
  <c r="K314" i="1"/>
  <c r="A314" i="1"/>
  <c r="K313" i="1"/>
  <c r="A313" i="1"/>
  <c r="K312" i="1"/>
  <c r="A312" i="1"/>
  <c r="K311" i="1"/>
  <c r="A311" i="1"/>
  <c r="K310" i="1"/>
  <c r="A310" i="1"/>
  <c r="K309" i="1"/>
  <c r="A309" i="1"/>
  <c r="K308" i="1"/>
  <c r="A308" i="1"/>
  <c r="K307" i="1"/>
  <c r="A307" i="1"/>
  <c r="K306" i="1"/>
  <c r="A306" i="1"/>
  <c r="K305" i="1"/>
  <c r="A305" i="1"/>
  <c r="K304" i="1"/>
  <c r="A304" i="1"/>
  <c r="K303" i="1"/>
  <c r="A303" i="1"/>
  <c r="K302" i="1"/>
  <c r="A302" i="1"/>
  <c r="K301" i="1"/>
  <c r="A301" i="1"/>
  <c r="K300" i="1"/>
  <c r="A300" i="1"/>
  <c r="K299" i="1"/>
  <c r="A299" i="1"/>
  <c r="K298" i="1"/>
  <c r="A298" i="1"/>
  <c r="K297" i="1"/>
  <c r="A297" i="1"/>
  <c r="K296" i="1"/>
  <c r="A296" i="1"/>
  <c r="K295" i="1"/>
  <c r="A295" i="1"/>
  <c r="K294" i="1"/>
  <c r="A294" i="1"/>
  <c r="K293" i="1"/>
  <c r="A293" i="1"/>
  <c r="K292" i="1"/>
  <c r="A292" i="1"/>
  <c r="K291" i="1"/>
  <c r="A291" i="1"/>
  <c r="K290" i="1"/>
  <c r="A290" i="1"/>
  <c r="K289" i="1"/>
  <c r="A289" i="1"/>
  <c r="K288" i="1"/>
  <c r="A288" i="1"/>
  <c r="K287" i="1"/>
  <c r="A287" i="1"/>
  <c r="K286" i="1"/>
  <c r="A286" i="1"/>
  <c r="K285" i="1"/>
  <c r="A285" i="1"/>
  <c r="K284" i="1"/>
  <c r="A284" i="1"/>
  <c r="K283" i="1"/>
  <c r="A283" i="1"/>
  <c r="K282" i="1"/>
  <c r="A282" i="1"/>
  <c r="K281" i="1"/>
  <c r="A281" i="1"/>
  <c r="K280" i="1"/>
  <c r="A280" i="1"/>
  <c r="K279" i="1"/>
  <c r="A279" i="1"/>
  <c r="K278" i="1"/>
  <c r="A278" i="1"/>
  <c r="K277" i="1"/>
  <c r="A277" i="1"/>
  <c r="K276" i="1"/>
  <c r="A276" i="1"/>
  <c r="K275" i="1"/>
  <c r="A275" i="1"/>
  <c r="K274" i="1"/>
  <c r="A274" i="1"/>
  <c r="K273" i="1"/>
  <c r="A273" i="1"/>
  <c r="K272" i="1"/>
  <c r="A272" i="1"/>
  <c r="K271" i="1"/>
  <c r="A271" i="1"/>
  <c r="K270" i="1"/>
  <c r="A270" i="1"/>
  <c r="K269" i="1"/>
  <c r="A269" i="1"/>
  <c r="K268" i="1"/>
  <c r="A268" i="1"/>
  <c r="K267" i="1"/>
  <c r="A267" i="1"/>
  <c r="K266" i="1"/>
  <c r="A266" i="1"/>
  <c r="K265" i="1"/>
  <c r="A265" i="1"/>
  <c r="K264" i="1"/>
  <c r="A264" i="1"/>
  <c r="K263" i="1"/>
  <c r="A263" i="1"/>
  <c r="K262" i="1"/>
  <c r="A262" i="1"/>
  <c r="K261" i="1"/>
  <c r="A261" i="1"/>
  <c r="K260" i="1"/>
  <c r="A260" i="1"/>
  <c r="K259" i="1"/>
  <c r="A259" i="1"/>
  <c r="K258" i="1"/>
  <c r="A258" i="1"/>
  <c r="K257" i="1"/>
  <c r="A257" i="1"/>
  <c r="K256" i="1"/>
  <c r="A256" i="1"/>
  <c r="K255" i="1"/>
  <c r="A255" i="1"/>
  <c r="K254" i="1"/>
  <c r="A254" i="1"/>
  <c r="K253" i="1"/>
  <c r="A253" i="1"/>
  <c r="K252" i="1"/>
  <c r="A252" i="1"/>
  <c r="K251" i="1"/>
  <c r="A251" i="1"/>
  <c r="K250" i="1"/>
  <c r="A250" i="1"/>
  <c r="K249" i="1"/>
  <c r="A249" i="1"/>
  <c r="K248" i="1"/>
  <c r="A248" i="1"/>
  <c r="K247" i="1"/>
  <c r="A247" i="1"/>
  <c r="K246" i="1"/>
  <c r="A246" i="1"/>
  <c r="K245" i="1"/>
  <c r="A245" i="1"/>
  <c r="K244" i="1"/>
  <c r="A244" i="1"/>
  <c r="K243" i="1"/>
  <c r="A243" i="1"/>
  <c r="K242" i="1"/>
  <c r="A242" i="1"/>
  <c r="K241" i="1"/>
  <c r="A241" i="1"/>
  <c r="K240" i="1"/>
  <c r="A240" i="1"/>
  <c r="K239" i="1"/>
  <c r="A239" i="1"/>
  <c r="K238" i="1"/>
  <c r="A238" i="1"/>
  <c r="K237" i="1"/>
  <c r="A237" i="1"/>
  <c r="K236" i="1"/>
  <c r="A236" i="1"/>
  <c r="K235" i="1"/>
  <c r="A235" i="1"/>
  <c r="K234" i="1"/>
  <c r="A234" i="1"/>
  <c r="K233" i="1"/>
  <c r="A233" i="1"/>
  <c r="K232" i="1"/>
  <c r="A232" i="1"/>
  <c r="K231" i="1"/>
  <c r="A231" i="1"/>
  <c r="K230" i="1"/>
  <c r="A230" i="1"/>
  <c r="K229" i="1"/>
  <c r="A229" i="1"/>
  <c r="K228" i="1"/>
  <c r="A228" i="1"/>
  <c r="K227" i="1"/>
  <c r="A227" i="1"/>
  <c r="K226" i="1"/>
  <c r="A226" i="1"/>
  <c r="K225" i="1"/>
  <c r="A225" i="1"/>
  <c r="K224" i="1"/>
  <c r="A224" i="1"/>
  <c r="K223" i="1"/>
  <c r="A223" i="1"/>
  <c r="K222" i="1"/>
  <c r="A222" i="1"/>
  <c r="K221" i="1"/>
  <c r="A221" i="1"/>
  <c r="K220" i="1"/>
  <c r="A220" i="1"/>
  <c r="K219" i="1"/>
  <c r="A219" i="1"/>
  <c r="K218" i="1"/>
  <c r="A218" i="1"/>
  <c r="K217" i="1"/>
  <c r="A217" i="1"/>
  <c r="K216" i="1"/>
  <c r="A216" i="1"/>
  <c r="K215" i="1"/>
  <c r="A215" i="1"/>
  <c r="K214" i="1"/>
  <c r="A214" i="1"/>
  <c r="K213" i="1"/>
  <c r="A213" i="1"/>
  <c r="K212" i="1"/>
  <c r="A212" i="1"/>
  <c r="K211" i="1"/>
  <c r="A211" i="1"/>
  <c r="K210" i="1"/>
  <c r="A210" i="1"/>
  <c r="K209" i="1"/>
  <c r="A209" i="1"/>
  <c r="K208" i="1"/>
  <c r="A208" i="1"/>
  <c r="K207" i="1"/>
  <c r="A207" i="1"/>
  <c r="K206" i="1"/>
  <c r="A206" i="1"/>
  <c r="K205" i="1"/>
  <c r="A205" i="1"/>
  <c r="K204" i="1"/>
  <c r="A204" i="1"/>
  <c r="K203" i="1"/>
  <c r="A203" i="1"/>
  <c r="K202" i="1"/>
  <c r="A202" i="1"/>
  <c r="K201" i="1"/>
  <c r="A201" i="1"/>
  <c r="K200" i="1"/>
  <c r="A200" i="1"/>
  <c r="K199" i="1"/>
  <c r="A199" i="1"/>
  <c r="K198" i="1"/>
  <c r="A198" i="1"/>
  <c r="K197" i="1"/>
  <c r="A197" i="1"/>
  <c r="K196" i="1"/>
  <c r="A196" i="1"/>
  <c r="K195" i="1"/>
  <c r="A195" i="1"/>
  <c r="K194" i="1"/>
  <c r="A194" i="1"/>
  <c r="K193" i="1"/>
  <c r="A193" i="1"/>
  <c r="K192" i="1"/>
  <c r="A192" i="1"/>
  <c r="K191" i="1"/>
  <c r="A191" i="1"/>
  <c r="K190" i="1"/>
  <c r="A190" i="1"/>
  <c r="K189" i="1"/>
  <c r="A189" i="1"/>
  <c r="K188" i="1"/>
  <c r="A188" i="1"/>
  <c r="K187" i="1"/>
  <c r="A187" i="1"/>
  <c r="K186" i="1"/>
  <c r="A186" i="1"/>
  <c r="K185" i="1"/>
  <c r="A185" i="1"/>
  <c r="K184" i="1"/>
  <c r="A184" i="1"/>
  <c r="K183" i="1"/>
  <c r="A183" i="1"/>
  <c r="K182" i="1"/>
  <c r="A182" i="1"/>
  <c r="K181" i="1"/>
  <c r="A181" i="1"/>
  <c r="K180" i="1"/>
  <c r="A180" i="1"/>
  <c r="K179" i="1"/>
  <c r="A179" i="1"/>
  <c r="K178" i="1"/>
  <c r="A178" i="1"/>
  <c r="K177" i="1"/>
  <c r="A177" i="1"/>
  <c r="K176" i="1"/>
  <c r="A176" i="1"/>
  <c r="K175" i="1"/>
  <c r="A175" i="1"/>
  <c r="K174" i="1"/>
  <c r="A174" i="1"/>
  <c r="K173" i="1"/>
  <c r="A173" i="1"/>
  <c r="K172" i="1"/>
  <c r="A172" i="1"/>
  <c r="K171" i="1"/>
  <c r="A171" i="1"/>
  <c r="K170" i="1"/>
  <c r="A170" i="1"/>
  <c r="K169" i="1"/>
  <c r="A169" i="1"/>
  <c r="K168" i="1"/>
  <c r="A168" i="1"/>
  <c r="K167" i="1"/>
  <c r="A167" i="1"/>
  <c r="K166" i="1"/>
  <c r="A166" i="1"/>
  <c r="K165" i="1"/>
  <c r="A165" i="1"/>
  <c r="K164" i="1"/>
  <c r="A164" i="1"/>
  <c r="K163" i="1"/>
  <c r="A163" i="1"/>
  <c r="K162" i="1"/>
  <c r="A162" i="1"/>
  <c r="K161" i="1"/>
  <c r="A161" i="1"/>
  <c r="K160" i="1"/>
  <c r="A160" i="1"/>
  <c r="K159" i="1"/>
  <c r="A159" i="1"/>
  <c r="K158" i="1"/>
  <c r="A158" i="1"/>
  <c r="K157" i="1"/>
  <c r="A157" i="1"/>
  <c r="K156" i="1"/>
  <c r="A156" i="1"/>
  <c r="K155" i="1"/>
  <c r="A155" i="1"/>
  <c r="K154" i="1"/>
  <c r="A154" i="1"/>
  <c r="K153" i="1"/>
  <c r="A153" i="1"/>
  <c r="K152" i="1"/>
  <c r="A152" i="1"/>
  <c r="K151" i="1"/>
  <c r="A151" i="1"/>
  <c r="K150" i="1"/>
  <c r="A150" i="1"/>
  <c r="K149" i="1"/>
  <c r="A149" i="1"/>
  <c r="K148" i="1"/>
  <c r="A148" i="1"/>
  <c r="K147" i="1"/>
  <c r="A147" i="1"/>
  <c r="K146" i="1"/>
  <c r="A146" i="1"/>
  <c r="K145" i="1"/>
  <c r="A145" i="1"/>
  <c r="K144" i="1"/>
  <c r="A144" i="1"/>
  <c r="K143" i="1"/>
  <c r="A143" i="1"/>
  <c r="K142" i="1"/>
  <c r="A142" i="1"/>
  <c r="K141" i="1"/>
  <c r="A141" i="1"/>
  <c r="K140" i="1"/>
  <c r="A140" i="1"/>
  <c r="K139" i="1"/>
  <c r="A139" i="1"/>
  <c r="K138" i="1"/>
  <c r="A138" i="1"/>
  <c r="K137" i="1"/>
  <c r="A137" i="1"/>
  <c r="K136" i="1"/>
  <c r="A136" i="1"/>
  <c r="K135" i="1"/>
  <c r="A135" i="1"/>
  <c r="K134" i="1"/>
  <c r="A134" i="1"/>
  <c r="K133" i="1"/>
  <c r="A133" i="1"/>
  <c r="K132" i="1"/>
  <c r="A132" i="1"/>
  <c r="K131" i="1"/>
  <c r="A131" i="1"/>
  <c r="K130" i="1"/>
  <c r="A130" i="1"/>
  <c r="K129" i="1"/>
  <c r="A129" i="1"/>
  <c r="K128" i="1"/>
  <c r="A128" i="1"/>
  <c r="K127" i="1"/>
  <c r="A127" i="1"/>
  <c r="K126" i="1"/>
  <c r="A126" i="1"/>
  <c r="K125" i="1"/>
  <c r="A125" i="1"/>
  <c r="K124" i="1"/>
  <c r="A124" i="1"/>
  <c r="K123" i="1"/>
  <c r="A123" i="1"/>
  <c r="K122" i="1"/>
  <c r="A122" i="1"/>
  <c r="K121" i="1"/>
  <c r="A121" i="1"/>
  <c r="K120" i="1"/>
  <c r="A120" i="1"/>
  <c r="K119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Z20" i="1"/>
  <c r="Z19" i="1"/>
  <c r="Z18" i="1"/>
  <c r="Z17" i="1"/>
</calcChain>
</file>

<file path=xl/sharedStrings.xml><?xml version="1.0" encoding="utf-8"?>
<sst xmlns="http://schemas.openxmlformats.org/spreadsheetml/2006/main" count="1825" uniqueCount="1024">
  <si>
    <t>ID</t>
  </si>
  <si>
    <t>Publicar</t>
  </si>
  <si>
    <t>Título de la oportunidad</t>
  </si>
  <si>
    <t>Financiador</t>
  </si>
  <si>
    <t>Tipo de financiador</t>
  </si>
  <si>
    <t>País del financiador</t>
  </si>
  <si>
    <t>Fecha límite</t>
  </si>
  <si>
    <t>Tipo de fecha</t>
  </si>
  <si>
    <t>Tipo de entrega</t>
  </si>
  <si>
    <t>Estado manual</t>
  </si>
  <si>
    <t>Estado calculado</t>
  </si>
  <si>
    <t>Monto mínimo</t>
  </si>
  <si>
    <t>Monto máximo</t>
  </si>
  <si>
    <t>Moneda</t>
  </si>
  <si>
    <t>Duración</t>
  </si>
  <si>
    <t>Tipo de financiamiento</t>
  </si>
  <si>
    <t>Perfil profesional</t>
  </si>
  <si>
    <t>Tipo de solicitante</t>
  </si>
  <si>
    <t>Ubicación elegible</t>
  </si>
  <si>
    <t>Ciudadanía elegible</t>
  </si>
  <si>
    <t>Área temática principal</t>
  </si>
  <si>
    <t>Palabras clave</t>
  </si>
  <si>
    <t>Resumen</t>
  </si>
  <si>
    <t>Elegibilidad</t>
  </si>
  <si>
    <t>Notas de la convocatoria</t>
  </si>
  <si>
    <t>Enlace oficial</t>
  </si>
  <si>
    <t>Enlace Pivot-RP</t>
  </si>
  <si>
    <t>Fecha de verificación</t>
  </si>
  <si>
    <t>Fuente / responsable</t>
  </si>
  <si>
    <t>Observaciones internas</t>
  </si>
  <si>
    <t>No</t>
  </si>
  <si>
    <t>Fundación privada</t>
  </si>
  <si>
    <t>Estados Unidos</t>
  </si>
  <si>
    <t>Confirmada</t>
  </si>
  <si>
    <t>Propuesta completa</t>
  </si>
  <si>
    <t>Abierta</t>
  </si>
  <si>
    <t>USD</t>
  </si>
  <si>
    <t>Proyecto de investigación</t>
  </si>
  <si>
    <t>Investigador emergente; Investigador establecido</t>
  </si>
  <si>
    <t>Institución académica; ONG</t>
  </si>
  <si>
    <t>Sin restricción</t>
  </si>
  <si>
    <t>IA; aprendizaje automático; innovación</t>
  </si>
  <si>
    <t>Sí</t>
  </si>
  <si>
    <t>Gobierno nacional</t>
  </si>
  <si>
    <t>Expresión de interés</t>
  </si>
  <si>
    <t>Estudiante de grado</t>
  </si>
  <si>
    <t>Institución académica</t>
  </si>
  <si>
    <t>Gobierno internacional</t>
  </si>
  <si>
    <t>Anticipada</t>
  </si>
  <si>
    <t>Carta de intención</t>
  </si>
  <si>
    <t>Cerrada</t>
  </si>
  <si>
    <t>EUR</t>
  </si>
  <si>
    <t>Beca</t>
  </si>
  <si>
    <t>Estudiante de posgrado</t>
  </si>
  <si>
    <t>Empresa</t>
  </si>
  <si>
    <t>Organización internacional</t>
  </si>
  <si>
    <t>Continua</t>
  </si>
  <si>
    <t>Prepropuesta</t>
  </si>
  <si>
    <t>Suspendida</t>
  </si>
  <si>
    <t>GBP</t>
  </si>
  <si>
    <t>Premio</t>
  </si>
  <si>
    <t>Investigador emergente</t>
  </si>
  <si>
    <t>ONG</t>
  </si>
  <si>
    <t>Sin fecha</t>
  </si>
  <si>
    <t>En revisión</t>
  </si>
  <si>
    <t>DOP</t>
  </si>
  <si>
    <t>Fellowship / posdoctorado</t>
  </si>
  <si>
    <t>Investigador establecido</t>
  </si>
  <si>
    <t>Gobierno</t>
  </si>
  <si>
    <t>Empresa privada</t>
  </si>
  <si>
    <t>Solicitud</t>
  </si>
  <si>
    <t>CAD</t>
  </si>
  <si>
    <t>Capacitación</t>
  </si>
  <si>
    <t>Profesor</t>
  </si>
  <si>
    <t>Persona individual</t>
  </si>
  <si>
    <t>Nominación</t>
  </si>
  <si>
    <t>Otra</t>
  </si>
  <si>
    <t>Publicación / difusión</t>
  </si>
  <si>
    <t>Postdoctorado</t>
  </si>
  <si>
    <t>Consorcio</t>
  </si>
  <si>
    <t>Asociación profesional</t>
  </si>
  <si>
    <t>Cuestionario</t>
  </si>
  <si>
    <t>Innovación</t>
  </si>
  <si>
    <t>No aplica</t>
  </si>
  <si>
    <t>Otro</t>
  </si>
  <si>
    <t>Plantilla maestra de oportunidades de financiamiento</t>
  </si>
  <si>
    <t>Paso</t>
  </si>
  <si>
    <t>Qué hacer</t>
  </si>
  <si>
    <t>Recomendación</t>
  </si>
  <si>
    <t>Campo clave</t>
  </si>
  <si>
    <t>Ejemplo</t>
  </si>
  <si>
    <t>Obligatorio</t>
  </si>
  <si>
    <t>Registrar una oportunidad por fila.</t>
  </si>
  <si>
    <t>No combinar varias convocatorias en una sola fila.</t>
  </si>
  <si>
    <t>Título</t>
  </si>
  <si>
    <t>Convocatoria de investigación en IA</t>
  </si>
  <si>
    <t>Guardar fechas como fechas reales de Excel.</t>
  </si>
  <si>
    <t>No escribir 'abril 2027' como texto.</t>
  </si>
  <si>
    <t>2027-04-15</t>
  </si>
  <si>
    <t>Cuando exista</t>
  </si>
  <si>
    <t>Separar monto y moneda.</t>
  </si>
  <si>
    <t>No escribir '$50,000 USD' en una sola celda.</t>
  </si>
  <si>
    <t>Monto máximo / Moneda</t>
  </si>
  <si>
    <t>50000 / USD</t>
  </si>
  <si>
    <t>Recomendado</t>
  </si>
  <si>
    <t>Usar listas desplegables.</t>
  </si>
  <si>
    <t>Mantiene categorías uniformes para filtros web.</t>
  </si>
  <si>
    <t>Tipo, estado, moneda</t>
  </si>
  <si>
    <t>Copiar la URL oficial completa.</t>
  </si>
  <si>
    <t>Priorizar la fuente del financiador.</t>
  </si>
  <si>
    <t>https://...</t>
  </si>
  <si>
    <t>Registrar la última verificación.</t>
  </si>
  <si>
    <t>Permite detectar información desactualizada.</t>
  </si>
  <si>
    <t>2026-07-15</t>
  </si>
  <si>
    <t>Usar 'Publicar = No' para borradores.</t>
  </si>
  <si>
    <t>La futura web puede excluir esas filas.</t>
  </si>
  <si>
    <t>Sí / No</t>
  </si>
  <si>
    <t>No borrar las columnas calculadas.</t>
  </si>
  <si>
    <t>Estado calculado se actualiza según TODAY().</t>
  </si>
  <si>
    <t>Abierta / Vencida</t>
  </si>
  <si>
    <t>Automático</t>
  </si>
  <si>
    <t>Si</t>
  </si>
  <si>
    <t>Vision Grants</t>
  </si>
  <si>
    <t>Spencer Foundation</t>
  </si>
  <si>
    <t>12-18 meses</t>
  </si>
  <si>
    <t>Planificacion de investigación</t>
  </si>
  <si>
    <t>Planificacion de 
investigación</t>
  </si>
  <si>
    <t>Multidisciplinar</t>
  </si>
  <si>
    <t>Financia la planificación de estudios o programas de investigación de gran escala orientados a transformar sistemas educativos mediante colaboración entre investigadores, docentes, comunidades y responsables de políticas.</t>
  </si>
  <si>
    <t>La propuesta debe ser administrada por una organización sin fines de lucro. UNPHU podría presentar institucionalmente.</t>
  </si>
  <si>
    <t>Formulario de intención: 12/08/2026. Propuesta completa: 16/09/2026.</t>
  </si>
  <si>
    <t>https://www.spencer.org/grant_types/vision-grants</t>
  </si>
  <si>
    <t>Amazon Web Services</t>
  </si>
  <si>
    <t>AWS Cloud Credit for Research</t>
  </si>
  <si>
    <t>Pais</t>
  </si>
  <si>
    <t>República Dominicana</t>
  </si>
  <si>
    <t>España</t>
  </si>
  <si>
    <t>sin limite</t>
  </si>
  <si>
    <t>12 meses</t>
  </si>
  <si>
    <t>Docentes, investigadores y estudiantes de posgrado o doctorado</t>
  </si>
  <si>
    <t>Investigador afiliado a institución 
acreditada</t>
  </si>
  <si>
    <t>IA; Cloud; AWS</t>
  </si>
  <si>
    <t>Proporciona infraestructura en la nube para pruebas de concepto, procesamiento de datos, modelos de IA y herramientas científicas.</t>
  </si>
  <si>
    <t>Docentes e investigadores de tiempo completo 
y estudiantes de posgrado de instituciones acreditadas.</t>
  </si>
  <si>
    <t>Evaluación continua. La revisión puede tardar entre 90 y 120 días. No entrega efectivo</t>
  </si>
  <si>
    <t>https://aws.amazon.com/es/government-education/research-and-technical-computing/cloud-credit-for-research/?</t>
  </si>
  <si>
    <t>OpenAI</t>
  </si>
  <si>
    <t>OpenAI Researcher Access Program</t>
  </si>
  <si>
    <t>Créditos de API</t>
  </si>
  <si>
    <t>Investigadores, especialmente en etapas iniciales o con recursos limitados</t>
  </si>
  <si>
    <t>Investigador individual o afiliado a institución  acreditada</t>
  </si>
  <si>
    <t xml:space="preserve">Paises selectos </t>
  </si>
  <si>
    <t>IA;OpenIA; LLM</t>
  </si>
  <si>
    <t>Apoya investigaciones sobre despliegue responsable, riesgos, representación e impacto social de sistemas de inteligencia artificial.</t>
  </si>
  <si>
    <t>El investigador debe estar ubicado en un país admitido y explicar la pregunta de investigación y el uso de los modelos.</t>
  </si>
  <si>
    <t>Las solicitudes se revisan en marzo, junio, septiembre y diciembre.</t>
  </si>
  <si>
    <t>https://openai.com/form/researcher-access-program/</t>
  </si>
  <si>
    <t>Puede financiar entrenamiento, despliegue, almacenamiento y experimentación del sistema adaptativo.</t>
  </si>
  <si>
    <t>Excelente para diseñar y validar un sistema de gamificación adaptativa para enseñanza de programación.</t>
  </si>
  <si>
    <t>FONDOCYT</t>
  </si>
  <si>
    <t>MESCyT</t>
  </si>
  <si>
    <t>Investigador principal y coinvestigadores inscritos y activos en la carrera nacional de investigadores</t>
  </si>
  <si>
    <t>Institucion de Educacion Superior dominicana o centro de investigación reconocido</t>
  </si>
  <si>
    <t xml:space="preserve"> Ciencias básicas;Medio ambiente; recursos naturales; cambio climático; economía azul; Salud; biomedicina; epidemiología; insumos biomédicos y ciencias
farmacéuticas; 5. Ingeniería, energía; materiales avanzados; mecatrónica; economía circular
de residuos; Tecnologías de la información, software e inteligencia artificial; Ciencias sociales, humanísticas; educaciónsuperior; cultura;
ciencia abierta y ciencia ciudadana; Políticas públicas; modernización del Estado; ciudades,territorio;
logística; servicios públicos y seguridad nacional</t>
  </si>
  <si>
    <t>Financia investigación básica, aplicada, I+D+i y transferencia tecnológica. Reconoce la IA y la ciencia de datos como tecnologías estratégicas.</t>
  </si>
  <si>
    <t>UNPHU es elegible. El IP y los coinvestigadores deben pertenecer a la Carrera Nacional de Investigadores.</t>
  </si>
  <si>
    <t>https://mescyt.gob.do/wp-content/uploads/2026/03/Llamado-Convocatoria-FONDOCYT-2025-2026-2.pdf</t>
  </si>
  <si>
    <t>Preparar desde ahora la propuesta para el próximo ciclo.</t>
  </si>
  <si>
    <t>Google.org Generative AI Accelerator</t>
  </si>
  <si>
    <t>Google</t>
  </si>
  <si>
    <t>Empresa privada / filantropía corporativa</t>
  </si>
  <si>
    <t xml:space="preserve"> 6 meses</t>
  </si>
  <si>
    <t>Investigación, I+D+i; transferencia tecnológica</t>
  </si>
  <si>
    <t>Equipos de universidades, organizaciones sociales y empresas sociales</t>
  </si>
  <si>
    <t>Subvención, asistencia técnica y créditos Google Cloud</t>
  </si>
  <si>
    <t>Universidad, entidad cívica, ONG o empresa social</t>
  </si>
  <si>
    <t>Sin restriccion</t>
  </si>
  <si>
    <t>GenAI; aprendizaje; habilidades; programación; Google Cloud; impacto social</t>
  </si>
  <si>
    <t>Programa global para desarrollar soluciones de IA generativa con impacto social en conocimiento, aprendizaje y habilidades.</t>
  </si>
  <si>
    <t>UNPHU puede postular como institución académica. Se valoran alianzas con organizaciones de aplicación práctica.</t>
  </si>
  <si>
    <t>Para I+D+i y transferencia puede requerirse empresa asociada y aporte mínimo del 20 %</t>
  </si>
  <si>
    <t>Vigilar una nueva edición.</t>
  </si>
  <si>
    <t>https://impactchallenge.withgoogle.com/genaiaccelerator</t>
  </si>
  <si>
    <t>https://pivot.proquest.com/funding_opps/eab18edd-bc1f-4f00-b3ad-f2f1552f7976</t>
  </si>
  <si>
    <t>Presentar la solución como mejora medible del aprendizaje y de la empleabilidad digital.</t>
  </si>
  <si>
    <t>UNU-WIDER: IA y mercado laboral</t>
  </si>
  <si>
    <t>UNU-WIDER / Naciones Unidas</t>
  </si>
  <si>
    <t>Internacional</t>
  </si>
  <si>
    <t>24 meses</t>
  </si>
  <si>
    <t>Subvención de investigación</t>
  </si>
  <si>
    <t>Científicos sociales cuantitativos de carrera temprana</t>
  </si>
  <si>
    <t>Institución de investigación</t>
  </si>
  <si>
    <t>Internacional, con énfasis en países de ingresos bajos y medios</t>
  </si>
  <si>
    <t>IA; programación; empleabilidad; productividad; desigualdad; experimento de campo</t>
  </si>
  <si>
    <t>Financia estudios rigurosos sobre efectos de herramientas de IA en empresas, trabajadores, productividad, empleo e inequidad.</t>
  </si>
  <si>
    <t>Favorece investigadores de carrera temprana y del Sur Global.</t>
  </si>
  <si>
    <t>Requiere relacionar la formación adaptativa con productividad, empleo o resultados laborales.</t>
  </si>
  <si>
    <t>https://www.wider.unu.edu/opportunity/effects-artificial-intelligence-firm-and-labour-market-outcomes</t>
  </si>
  <si>
    <t>https://pivot.proquest.com/funding_opps/7c1ebfe4-9115-40a7-af84-f2f1552f7976</t>
  </si>
  <si>
    <t>Encaje indirecto, pero viable como experimento sobre formación y empleabilidad.</t>
  </si>
  <si>
    <t>ARIA Mathematics for Safe AI</t>
  </si>
  <si>
    <t>Advanced Research + Invention Agency</t>
  </si>
  <si>
    <t>Reino Unido</t>
  </si>
  <si>
    <t>Investigadores, equipos, estudiantes, empresas y entidades públicas</t>
  </si>
  <si>
    <t>Individuo, universidad, empresa 
u organización</t>
  </si>
  <si>
    <t>Prioridad a UK</t>
  </si>
  <si>
    <t xml:space="preserve">IA generativa para aprendizaje </t>
  </si>
  <si>
    <t>IA; habilidades y mercado laboral</t>
  </si>
  <si>
    <t>IA; Cambio Climatico; Ciberseguridad</t>
  </si>
  <si>
    <t>Financia ideas audaces basadas en matemáticas y métodos formales para asegurar que los sistemas de IA actúen como se espera.</t>
  </si>
  <si>
    <t>Se consideran solicitantes internacionales cuando el proyecto beneficia significativamente al Reino Unido.</t>
  </si>
  <si>
    <t>https://aria.org.uk/funding-opportunities</t>
  </si>
  <si>
    <t>https://pivot.proquest.com/funding_opps/83ca791d-b275-4b81-9778-f2f1552f7976</t>
  </si>
  <si>
    <t>Solo recomendable con socio británico.</t>
  </si>
  <si>
    <t>Tecnologia; Medio Ambiente; Matematicas</t>
  </si>
  <si>
    <t>Van abriendo convocatorias durante año</t>
  </si>
  <si>
    <t>Google PhD Fellowship</t>
  </si>
  <si>
    <t>2026-001</t>
  </si>
  <si>
    <t>2026-002</t>
  </si>
  <si>
    <t>2026-003</t>
  </si>
  <si>
    <t>2026-004</t>
  </si>
  <si>
    <t>2026-005</t>
  </si>
  <si>
    <t>2026-006</t>
  </si>
  <si>
    <t>2026-007</t>
  </si>
  <si>
    <t>2026-008</t>
  </si>
  <si>
    <t>Estudiantes de doctorado  de computaciones o ciencias similares</t>
  </si>
  <si>
    <t>Ciencias de la computacion y ciencias de la salud</t>
  </si>
  <si>
    <t>Computación; Salud; Algoritmos y Optimizacion; IA; Redes; Cloud</t>
  </si>
  <si>
    <t>Apoya estudiantes doctorales destacados en áreas de investigación informática, y ciencias de la salud.</t>
  </si>
  <si>
    <t>La universidad debe nominar al estudiante</t>
  </si>
  <si>
    <t>No financia directamente el proyecto institucional.</t>
  </si>
  <si>
    <t>https://research.google/programs-and-events/phd-fellowship/</t>
  </si>
  <si>
    <t>Abre cada año. estar atento</t>
  </si>
  <si>
    <t>2026-009</t>
  </si>
  <si>
    <t>Improving Capability Evaluations</t>
  </si>
  <si>
    <t>Open Philanthropy</t>
  </si>
  <si>
    <t>Investigadores de carrera
 temprana o consolidada</t>
  </si>
  <si>
    <t>Universidad, ONG, empresa o nueva organización</t>
  </si>
  <si>
    <t>Amplia elegibilidad internacional.</t>
  </si>
  <si>
    <t>Medio Ambiente; Ciencias de Salud; Computacion</t>
  </si>
  <si>
    <t>IA; Calidad del Aire; Salud y Bienestar</t>
  </si>
  <si>
    <t>No existe una única regla de elegibilidad para todos los fondos. Depende de cada convocatoria, pero el espectro de beneficiarios es amplio.</t>
  </si>
  <si>
    <t>No funciona como una agencia tradicional con un calendario anual uniforme: la mayoría de sus subvenciones se identifica mediante investigación propia y contacto directo con posibles beneficiarios</t>
  </si>
  <si>
    <t>https://coefficientgiving.org/funds/</t>
  </si>
  <si>
    <t>https://pivot.proquest.com/funding_opps/f6991b86-5e72-4139-9013-f2f1552f7976</t>
  </si>
  <si>
    <t>No existe un calendario, estar atento</t>
  </si>
  <si>
    <t>2026-010</t>
  </si>
  <si>
    <t>IBM</t>
  </si>
  <si>
    <t>El estudiante debe ser nominado por un docente. Existen límites institucionales de nominaciones.</t>
  </si>
  <si>
    <t>Doctorado; IA; programación; nube híbrida; computación responsable; educación</t>
  </si>
  <si>
    <t>IA y computación responsable</t>
  </si>
  <si>
    <t>Beca doctoral alineada con áreas estratégicas de IBM, incluyendo IA y computación responsable.</t>
  </si>
  <si>
    <t>https://research.ibm.com/labs/yorktown-heights/ibm-academic-awards-program</t>
  </si>
  <si>
    <t>https://pivot.proquest.com/funding_opps/95edca90-0c52-429e-8e63-d1d75de8f0f3</t>
  </si>
  <si>
    <t xml:space="preserve"> IBM Ph.D. Fellowship</t>
  </si>
  <si>
    <t>Horizon Europe — New European Bauhaus</t>
  </si>
  <si>
    <t>2026-011</t>
  </si>
  <si>
    <t>Comisión Europea</t>
  </si>
  <si>
    <t>Union Europea</t>
  </si>
  <si>
    <t>Arquitectos, urbanistas, diseñadores, investigadores sociales, científicos de datos, especialistas en participación y sostenibilidad</t>
  </si>
  <si>
    <t>Consorcio internacional de universidades, autoridades públicas, organizaciones sociales, empresas y centros de investigación</t>
  </si>
  <si>
    <t>Estados miembros, países asociados y terceros países admitidos conforme a Horizon Europe</t>
  </si>
  <si>
    <t>No se basa principalmente en ciudadanía; prevalecen la entidad participante, su país y las reglas de financiación</t>
  </si>
  <si>
    <t>Diseño espacial participativo de barrios y entornos urbanos</t>
  </si>
  <si>
    <t>urban design; barrios; espacio público; cocreación; inclusión; sostenibilidad; IA; gemelos digitales; participación digital</t>
  </si>
  <si>
    <t>Financia soluciones innovadoras para que residentes y actores locales participen en el diseño espacial de sus barrios, con énfasis en sostenibilidad, inclusión, calidad del entorno y belleza.</t>
  </si>
  <si>
    <t>UNPHU puede integrarse como socio académico de un consorcio internacional. Deben comprobarse en el portal las condiciones específicas de financiación para una entidad dominicana y la composición obligatoria del consorcio.</t>
  </si>
  <si>
    <t>https://ec.europa.eu/info/funding-tenders/opportunities/portal/screen/opportunities/calls-for-proposals?callIdentifier=HORIZON-NEB-2026-01</t>
  </si>
  <si>
    <t>Comisión Europea, Funding &amp; Tenders Portal y programa de trabajo New European Bauhaus</t>
  </si>
  <si>
    <t>Spencer Foundation – Vision Grants</t>
  </si>
  <si>
    <t>OpenAI – Researcher Access Program</t>
  </si>
  <si>
    <t>MESCyT – Convocatoria FONDOCYT 2025-2026</t>
  </si>
  <si>
    <t>Google.org Accelerator: Generative AI</t>
  </si>
  <si>
    <t>UNU-WIDER – Effects of AI on firm and labour market outcomes</t>
  </si>
  <si>
    <t>ARIA – Mathematics for Safe AI</t>
  </si>
  <si>
    <t>Google Research – PhD Fellowship Program</t>
  </si>
  <si>
    <t>Coefficient Giving – Improving Capability Evaluations</t>
  </si>
  <si>
    <t>IBM Research – Academic Awards Program</t>
  </si>
  <si>
    <t>2026-012</t>
  </si>
  <si>
    <t>Erasmus+ Capacity Building in Higher Education 2026 — Region 11 Caribbean</t>
  </si>
  <si>
    <t>Comisión Europea / European Education and Culture Executive Agency</t>
  </si>
  <si>
    <t>48 meses</t>
  </si>
  <si>
    <t>Docentes universitarios, investigadores educativos, especialistas en IA, programación, arquitectura digital, diseño curricular y aseguramiento de la calidad</t>
  </si>
  <si>
    <t>Instituciones de educación superior y otras entidades educativas, públicas, sociales o del mercado laboral</t>
  </si>
  <si>
    <t>República Dominicana está incluida en la Región 11 — Caribe</t>
  </si>
  <si>
    <t>Modernización universitaria, innovación curricular y transformación digital</t>
  </si>
  <si>
    <t>IA educativa; aprendizaje adaptativo; gamificación; programación; formación docente;  transformación curricular</t>
  </si>
  <si>
    <t>Apoya la modernización de la educación superior mediante nuevos programas, innovación pedagógica, capacidades digitales, formación docente, gobernanza universitaria y cooperación internacional.</t>
  </si>
  <si>
    <t>Es la oportunidad con mejor correspondencia directa con “Inteligencia Artificial y Gamificación Personalizada-Adaptativa para la Formación en Programación”. Para integrarla con arquitectura, podría proponerse programación aplicada al diseño paramétrico, BIM, análisis urbano, SIG y gemelos digitales.</t>
  </si>
  <si>
    <t>UNPHU puede participar como institución de educación superior caribeña dentro de un consorcio que cumpla la composición mínima aplicable al strand seleccionado.</t>
  </si>
  <si>
    <t>https://erasmus-plus.ec.europa.eu/funding-opportunities/capacity-building-in-higher-education-caribbean</t>
  </si>
  <si>
    <t>Comisión Europea, Erasmus+ Programme Guide 2026</t>
  </si>
  <si>
    <t>2026-013</t>
  </si>
  <si>
    <t>AIA Upjohn Research Initiative</t>
  </si>
  <si>
    <t>American Institute of Architects — AIA</t>
  </si>
  <si>
    <t>18 meses</t>
  </si>
  <si>
    <t>Investigadores en arquitectura, tecnología del diseño, sostenibilidad, materiales, salud, resiliencia e innovación profesional</t>
  </si>
  <si>
    <t>Instituciones académicas y equipos de investigación; se admiten postulaciones internacionales</t>
  </si>
  <si>
    <t>Sin restricción general de ciudadanía; presentación y evaluación en inglés</t>
  </si>
  <si>
    <t>Investigación aplicada a la arquitectura y a la práctica profesional</t>
  </si>
  <si>
    <t>arquitectura; IA; diseño computacional; automatización; BIM; cero carbono; resiliencia; comunidades equitativas; innovación profesional</t>
  </si>
  <si>
    <t>Financia hasta seis investigaciones anuales destinadas a generar conocimiento directamente útil para arquitectos y para la práctica del diseño. Sus prioridades incluyen cero carbono, resiliencia, salud, comunidades equitativas e innovación de la práctica.</t>
  </si>
  <si>
    <t>La documentación de referencia señala que las solicitudes internacionales son elegibles y que los fondos se desembolsan en dólares estadounidenses.</t>
  </si>
  <si>
    <t>Es una de las oportunidades más claras para investigar IA generativa en diseño, automatización de procesos, evaluación del desempeño de edificaciones, diseño basado en evidencia o herramientas de aprendizaje para arquitectura.</t>
  </si>
  <si>
    <t>https://www.aia.org/advocacy/research/grants-fellowships/upjohn-research-initiative?utm_source=chatgpt.com</t>
  </si>
  <si>
    <t>AIA y antecedente de Pivot-RP aportado en el documento</t>
  </si>
  <si>
    <t>Pendiente abrir en Octubre</t>
  </si>
  <si>
    <t>2026-014</t>
  </si>
  <si>
    <t>LAF Fellowship for Innovation and Leadership</t>
  </si>
  <si>
    <t>Landscape Architecture Foundation — LAF</t>
  </si>
  <si>
    <t>Arquitectos paisajistas y profesionales afines con trayectoria media o sénior</t>
  </si>
  <si>
    <t>Arquitectura del paisaje, innovación, liderazgo y transformación del entorno</t>
  </si>
  <si>
    <t>paisaje; urbanismo; resiliencia; infraestructura verde; IA geoespacial; análisis urbano; justicia ambiental; liderazgo</t>
  </si>
  <si>
    <t>Fellowship para que profesionales desarrollen y prueben ideas innovadoras que impulsen una sociedad más saludable, equitativa y sostenible mediante la arquitectura del paisaje.</t>
  </si>
  <si>
    <t>Se requiere grado en arquitectura del paisaje o, en países donde la disciplina no esté formalmente reconocida, formación relacionada y ejercicio profesional como arquitecto paisajista; mínimo seis años de experiencia, dominio avanzado de inglés y disponibilidad institucional.</t>
  </si>
  <si>
    <t>Puede sustentar proyectos sobre IA para planificación de infraestructura verde, análisis adaptativo del paisaje, resiliencia climática, confort térmico urbano o participación comunitaria gamificada.</t>
  </si>
  <si>
    <t>https://www.lafoundation.org/what-we-do/leadership/laf-fellowship?</t>
  </si>
  <si>
    <t>https://pivot.proquest.com/funding_opps/3dae87f6-c1a1-4ce2-9d84-d1d75de8f0f3</t>
  </si>
  <si>
    <t>LAF, ASLA y antecedente de Pivot-RP</t>
  </si>
  <si>
    <t>especialmente para un profesor con experiencia profesional demostrable en paisaje o planificación urbana. No es una subvención institucional convencional</t>
  </si>
  <si>
    <t>2026-015</t>
  </si>
  <si>
    <t>Graham Foundation — Grants to Individuals</t>
  </si>
  <si>
    <t>Graham Foundation for Advanced Studies in the Fine Arts</t>
  </si>
  <si>
    <t>Getty Conservation Guest Scholars Program 2027–2028</t>
  </si>
  <si>
    <t>Getty Conservation Institute</t>
  </si>
  <si>
    <t>3 meses</t>
  </si>
  <si>
    <t>Internacional; residencia presencial de tres meses en el Getty Conservation Institute, Los Ángeles</t>
  </si>
  <si>
    <t>Conservación del patrimonio cultural y del entorno construido</t>
  </si>
  <si>
    <t>conservación; patrimonio arquitectónico; preservación histórica; ciencia del patrimonio; documentación digital; HBIM; IA; visión computacional</t>
  </si>
  <si>
    <t>Programa de residencia para que profesionales e investigadores consolidados desarrollen un proyecto independiente que aporte nuevos conocimientos y perspectivas a la conservación del patrimonio cultural.</t>
  </si>
  <si>
    <t>Se admiten investigadores y profesionales de cualquier nacionalidad en conservación, preservación histórica, ciencias del patrimonio y campos relacionados. Se requieren al menos siete años de experiencia profesional y una trayectoria establecida de publicaciones u otras contribuciones. No admite investigación posdoctoral ni trabajos conducentes a un grado académico.</t>
  </si>
  <si>
    <t>La convocatoria 2026–2027 ya cerró. El ciclo para residencias 2027–2028 abrirá en agosto de 2026; la fecha límite aún no ha sido publicada. La ayuda incluye US$21,500, alojamiento, estación de trabajo, asistencia de investigación, estipendio de viaje y opción de cobertura médica.</t>
  </si>
  <si>
    <t>Getty Conservation Institute – Conservation Guest Scholars</t>
  </si>
  <si>
    <t>Oportunidad individual para investigadores sénior de UNPHU. Recomendable para proyectos de conservación arquitectónica, documentación patrimonial, HBIM o IA aplicada a la detección de daños. Vigilar la apertura en agosto de 2026.</t>
  </si>
  <si>
    <t>CCA–WRI Research Fellowship Program 2027 — Vacancy</t>
  </si>
  <si>
    <t>Canadian Centre for Architecture (CCA) / Window Research Institute (WRI)</t>
  </si>
  <si>
    <t>1-3 meses</t>
  </si>
  <si>
    <t>Investigador establecido; Profesor</t>
  </si>
  <si>
    <t>Internacional; residencia presencial en el CCA, Montreal, entre agosto y octubre</t>
  </si>
  <si>
    <t>Fellowship de investigación sobre la vacancia como condición social, cultural, política y espacial en contextos urbanos y rurales. Busca modelos teóricos y resultados capaces de informar la práctica del diseño.</t>
  </si>
  <si>
    <t>Abierta a profesionales con experiencia sustancial —arquitectos, paisajistas, urbanistas, responsables urbanos, artistas y productores culturales— y a investigadores con doctorado en áreas pertinentes. No se financia investigación con fines comerciales. El beneficiario debe residir en Montreal de uno a tres meses y participar en actividades públicas y académicas.</t>
  </si>
  <si>
    <t>La convocatoria 2026 está cerrada. La siguiente convocatoria se lanzará a comienzos de septiembre de 2026. Ofrece CAD$5,000 mensuales por un máximo de tres meses, más apoyo adicional para viaje y visado, oficina y acceso a las colecciones del CCA.</t>
  </si>
  <si>
    <t>Canadian Centre for Architecture / Window Research Institute</t>
  </si>
  <si>
    <t>Muy pertinente para investigar vacancia, reutilización adaptativa y regeneración urbana en Santo Domingo. Puede incorporar IA para detectar inmuebles vacíos, analizar imágenes urbanas o modelar escenarios de reocupación.</t>
  </si>
  <si>
    <t>Urban Studies Foundation International Fellowships 2026</t>
  </si>
  <si>
    <t>Urban Studies Foundation</t>
  </si>
  <si>
    <t>3-9 meses</t>
  </si>
  <si>
    <t>Investigadores afiliados a organizaciones de investigación ubicadas en países de la lista OECD-DAC; universidad anfitriona en cualquier país</t>
  </si>
  <si>
    <t>Nacionales de países incluidos en la lista OECD-DAC de receptores de AOD; República Dominicana es elegible</t>
  </si>
  <si>
    <t>Estudios urbanos</t>
  </si>
  <si>
    <t>urbanismo; ciudades del Sur Global; vivienda; movilidad; planificación; sostenibilidad; tecnología urbana; desigualdad espacial; gobernanza; IA urbana</t>
  </si>
  <si>
    <t>Financia una estancia sabática de escritura en una universidad anfitriona para transformar resultados de investigación urbana ya existentes en artículos, capítulos de libro o libros publicables, bajo la mentoría de un académico sénior.</t>
  </si>
  <si>
    <t>Dirigida a investigadores urbanos de carrera temprana o intermedia con doctorado obtenido dentro de los diez años anteriores al cierre, nacionalidad de un país OECD-DAC y afiliación formal a una organización de investigación ubicada en uno de esos países. La recopilación y el análisis primario de datos deben estar completados; no financia nueva recolección ni nuevos análisis primarios.</t>
  </si>
  <si>
    <t>Cerró el 6 de julio de 2026 a las 23:59 UTC+1. El presupuesto se determina según costes justificados de alojamiento, manutención, viaje de retorno y algunos gastos de investigación; no se publica un monto mínimo o máximo único. La estancia debe comenzar entre cuatro y catorce meses después del cierre.</t>
  </si>
  <si>
    <t>Urban Studies Foundation – International Fellowships</t>
  </si>
  <si>
    <t>UNPHU es elegible por ubicación en República Dominicana. Preparar para una futura edición con resultados urbanos ya analizados, publicaciones previstas, mentor internacional y universidad anfitriona.</t>
  </si>
  <si>
    <t>CYTED — Convocatoria 2026 de Redes Temáticas</t>
  </si>
  <si>
    <t>Programa Iberoamericano de Ciencia y Tecnología para el Desarrollo (CYTED)</t>
  </si>
  <si>
    <t>Hasta 48 meses</t>
  </si>
  <si>
    <t>Países signatarios del Programa CYTED, incluida República Dominicana</t>
  </si>
  <si>
    <t>No se basa en ciudadanía; el coordinador y los responsables deben pertenecer a entidades elegibles con sede en países signatarios</t>
  </si>
  <si>
    <t>Multidisciplinar: desarrollo sostenible, TIC, ciencia y sociedad, energía e innovación</t>
  </si>
  <si>
    <t>red temática; cooperación iberoamericana; I+D+i; ciudades resilientes; urbanismo sostenible; IA de código abierto; formación; transferencia; movilidad</t>
  </si>
  <si>
    <t>Financia redes de grupos de investigación y empresas de Iberoamérica que cooperan para resolver problemas comunes y generar nuevas actividades de I+D+i, transferencia, formación, movilidad, publicaciones y coordinación.</t>
  </si>
  <si>
    <t>El coordinador debe pertenecer a una universidad, centro público o privado de I+D o empresa con capacidad demostrada, con sede en un país signatario. La red debe incluir grupos de al menos seis países iberoamericanos diferentes; cada grupo debe estar formado por más de una persona y acreditar actividad en I+D+i.</t>
  </si>
  <si>
    <t>El plazo fue del 6 de abril al 15 de mayo de 2026 a las 17:00, hora de Madrid. El máximo solicitado para el primer año es €20,000; los presupuestos posteriores se solicitan anualmente. Cubre coordinación, movilidad, reuniones, publicaciones y formación; no es una subvención convencional para financiar todos los costes de investigación.</t>
  </si>
  <si>
    <t>Secretaría General del Programa CYTED – Convocatoria 2026 de Redes Temáticas</t>
  </si>
  <si>
    <t>Oportunidad estratégica para internacionalización. UNPHU podría integrar o coordinar una red sobre comunidades resilientes, urbanismo sostenible, restauración urbana, IA de código abierto o formación tecnológica. Preparar consorcio para la próxima edición.</t>
  </si>
  <si>
    <t xml:space="preserve"> edificios desocupados; suelo vacante; reutilización adaptativa; urbanismo; paisaje; vivienda; IA; visión computacional; teledetección</t>
  </si>
  <si>
    <t xml:space="preserve">Sin restricción </t>
  </si>
  <si>
    <t>Arquitectura, urbanismo, paisaje y terrenos desocupados</t>
  </si>
  <si>
    <t>Arquitectos, urbanistas, historiadores, diseñadores, investigadores, curadores, escritores y productores culturales</t>
  </si>
  <si>
    <t>Personas físicas</t>
  </si>
  <si>
    <t>Arquitectura y entorno diseñado</t>
  </si>
  <si>
    <t>arquitectura; ciudad; urbanismo; investigación crítica; publicación; exposición; medios digitales; IA; diseño experimental</t>
  </si>
  <si>
    <t>Apoya ideas originales que amplíen el discurso sobre arquitectura y el entorno diseñado, ya sea mediante investigación, publicaciones, exposiciones, películas, medios digitales u otros formatos públicos.</t>
  </si>
  <si>
    <t>Individuos con capacidad demostrada para ejecutar el proyecto. Las solicitudes deben conectar claramente con la misión de la Fundación y evidenciar originalidad, impacto y viabilidad.</t>
  </si>
  <si>
    <t>Puede financiar la fase conceptual o la divulgación de una investigación sobre IA y arquitectura, atlas urbanos interactivos, exposiciones digitales, plataformas educativas o documentación crítica de nuevas tecnologías de diseño.</t>
  </si>
  <si>
    <t>https://www.grahamfoundation.org/grant_programs/?mode=individual</t>
  </si>
  <si>
    <t>Graham Foundation, ciclo de subvenciones 2027</t>
  </si>
  <si>
    <t>El Inquiry Form está disponible desde el 15/07/2026. Conviene plantear un producto público concreto, no solamente una investigación académica convencional.</t>
  </si>
  <si>
    <t>2026-016</t>
  </si>
  <si>
    <t>2026-017</t>
  </si>
  <si>
    <t>2026-018</t>
  </si>
  <si>
    <t>2026-019</t>
  </si>
  <si>
    <t>CBE JU — Polímeros biobasados de fuentes alternativas</t>
  </si>
  <si>
    <t>Circular Bio-based Europe Joint Undertaking (CBE JU)</t>
  </si>
  <si>
    <t>No especificada</t>
  </si>
  <si>
    <t>Unión Europea, países asociados y terceros elegibles, incluida República Dominicana</t>
  </si>
  <si>
    <t>Ingeniería agronómica; biomateriales y polímeros biobasados</t>
  </si>
  <si>
    <t>biopolímeros; biomasa residual; fuentes alternativas; extracción; síntesis; biodegradación; circularidad</t>
  </si>
  <si>
    <t>Desarrolla procesos eficientes y escalables para producir polímeros biobasados a partir de fuentes alternativas a la biomasa agrícola o forestal primaria.</t>
  </si>
  <si>
    <t>UNPHU puede participar como beneficiaria adicional dentro de un consorcio que cumpla los requisitos mínimos de Horizon Europe.</t>
  </si>
  <si>
    <t>Research and Innovation Action. Contribución estimada de EUR 3.25 millones por proyecto y TRL final 5. La biomasa primaria agrícola y forestal está fuera del alcance.</t>
  </si>
  <si>
    <t>https://ec.europa.eu/info/funding-tenders/opportunities/portal/screen/opportunities/topic-details/HORIZON-JU-CBE-2026-RIA-02?callIdentifier=HORIZON-JU-CBE-2026</t>
  </si>
  <si>
    <t>CBE JU — HORIZON-JU-CBE-2026-RIA-02</t>
  </si>
  <si>
    <t>Prioridad media-alta para residuos, subproductos u otras fuentes no primarias. Verificar cuidadosamente la materia prima propuesta.</t>
  </si>
  <si>
    <t>FONTAGRO — Convocatoria 2026: sistemas agroalimentarios con menor huella ambiental</t>
  </si>
  <si>
    <t>FONTAGRO / BID / IICA</t>
  </si>
  <si>
    <t>Según proyecto</t>
  </si>
  <si>
    <t>Países miembros de FONTAGRO, incluida República Dominicana</t>
  </si>
  <si>
    <t>Ingeniería agronómica; sistemas agroalimentarios sostenibles</t>
  </si>
  <si>
    <t>bioeconomía; biomasa; residuos agrícolas; valorización; bioproductos; agroindustria; bajas emisiones</t>
  </si>
  <si>
    <t>Cofinancia proyectos regionales de I+D+i que mejoren productividad, rentabilidad y competitividad con una menor huella ambiental.</t>
  </si>
  <si>
    <t>Consorcio de hasta tres organizaciones coejecutoras de al menos dos países miembros; una debe ser una institución pública de investigación.</t>
  </si>
  <si>
    <t>Aporte máximo de USD 250,000. Las organizaciones deben aportar contrapartida conjunta equivalente al menos al doble de lo solicitado y participar con productores beneficiarios.</t>
  </si>
  <si>
    <t>https://fontagro.org/en/iniciativas/convocatorias/convocatoria-2026</t>
  </si>
  <si>
    <t>FONTAGRO — Secretaría Técnica Administrativa; fontagro@iica.int</t>
  </si>
  <si>
    <t>CBE JU — Separación y purificación en biorrefinerías</t>
  </si>
  <si>
    <t>Biorrefinerías y tecnologías de separación</t>
  </si>
  <si>
    <t>separación; purificación; solventes verdes; biomasa; bioproductos; eficiencia hídrica; intensificación de procesos</t>
  </si>
  <si>
    <t>Desarrolla plataformas escalables de separación y purificación para reducir costes, consumo de energía y agua y uso de solventes agresivos en biorrefinerías.</t>
  </si>
  <si>
    <t>UNPHU puede integrarse como beneficiaria adicional en un consorcio internacional elegible.</t>
  </si>
  <si>
    <t>Research and Innovation Action. Contribución estimada de EUR 3.25 millones por proyecto, TRL final 5 y validación en al menos tres casos de biorrefinería.</t>
  </si>
  <si>
    <t>https://ec.europa.eu/info/funding-tenders/opportunities/portal/screen/opportunities/topic-details/HORIZON-JU-CBE-2026-RIA-01?callIdentifier=HORIZON-JU-CBE-2026</t>
  </si>
  <si>
    <t>CBE JU — HORIZON-JU-CBE-2026-RIA-01</t>
  </si>
  <si>
    <t>Adecuada para grupos con capacidad en extracción, membranas, cromatografía o purificación de compuestos vegetales.</t>
  </si>
  <si>
    <t>CYTED 2026 — Inocuidad alimentaria y reducción del desperdicio alimentario</t>
  </si>
  <si>
    <t>Países signatarios de CYTED, incluida República Dominicana</t>
  </si>
  <si>
    <t>Agroalimentación</t>
  </si>
  <si>
    <t>desperdicio alimentario; residuos orgánicos; valorización; inocuidad; economía circular; cooperación científica</t>
  </si>
  <si>
    <t>Financia redes temáticas iberoamericanas para reducir el desperdicio alimentario, con posible incorporación de valorización de subproductos.</t>
  </si>
  <si>
    <t>La red debe integrar grupos de al menos seis países iberoamericanos diferentes; cada grupo debe estar formado por más de una persona.</t>
  </si>
  <si>
    <t>Máximo EUR 20,000 para el primer año. Financia coordinación, movilidad, reuniones, formación, publicaciones y difusión, no un proyecto experimental completo.</t>
  </si>
  <si>
    <t>https://www.cyted.org/assets/img/cyted/Convocatoria%202026/Castellano/01_Convocatoria_oficial_bases_y_lineas_2026_SP.pdf</t>
  </si>
  <si>
    <t>Programa CYTED — Convocatoria Redes Temáticas 2026</t>
  </si>
  <si>
    <t>Útil para construir una red iberoamericana que posteriormente someta proyectos FONTAGRO, Horizon Europe o FONDOCYT.</t>
  </si>
  <si>
    <t>EREF Research Grants</t>
  </si>
  <si>
    <t>Environmental Research &amp; Education Foundation (EREF)</t>
  </si>
  <si>
    <t>Gestión sostenible de residuos y circularidad</t>
  </si>
  <si>
    <t>residuos orgánicos; compostaje; digestión anaerobia; biogás; emisiones; circularidad</t>
  </si>
  <si>
    <t>Financia investigación sobre impactos climáticos de los residuos, contaminantes emergentes y circularidad de materiales.</t>
  </si>
  <si>
    <t>Instituciones estadounidenses y extranjeras pueden aplicar. El IP debe ser profesor, posdoctorado o investigador sénior cualificado.</t>
  </si>
  <si>
    <t>Los USD 15,000 a más de USD 500,000 son rangos históricos, no límites formales. Excluye proyectos centrados en residuos agrícolas no gestionados por la industria de residuos.</t>
  </si>
  <si>
    <t>https://erefdn.org/research-grants/</t>
  </si>
  <si>
    <t>https://pivot.proquest.com/funding_opps/14453c4e-25e7-4fd9-b39b-f2f1552f7976</t>
  </si>
  <si>
    <t>EREF — proposals@erefdn.org</t>
  </si>
  <si>
    <t>Usar solamente para residuos alimentarios, municipales o agroindustriales que entren formalmente en la definición de residuo sólido de EREF.</t>
  </si>
  <si>
    <t>CBE JU — Valorización biotecnológica de biomasa residual</t>
  </si>
  <si>
    <t>Valorización de biomasa residual</t>
  </si>
  <si>
    <t>residuos agrícolas; estiércol; subproductos forestales; biorrefinería; enzimas; microorganismos; bioproductos</t>
  </si>
  <si>
    <t>Convierte residuos agrícolas, forestales, ganaderos, acuáticos, alimentarios, urbanos o industriales en químicos, materiales, polímeros, ingredientes o enzimas.</t>
  </si>
  <si>
    <t>UNPHU puede recibir financiación como integrante adicional de un consorcio elegible de Horizon Europe.</t>
  </si>
  <si>
    <t>Innovation Action. Contribución estimada de EUR 7 millones por proyecto y TRL final 6-7. Debe integrar pretratamiento, conversión, separación, purificación y logística.</t>
  </si>
  <si>
    <t>https://ec.europa.eu/info/funding-tenders/opportunities/portal/screen/opportunities/topic-details/HORIZON-JU-CBE-2026-IA-01?callIdentifier=HORIZON-JU-CBE-2026</t>
  </si>
  <si>
    <t>CBE JU — HORIZON-JU-CBE-2026-IA-01</t>
  </si>
  <si>
    <t>CBE JU — Biofertilizantes y bioprotectores</t>
  </si>
  <si>
    <t>Bioinsumos agrícolas</t>
  </si>
  <si>
    <t>biofertilizantes; bioestimulantes; biopesticidas; biomasa; microorganismos; suelo; protección vegetal</t>
  </si>
  <si>
    <t>Desarrolla alternativas biológicas seguras y sostenibles para fertilización o protección de cultivos, con producción industrial y validación agronómica.</t>
  </si>
  <si>
    <t>UNPHU puede participar como entidad financiada adicional aportando ensayos tropicales, cultivos caribeños y validación agronómica.</t>
  </si>
  <si>
    <t>Innovation Action-Flagship. Contribución estimada de EUR 20 millones y TRL final 8. Exige agricultores, proveedores de biomasa, industria y usuarios finales.</t>
  </si>
  <si>
    <t>https://ec.europa.eu/info/funding-tenders/opportunities/portal/screen/opportunities/topic-details/HORIZON-JU-CBE-2026-IAFlag-02?callIdentifier=HORIZON-JU-CBE-2026</t>
  </si>
  <si>
    <t>CBE JU — HORIZON-JU-CBE-2026-IAFlag-02</t>
  </si>
  <si>
    <t>CBE JU — Competitividad de biorrefinerías mediante biotecnología</t>
  </si>
  <si>
    <t>Biorrefinerías y biomanufactura</t>
  </si>
  <si>
    <t>biorrefinería; biomanufactura; biomasa; enzimas; fermentación; químicos; polímeros</t>
  </si>
  <si>
    <t>Demuestra a escala industrial una ruta biotecnológica para producir químicos, intermediarios, polímeros, ingredientes o enzimas biobasados.</t>
  </si>
  <si>
    <t>UNPHU debe incorporarse como socio de un consorcio con infraestructura industrial y entidades europeas elegibles.</t>
  </si>
  <si>
    <t>Innovation Action-Flagship. Contribución estimada de EUR 20 millones y TRL final 8. Alimentos y piensos como aplicación principal quedan fuera.</t>
  </si>
  <si>
    <t>https://ec.europa.eu/info/funding-tenders/opportunities/portal/screen/opportunities/topic-details/HORIZON-JU-CBE-2026-IAFlag-01?callIdentifier=HORIZON-JU-CBE-2026</t>
  </si>
  <si>
    <t>CBE JU — HORIZON-JU-CBE-2026-IAFlag-01</t>
  </si>
  <si>
    <t>Viable con un demostrador industrial europeo; UNPHU puede aportar caracterización y cadenas de biomasa tropical.</t>
  </si>
  <si>
    <t>CBE JU — Químicos y materiales a partir de residuos leñosos</t>
  </si>
  <si>
    <t>Valorización de biomasa forestal residual</t>
  </si>
  <si>
    <t>residuos leñosos; aserrín; corteza; poda; lignocelulosa; químicos; biomateriales</t>
  </si>
  <si>
    <t>Demuestra tecnologías escalables para producir químicos o materiales a partir de corteza, aserrín y residuos de cosecha o procesamiento de madera.</t>
  </si>
  <si>
    <t>UNPHU puede participar como beneficiaria adicional, especialmente aportando cadenas de biomasa tropical y agroforestal.</t>
  </si>
  <si>
    <t>Innovation Action. Contribución estimada de EUR 7 millones por proyecto y TRL final 6-7. Debe demostrar rendimiento, selectividad y sostenibilidad.</t>
  </si>
  <si>
    <t>https://ec.europa.eu/info/funding-tenders/opportunities/portal/screen/opportunities/topic-details/HORIZON-JU-CBE-2026-IA-03?callIdentifier=HORIZON-JU-CBE-2026</t>
  </si>
  <si>
    <t>CBE JU — HORIZON-JU-CBE-2026-IA-03</t>
  </si>
  <si>
    <t>2026-020</t>
  </si>
  <si>
    <t>2026-021</t>
  </si>
  <si>
    <t>2026-022</t>
  </si>
  <si>
    <t>2026-023</t>
  </si>
  <si>
    <t>2026-024</t>
  </si>
  <si>
    <t>2026-025</t>
  </si>
  <si>
    <t>2026-026</t>
  </si>
  <si>
    <t>2026-027</t>
  </si>
  <si>
    <t>2026-028</t>
  </si>
  <si>
    <t>Agrónomos, biotecnólogos, especialistas en agroindustria, bioeconomía, suelos, producción y extensión</t>
  </si>
  <si>
    <t xml:space="preserve"> UNPHU necesita otro país miembro y una institución pública de investigación.</t>
  </si>
  <si>
    <t>Investigadores agroalimentarios, agrónomos, especialistas en desperdicio, bioeconomía y valorización</t>
  </si>
  <si>
    <t>Universidades, centros de I+D</t>
  </si>
  <si>
    <t>Investigadores de residuos sólidos, compostaje, digestión anaerobia, circularidad y emisiones</t>
  </si>
  <si>
    <t>Agrónomos, biotecnólogos, microbiólogos, químicos, ingenieros de procesos y especialistas en residuos</t>
  </si>
  <si>
    <t xml:space="preserve"> UNPHU debe incorporarse a un consorcio europeo en preparación.</t>
  </si>
  <si>
    <t>Agrónomos, fitopatólogos, biotecnólogos, microbiólogos, edafólogos e ingenieros agroindustriales</t>
  </si>
  <si>
    <t>Biotecnología industrial, ingeniería química, agroindustria, logística de biomasa y evaluación ambiental</t>
  </si>
  <si>
    <t>Agronomía forestal, química, materiales, ingeniería de procesos, agroforestería y sostenibilidad</t>
  </si>
  <si>
    <t>Ingeniería química, bioprocesos, química analítica, membranas, materiales y biotecnología</t>
  </si>
  <si>
    <t xml:space="preserve"> Identificar biomasa dominicana y cultivos concretos para validar el producto.</t>
  </si>
  <si>
    <t xml:space="preserve"> poda, aserrín, residuos leñosos de café/cacao o sistemas agroforestales.</t>
  </si>
  <si>
    <t>UNESCO–IGCP — Financiación de geociencias para América Latina y el Caribe</t>
  </si>
  <si>
    <t>UNESCO e International Union of Geological Sciences (IUGS)</t>
  </si>
  <si>
    <t>Investigadores en geociencias, geomática, hidrogeología, geodinámica, recursos terrestres y riesgos geológicos</t>
  </si>
  <si>
    <t>América Latina y el Caribe, incluida República Dominicana</t>
  </si>
  <si>
    <t>Geomática y ciencias de la Tierra</t>
  </si>
  <si>
    <t>geociencias; geomática; SIG; teledetección; hidrogeología; geodinámica; riesgos geológicos; recursos terrestres</t>
  </si>
  <si>
    <t>Apoya investigaciones regionales en recursos terrestres, cambio global, riesgos geológicos, hidrogeología, geodinámica y geopatrimonio, con énfasis en cooperación y desarrollo de capacidades.</t>
  </si>
  <si>
    <t>El líder debe poseer doctorado o grado equivalente y trabajar en una universidad, centro de investigación u otra institución científica de América Latina o el Caribe.</t>
  </si>
  <si>
    <t>Hasta USD 50,000 para un año inicial, renovable hasta tres años. Cubre trabajo de campo, análisis de laboratorio, viajes científicos y capacitación; no cubre salarios, equipos, software ni publicación.</t>
  </si>
  <si>
    <t>https://www.unesco.org/en/articles/call-expressions-interest-geoscience-funding-latin-america-and-caribbean</t>
  </si>
  <si>
    <t>UNESCO — International Geoscience Programme (IGCP); iggp@unesco.org</t>
  </si>
  <si>
    <t>Convocatoria especialmente pertinente para geomática, riesgos, aguas subterráneas, cartografía y teledetección. Monitorear la siguiente edición.</t>
  </si>
  <si>
    <t>CYTED 2026 — Ingeniería y modernización de procesos en la industria minera</t>
  </si>
  <si>
    <t>Investigadores en ingeniería industrial, química, procesos, minería, materiales, logística, mantenimiento y control de calidad</t>
  </si>
  <si>
    <t>Ingeniería industrial y minería sostenible</t>
  </si>
  <si>
    <t>procesos industriales; minería sostenible; relaves; residuos mineros; economía circular; mantenimiento; productividad</t>
  </si>
  <si>
    <t>Promueve redes iberoamericanas para modernizar la extracción y el reprocesamiento de recursos mineros, recuperar relaves y fortalecer la transferencia tecnológica.</t>
  </si>
  <si>
    <t>La red debe integrar grupos de al menos seis países miembros de CYTED e involucrar al menos dos subsectores de la cadena minera.</t>
  </si>
  <si>
    <t>Máximo EUR 20,000 para el primer año. Financia coordinación, movilidad, reuniones, publicaciones y formación; no equivale a una subvención de infraestructura o nómina.</t>
  </si>
  <si>
    <t>Programa CYTED — Convocatoria Redes Temáticas 2026; proyectos@cyted.org</t>
  </si>
  <si>
    <t>Adecuada si UNPHU identifica socios mineros, industriales o ambientales de otros cinco países iberoamericanos.</t>
  </si>
  <si>
    <t>CYTED 2026 — Optimización de procesos industriales sostenibles con IA</t>
  </si>
  <si>
    <t>Investigadores en ingeniería industrial, manufactura, automatización, operaciones, ciencia de datos e inteligencia artificial</t>
  </si>
  <si>
    <t>Ingeniería industrial y manufactura sostenible</t>
  </si>
  <si>
    <t>IA industrial; manufactura; optimización; automatización; productividad; sostenibilidad; control de procesos</t>
  </si>
  <si>
    <t>Busca desarrollar aplicaciones concretas de IA para automatizar, predecir y optimizar procesos manufactureros y reducir costos, tiempos, consumo de recursos y residuos.</t>
  </si>
  <si>
    <t>Requiere una red con participación de al menos seis países y dos o más industrias, y el desarrollo de al menos un proceso, producto o servicio mejorado mediante IA.</t>
  </si>
  <si>
    <t>Máximo EUR 20,000 para el primer año. La ayuda cubre actividades de red, movilidad, reuniones, publicaciones y formación.</t>
  </si>
  <si>
    <t>Data Science and Modeling for Green Chemistry</t>
  </si>
  <si>
    <t>American Chemical Society Green Chemistry Institute Pharmaceutical Roundtable</t>
  </si>
  <si>
    <t>Profesores, grupos académicos e investigadores industriales en química, procesos, IA y modelización</t>
  </si>
  <si>
    <t>Persona individual; equipo académico o industrial</t>
  </si>
  <si>
    <t>Ingeniería química y química verde</t>
  </si>
  <si>
    <t>química verde; ciencia de datos; modelización; aprendizaje automático; procesos sostenibles; eficiencia; residuos</t>
  </si>
  <si>
    <t>Reconoce herramientas computacionales, algoritmos o software que permitan diseñar, implementar o evaluar procesos químicos más seguros, eficientes y sostenibles.</t>
  </si>
  <si>
    <t>Pueden postular grupos académicos e industriales internacionales. No exige membresía en ACS; la herramienta debe tener aplicación demostrable en química verde.</t>
  </si>
  <si>
    <t>Premio de hasta USD 5,000. Puede reembolsar hasta USD 2,500 para presentar el trabajo en la Green Chemistry &amp; Engineering Conference. No financia el inicio de un proyecto nuevo.</t>
  </si>
  <si>
    <t>https://www.acs.org/funding/awards/data-science-and-modeling-for-green-chemistry.html</t>
  </si>
  <si>
    <t>ACS Green Chemistry Institute; gcipr@acs.org</t>
  </si>
  <si>
    <t>Registrar como premio de innovación, diferenciándolo de una subvención para ejecutar investigación.</t>
  </si>
  <si>
    <t>36 meses</t>
  </si>
  <si>
    <t>2026-029</t>
  </si>
  <si>
    <t>2026-030</t>
  </si>
  <si>
    <t>2026-031</t>
  </si>
  <si>
    <t>2026-032</t>
  </si>
  <si>
    <t xml:space="preserve"> requiere conformar anticipadamente una red internacional y vincular empresas manufactureras.</t>
  </si>
  <si>
    <t>Geoscientists Without Borders</t>
  </si>
  <si>
    <t>SEG Foundation / Society of Exploration Geophysicists</t>
  </si>
  <si>
    <t>Hasta 24 meses</t>
  </si>
  <si>
    <t>Investigador establecido en geociencias, geofísica o hidrogeología</t>
  </si>
  <si>
    <t>Institución académica; ONG; entidad sin fines de lucro</t>
  </si>
  <si>
    <t>Hidrogeología y geofísica aplicada</t>
  </si>
  <si>
    <t>aguas subterráneas; acuíferos; prospección geofísica; agua potable; resistividad eléctrica; vulnerabilidad comunitaria</t>
  </si>
  <si>
    <t>Financia proyectos humanitarios que aplican geofísica y geociencias para resolver necesidades de comunidades vulnerables, incluida la localización y caracterización de fuentes de agua subterránea.</t>
  </si>
  <si>
    <t>Investigador principal establecido; la entidad administradora debe ser una institución académica u organización sin fines de lucro equivalente a una 501(c)(3). Se espera participación estudiantil.</t>
  </si>
  <si>
    <t>Carta de intención y plantilla en inglés; propuesta completa solo por invitación. No financia individuos, entidades con fines de lucro ni costos indirectos. Tope de USD 50,000 por año.</t>
  </si>
  <si>
    <t>https://seg.org/programs/geoscientists-without-borders/apply/</t>
  </si>
  <si>
    <t>SEG Foundation; withoutborders@seg.org</t>
  </si>
  <si>
    <t>IAS Post-Doctoral Research Grants — Fall 2026</t>
  </si>
  <si>
    <t>International Association of Sedimentologists</t>
  </si>
  <si>
    <t>Aproximadamente 12 meses</t>
  </si>
  <si>
    <t>Postdoctorado o investigador en etapa inicial</t>
  </si>
  <si>
    <t>Persona individual afiliada a institución académica o centro de investigación</t>
  </si>
  <si>
    <t>Sedimentología e hidrogeología de acuíferos sedimentarios</t>
  </si>
  <si>
    <t>acuíferos sedimentarios; porosidad; permeabilidad; facies; sedimentos; hidroestratigrafía</t>
  </si>
  <si>
    <t>Subvención semilla para probar conceptos o cubrir brechas de un proyecto. Es pertinente cuando la porosidad, permeabilidad y respuesta del acuífero dependen de facies y estructuras sedimentarias.</t>
  </si>
  <si>
    <t>Ser miembro pleno de IAS, haber obtenido el doctorado en los siete años anteriores al cierre y no haber recibido anteriormente esta subvención.</t>
  </si>
  <si>
    <t>Financia trabajo de campo, laboratorio y equipo especializado. No cubre salario, costos indirectos, matrícula ni viajes a congresos.</t>
  </si>
  <si>
    <t>https://www.sedimentologists.org/resources/grants/</t>
  </si>
  <si>
    <t>Adecuada para investigadores postdoctorales de UNPHU con proyecto de acuíferos sedimentarios.</t>
  </si>
  <si>
    <t>IAS Institutional Grants — Fall 2026</t>
  </si>
  <si>
    <t>Profesor o investigador permanente en ciencias de la Tierra</t>
  </si>
  <si>
    <t>Institución académica; departamento universitario</t>
  </si>
  <si>
    <t>Países con capacidad limitada de investigación y desarrollo</t>
  </si>
  <si>
    <t>Fortalecimiento de capacidades en sedimentología e hidrogeología</t>
  </si>
  <si>
    <t>barrenas; tamices; microscopios; software; sedimentos; formación; acuíferos</t>
  </si>
  <si>
    <t>Proporciona equipos y materiales para docencia e investigación sedimentológica en instituciones de países con capacidad limitada, aplicables al estudio de sedimentos y acuíferos.</t>
  </si>
  <si>
    <t>El solicitante debe ser miembro pleno de IAS y ocupar un puesto universitario permanente. Se priorizan países que históricamente invierten menos del 1 % del PIB en I+D; otros deben justificar la necesidad.</t>
  </si>
  <si>
    <t>Es una ayuda en especie: IAS compra y envía el equipo; no transfiere efectivo. Puede cubrir barrenas, tamices, microscopios, software especializado y materiales docentes.</t>
  </si>
  <si>
    <t>International Association of Sedimentologists; eo@sedimentologists.org</t>
  </si>
  <si>
    <t>Prioridad alta para fortalecer laboratorio. Confirmar la clasificación aplicable a República Dominicana y costos de envío.</t>
  </si>
  <si>
    <t>First Rufford Small Grant for Nature Conservation</t>
  </si>
  <si>
    <t>The Rufford Foundation</t>
  </si>
  <si>
    <t>Investigador emergente; estudiante de maestría o doctorado; graduado reciente</t>
  </si>
  <si>
    <t>Persona individual; equipo pequeño</t>
  </si>
  <si>
    <t>Conservación de ecosistemas dependientes de aguas subterráneas</t>
  </si>
  <si>
    <t>manantiales; humedales; acuíferos costeros; ecosistemas subterráneos; biodiversidad; conservación</t>
  </si>
  <si>
    <t>Financia trabajo de campo de conservación. La hidrogeología es pertinente cuando el proyecto demuestra un beneficio directo para especies, hábitats, manantiales, humedales o ecosistemas dependientes de aguas subterráneas.</t>
  </si>
  <si>
    <t>Dirigida principalmente a conservacionistas en etapas iniciales. República Dominicana figura como país elegible y el proyecto debe tener objetivos concretos de conservación en campo.</t>
  </si>
  <si>
    <t>No financia investigación puramente académica. La primera subvención es de hasta GBP 7,000; existen etapas posteriores de GBP 8,000, 12,000 y 18,000.</t>
  </si>
  <si>
    <t>https://apply.ruffordsmallgrants.org/</t>
  </si>
  <si>
    <t>Presentar la hidrogeología como herramienta para proteger biodiversidad y hábitats, con indicadores de conservación.</t>
  </si>
  <si>
    <t>Horton Research Grant</t>
  </si>
  <si>
    <t>American Geophysical Union</t>
  </si>
  <si>
    <t>Estudiante de doctorado en hidrología, hidrogeología o recursos hídricos</t>
  </si>
  <si>
    <t>Hidrología, aguas subterráneas y recursos hídricos</t>
  </si>
  <si>
    <t>hidrología; hidrogeología; acuíferos; recursos hídricos; modelación; calidad del agua</t>
  </si>
  <si>
    <t>Otorga hasta tres subvenciones anuales para apoyar la investigación doctoral en hidrología, recursos hídricos y áreas relacionadas, incluida la hidrogeología.</t>
  </si>
  <si>
    <t>Ser miembro estudiantil activo de AGU y permanecer matriculado en un programa doctoral durante todo el año de la subvención.</t>
  </si>
  <si>
    <t>El ciclo 2026 cerró el 13/03/2026. La solicitud incluye resumen, propósito, presupuesto, CV, expediente académico y recomendaciones. Solicitantes internacionales pueden recibir hasta USD 1,000 adicionales para viaje.</t>
  </si>
  <si>
    <t>https://www.agu.org/honors/horton-grant</t>
  </si>
  <si>
    <t>American Geophysical Union; Grants@agu.org</t>
  </si>
  <si>
    <t>2026-033</t>
  </si>
  <si>
    <t>2026-034</t>
  </si>
  <si>
    <t>2026-035</t>
  </si>
  <si>
    <t>2026-036</t>
  </si>
  <si>
    <t>2026-037</t>
  </si>
  <si>
    <t>plantear prospección de aguas subterráneas y beneficio comunitario medible.</t>
  </si>
  <si>
    <t xml:space="preserve"> monitorear el ciclo anual de enero a marzo de 2027.</t>
  </si>
  <si>
    <t>Beca José Juan Vilar Martínez — Excelencia en Investigación en Periodoncia 2026</t>
  </si>
  <si>
    <t>Sociedad Española de Periodoncia y Oseointegración (SEPA)</t>
  </si>
  <si>
    <t>Internacional; estancia en un centro distinto al de origen</t>
  </si>
  <si>
    <t>Sin restricción; exige membresía SEPA, incluida la categoría internacional</t>
  </si>
  <si>
    <t>Periodoncia, implantes dentales y biomateriales</t>
  </si>
  <si>
    <t>periodontitis; implantes; biomateriales; regeneración; movilidad; investigación clínica</t>
  </si>
  <si>
    <t>Financia una estancia de al menos tres meses y un proyecto vinculado en periodoncia, implantes dentales o biomateriales.</t>
  </si>
  <si>
    <t>Miembro de SEPA con proyecto clínico o preclínico, protocolo y aprobación ética. Las revisiones sistemáticas están excluidas.</t>
  </si>
  <si>
    <t>Hasta EUR 10.000 para viaje, alojamiento y manutención y al menos EUR 5.000 para investigación. Exige publicación Q1 antes del 30/11/2027, salvo prórroga excepcional.</t>
  </si>
  <si>
    <t>https://sepa.es/web/_public/downloads/becas/Beca-Jos%C3%A9%20Juan%20Vilar%20Mart%C3%ADnez%202026%20ES.pdf?20260426114110=</t>
  </si>
  <si>
    <t>Convocatoria 2026 cerrada. Para una edición futura, formalizar membresía internacional de SEPA y asegurar centro anfitrión y estrategia de publicación Q1.</t>
  </si>
  <si>
    <t>David Steflik Memorial Student Research Grant 2026</t>
  </si>
  <si>
    <t>American Academy of Implant Dentistry Foundation</t>
  </si>
  <si>
    <t>Sin restricción; los estudiantes internacionales son bienvenidos</t>
  </si>
  <si>
    <t>Implantología, biomateriales y respuesta tisular</t>
  </si>
  <si>
    <t>implantes; estudiantes; biomateriales; oseointegración; tejidos; investigación piloto</t>
  </si>
  <si>
    <t>Apoya proyectos estudiantiles en implantología, biomateriales y respuesta de los tejidos a los implantes.</t>
  </si>
  <si>
    <t>Estudiantes de odontología y participantes en programas de posgrado o residencia, con tutor y respaldo institucional.</t>
  </si>
  <si>
    <t>Financiamiento directo máximo de USD 7.000. Puede incluir hasta USD 1.500 adicionales para presentar resultados en la reunión anual de AAID.</t>
  </si>
  <si>
    <t>https://www.aaid.com/aaidf-grants</t>
  </si>
  <si>
    <t>Convocatoria 2026 cerrada. Monitorear el próximo ciclo para tesis o proyectos piloto de residentes y estudiantes de posgrado de UNPHU.</t>
  </si>
  <si>
    <t>AAID Foundation Large Research Grant 2026</t>
  </si>
  <si>
    <t>Internacional; confirmar la elegibilidad geográfica en el próximo ciclo</t>
  </si>
  <si>
    <t>No especificada en la página pública</t>
  </si>
  <si>
    <t>Implantología oral</t>
  </si>
  <si>
    <t>implantes; factibilidad; nuevas técnicas; modelos animales; datos clínicos; biomateriales; respuesta tisular</t>
  </si>
  <si>
    <t>Apoya estudios de factibilidad, nuevas técnicas o procedimientos, pequeños estudios clínicos o animales y análisis de datos existentes relacionados con implantología.</t>
  </si>
  <si>
    <t>Dirigida a investigadores en implantología. Deben cumplirse las condiciones institucionales y éticas de las bases de cada ciclo.</t>
  </si>
  <si>
    <t>Permite suministros, equipos pequeños y salarios de apoyo técnico. No permite salario del PI, consultores, grandes equipos ni costos indirectos.</t>
  </si>
  <si>
    <t>Convocatoria 2026 cerrada. Confirmar la elegibilidad internacional antes de preparar una propuesta del siguiente ciclo.</t>
  </si>
  <si>
    <t>ITI Research Mentoring Program 2026</t>
  </si>
  <si>
    <t>International Team for Implantology (ITI Foundation)</t>
  </si>
  <si>
    <t>De 1 a 12 meses</t>
  </si>
  <si>
    <t>Sin restricción publicada</t>
  </si>
  <si>
    <t>Formación investigadora en implantología</t>
  </si>
  <si>
    <t>mentoría; movilidad; implantología; periimplantitis; regeneración; capacitación; colaboración internacional</t>
  </si>
  <si>
    <t>Apoya estancias en una institución mentora para adquirir métodos, desarrollar colaboraciones y fortalecer la carrera científica en implantología.</t>
  </si>
  <si>
    <t>Investigador emergente; solicitud en inglés, CV, plan de estancia y referencias. Debe poder desplazarse al centro anfitrión.</t>
  </si>
  <si>
    <t>Apertura prevista el 01/08/2026. Tramos de USD 1.500–7.500, USD 7.500–10.000 y USD 10.000–20.000; compensación adicional al centro anfitrión de hasta USD 5.000.</t>
  </si>
  <si>
    <t>https://www.iti.org/science/research-mentoring-program/</t>
  </si>
  <si>
    <t>International Team for Implantology (ITI) Research Committee</t>
  </si>
  <si>
    <t>Próxima a abrir al verificarla. Recomendable para formar investigadores jóvenes de UNPHU en microbiología periimplantaria, regeneración o investigación clínica.</t>
  </si>
  <si>
    <t>ITI Targeted Call 2026 — Long-Term Outcomes of Single Implants versus 3-Unit Tooth-Borne Bridges</t>
  </si>
  <si>
    <t>Según proyecto; resultados con seguimiento mínimo de 5 años</t>
  </si>
  <si>
    <t>Resultados clínicos de implantes unitarios</t>
  </si>
  <si>
    <t>implante unitario; puente dentosoportado; supervivencia; PROMs; costo-efectividad; complicaciones; seguimiento longitudinal</t>
  </si>
  <si>
    <t>Compara resultados a largo plazo de implantes unitarios y puentes dentosoportados de tres unidades, incluida supervivencia, complicaciones, experiencia del paciente y economía de la salud.</t>
  </si>
  <si>
    <t>El primer solicitante debe estar afiliado a una institución académica acreditada. Se aceptan estudios retrospectivos y multicéntricos con datos de al menos cinco años.</t>
  </si>
  <si>
    <t>Modalidad pequeña hasta USD 50.000 y grande hasta USD 200.000. La notificación está prevista para noviembre de 2026.</t>
  </si>
  <si>
    <t>https://www.iti.org/science/research-grants/</t>
  </si>
  <si>
    <t>ID de referencia de la búsqueda: OD-2026-002. UNPHU necesitaría expedientes longitudinales o integrarse en una red multicéntrica.</t>
  </si>
  <si>
    <t>2026-038</t>
  </si>
  <si>
    <t>2026-039</t>
  </si>
  <si>
    <t>2026-040</t>
  </si>
  <si>
    <t>2026-041</t>
  </si>
  <si>
    <t>2026-042</t>
  </si>
  <si>
    <t>FY26 Epilepsy Research Program — Leveraging Research Award</t>
  </si>
  <si>
    <t>Defense Health Agency / CDMRP — Epilepsy Research Program</t>
  </si>
  <si>
    <t>Máximo 3 años</t>
  </si>
  <si>
    <t>Investigador independiente de cualquier etapa; equipo con experiencia en lesión cerebral traumática y epilepsia</t>
  </si>
  <si>
    <t>Organización extranjera o estadounidense, pública, privada, con o sin fines de lucro</t>
  </si>
  <si>
    <t>Internacional, incluida República Dominicana</t>
  </si>
  <si>
    <t>Cualquier nacionalidad o ciudadanía</t>
  </si>
  <si>
    <t>Epilepsia postraumática</t>
  </si>
  <si>
    <t>Permite adaptar o ampliar una cohorte, herramienta, intervención o recurso existente que anteriormente no estuviera enfocado en epilepsia postraumática.</t>
  </si>
  <si>
    <t>UNPHU es elegible como organización extranjera. El PI debe ser investigador independiente. Se requieren datos preliminares y acceso demostrado al recurso que se pretende aprovechar.</t>
  </si>
  <si>
    <t>Carta de intención: 03/08/2026, 5:00 p. m. ET. Solicitud completa: 17/08/2026, 11:59 p. m. ET. Solo aplica si la neuroestimulación se orienta explícitamente a epilepsia postraumática; puede incluir ensayos clínicos.</t>
  </si>
  <si>
    <t>https://cdmrp.health.mil/funding/pa/HT942526ERPLRA_GG.pdf</t>
  </si>
  <si>
    <t>CDMRP — Epilepsy Research Program</t>
  </si>
  <si>
    <t>FY26 PRMRP — Impact Award</t>
  </si>
  <si>
    <t>Defense Health Agency / CDMRP — PRMRP</t>
  </si>
  <si>
    <t>Máximo 4 años</t>
  </si>
  <si>
    <t>Investigador independiente; en modalidad asociada, uno de los PI debe ser investigador clínico</t>
  </si>
  <si>
    <t>Endometriosis y neuropatía periférica</t>
  </si>
  <si>
    <t>Apoya conceptos maduros de investigación aplicada que puedan convertirse en soluciones clínicas con impacto importante a corto plazo.</t>
  </si>
  <si>
    <t>UNPHU es elegible. Los postdoctorados, fellows clínicos y científicos bajo mentoría no pueden ser PI.</t>
  </si>
  <si>
    <t>Carta de intención: 23/07/2026, 5:00 p. m. ET. Solicitud completa: 06/08/2026, 11:59 p. m. ET. Tope: USD 2.8 millones con PI único o USD 3.6 millones con PI asociado. No permite ensayos clínicos; sí investigación clínica no intervencional.</t>
  </si>
  <si>
    <t>https://cdmrp.health.mil/funding/pa/HT942526PRMRPIPA_GG.pdf</t>
  </si>
  <si>
    <t>CDMRP — PRMRP</t>
  </si>
  <si>
    <t>FY26 PRMRP — Technology/Therapeutic Development Award</t>
  </si>
  <si>
    <t>Investigador independiente con equipo de desarrollo de producto, regulación y transición clínica</t>
  </si>
  <si>
    <t>Organización extranjera o estadounidense, pública o privada</t>
  </si>
  <si>
    <t>Apoya la transformación de resultados preclínicos prometedores en productos clínicos para prevención, diagnóstico, tratamiento o mejora de calidad de vida.</t>
  </si>
  <si>
    <t>UNPHU es elegible como institución extranjera. Se requiere prueba de concepto preliminar y una estrategia clara de transición regulatoria o clínica.</t>
  </si>
  <si>
    <t>Carta de intención: 23/07/2026, 5:00 p. m. ET. Solicitud completa: 06/08/2026, 11:59 p. m. ET. Debe conducir a un expediente regulatorio o a implementación clínica. No permite ensayos clínicos.</t>
  </si>
  <si>
    <t>https://cdmrp.health.mil/funding/pa/HT942526PRMRPTTDA_GG2.pdf</t>
  </si>
  <si>
    <t>2027–2029 Clinical Research Training Scholarship in Peripheral Neuropathy</t>
  </si>
  <si>
    <t>Foundation for Peripheral Neuropathy / American Brain Foundation / American Academy of Neurology</t>
  </si>
  <si>
    <t>Investigador de carrera temprana con MD, PhD o equivalente y trayectoria prevista en neuropatía periférica</t>
  </si>
  <si>
    <t>Investigador individual respaldado por una institución anfitriona</t>
  </si>
  <si>
    <t>Internacional; existen antecedentes de beneficiarios fuera de Estados Unidos</t>
  </si>
  <si>
    <t>No se publica restricción de nacionalidad; confirmar en el portal de solicitud</t>
  </si>
  <si>
    <t>Neuropatía periférica</t>
  </si>
  <si>
    <t>Financia estudios epidemiológicos, conductuales, clínicos, mecanismos de enfermedad, tecnologías, servicios de salud y modelos traslacionales de neuropatía periférica.</t>
  </si>
  <si>
    <t>Investigadores MD o PhD de carrera temprana comprometidos con investigación en neuropatía, con apoyo institucional y cumplimiento de los criterios completos de ABF.</t>
  </si>
  <si>
    <t>Solicitud presentada en 2026 para el período 2027–2029. Correspondencia directa con CIPN; una beneficiaria 2026 recibió apoyo específicamente para investigación de neuropatía inducida por quimioterapia.</t>
  </si>
  <si>
    <t>https://www.foundationforpn.org/peripheral-neuropathy-research-training-grant-2027/</t>
  </si>
  <si>
    <t>Foundation for Peripheral Neuropathy / American Brain Foundation</t>
  </si>
  <si>
    <t>World Endometriosis Society Early Career Investigator Awards 2027</t>
  </si>
  <si>
    <t>World Endometriosis Society</t>
  </si>
  <si>
    <t>Canadá / Internacional</t>
  </si>
  <si>
    <t>Clínicos, profesionales aliados, científicos básicos o sociales en etapa inicial</t>
  </si>
  <si>
    <t>Investigador individual miembro de WES; institución o mentor administra fondos cuando corresponda</t>
  </si>
  <si>
    <t>No se publica restricción de ciudadanía</t>
  </si>
  <si>
    <t>Endometriosis o adenomiosis</t>
  </si>
  <si>
    <t>endometriosis; manejo integral; dolor pélvico; calidad de vida; cirugía; epidemiología; salud pública; ciencias sociales</t>
  </si>
  <si>
    <t>Otorga seis catalyst grants: dos para clínicos y profesionales aliados, dos para científicos básicos y dos para científicos sociales.</t>
  </si>
  <si>
    <t>Requiere membresía WES. Clínicos y profesionales aliados: dentro de seis años de práctica independiente. Científicos básicos o sociales: dentro de diez años del doctorado o formación equivalente.</t>
  </si>
  <si>
    <t>Admite faculty de carrera temprana, postdoctorados y asociados de investigación. Quienes no tengan posición independiente deben identificar supervisor o mentor que administre los fondos.</t>
  </si>
  <si>
    <t>https://www.worldendosociety.org/mentoring-grants-awards/research-grants</t>
  </si>
  <si>
    <t>Dissemination and Implementation Research in Health — R03; PAR-25-233</t>
  </si>
  <si>
    <t>National Institutes of Health — NIH</t>
  </si>
  <si>
    <t>Investigadores en salud pública, epidemiología, implementación, servicios de salud, ginecología, neurología u oncología</t>
  </si>
  <si>
    <t>Universidad u organización de investigación; entidades extranjeras elegibles</t>
  </si>
  <si>
    <t>Sin restricción específica para PI de entidad extranjera elegible</t>
  </si>
  <si>
    <t>Implementación de intervenciones y prácticas de salud basadas en evidencia</t>
  </si>
  <si>
    <t>Financia estudios pequeños sobre adopción, adaptación, implementación, escalamiento y sostenibilidad de prácticas, guías o intervenciones de salud basadas en evidencia.</t>
  </si>
  <si>
    <t>UNPHU puede solicitar directamente. El PI debe poseer los conocimientos, recursos y respaldo institucional necesarios.</t>
  </si>
  <si>
    <t>Máximo USD 50,000 en costos directos por año y USD 100,000 en dos años. No permite ensayos clínicos de eficacia; es adecuada para implementar una ruta integral de endometriosis o un protocolo para CIPN.</t>
  </si>
  <si>
    <t>https://grants.nih.gov/grants/guide/pa-files/PAR-25-233.html</t>
  </si>
  <si>
    <t>NIH / NICHD / NINDS / Fogarty International Center</t>
  </si>
  <si>
    <t>Wellcome Discovery Awards — September 2026 round</t>
  </si>
  <si>
    <t>Wellcome</t>
  </si>
  <si>
    <t>Normalmente 3–8 años; promedio cercano a 7 años</t>
  </si>
  <si>
    <t>Investigador establecido; se permiten co-solicitantes</t>
  </si>
  <si>
    <t>Universidad, instituto de investigación, organización sanitaria o entidad sin fines de lucro</t>
  </si>
  <si>
    <t>Reino Unido, Irlanda y países de ingresos bajos y medios; República Dominicana es elegible para esta ronda</t>
  </si>
  <si>
    <t>Elegibilidad basada en institución y ubicación, no en ciudadanía</t>
  </si>
  <si>
    <t>Investigación de descubrimiento en salud y bienestar</t>
  </si>
  <si>
    <t>Apoya programas ambiciosos que generen cambios importantes en la comprensión de la vida, la salud y el bienestar, incluyendo ciencia básica, experimental, clínica o poblacional.</t>
  </si>
  <si>
    <t>La organización administradora debe ser sin fines de lucro. República Dominicana figura en la lista vigente de países de ingresos bajos y medios de Wellcome para esta ronda.</t>
  </si>
  <si>
    <t>Cierre: 22/09/2026, 3:00 p. m. BST. No hay tope formal; el promedio es aproximadamente GBP 3.5 millones y solicitudes superiores a GBP 5 millones reciben escrutinio adicional. La elegibilidad geográfica cambia después del 29/10/2026.</t>
  </si>
  <si>
    <t>https://wellcome.org/research-funding/schemes/wellcome-discovery-awards</t>
  </si>
  <si>
    <t>IBSA Foundation Fellowships — 2026 Call</t>
  </si>
  <si>
    <t>IBSA Foundation for Scientific Research</t>
  </si>
  <si>
    <t>Suiza</t>
  </si>
  <si>
    <t>Menor de 40 años; medicina, biología, farmacia, biotecnología o bioingeniería; PhD student, PhD, postdoc o residente</t>
  </si>
  <si>
    <t>Investigador individual activo en una institución anfitriona de investigación</t>
  </si>
  <si>
    <t>Cualquier nacionalidad</t>
  </si>
  <si>
    <t>Medicina del dolor; ortopedia/reumatología; fertilidad/urología; medicina regenerativa</t>
  </si>
  <si>
    <t>Ofrece siete fellowships de EUR 32,000. Las áreas de medicina del dolor y fertilidad/urología permiten proyectos relacionados con CIPN, dolor pélvico y endometriosis.</t>
  </si>
  <si>
    <t>Menor de 40 años al cierre, título elegible y actividad durante toda la beca en universidad, hospital o centro de investigación. Profesores con posición permanente no son elegibles.</t>
  </si>
  <si>
    <t>No cubre bench fees, overhead, consumibles ni beneficios para el supervisor o institución. Incluye un Research Equity Prize adicional de EUR 5,000 para el mejor proyecto desarrollado en un país en desarrollo.</t>
  </si>
  <si>
    <t>https://www.ibsafoundation.org/en/fellowship/call-2026</t>
  </si>
  <si>
    <t>IBSA Foundation</t>
  </si>
  <si>
    <t>2026-043</t>
  </si>
  <si>
    <t>2026-044</t>
  </si>
  <si>
    <t>2026-045</t>
  </si>
  <si>
    <t>2026-046</t>
  </si>
  <si>
    <t>2026-047</t>
  </si>
  <si>
    <t>2026-048</t>
  </si>
  <si>
    <t>2026-049</t>
  </si>
  <si>
    <t>2026-050</t>
  </si>
  <si>
    <t xml:space="preserve"> investigador joven; no financia costos institucionales.</t>
  </si>
  <si>
    <t xml:space="preserve"> manejo integral y servicios de salud. La intervención o guía debe contar con evidencia previa.</t>
  </si>
  <si>
    <t xml:space="preserve"> calidad de vida o investigación social en endometriosis.</t>
  </si>
  <si>
    <t xml:space="preserve"> Verificar criterios exactos de etapa profesional en el portal ABF.</t>
  </si>
  <si>
    <t>existe candidato terapéutico, dispositivo, biomarcador o prueba diagnóstica para CIPN/endometriosis.</t>
  </si>
  <si>
    <t xml:space="preserve"> biomarcadores, diagnóstico o tratamiento traslacional de CIPN/endometriosis.</t>
  </si>
  <si>
    <t>solo si existe una cohorte o intervención reutilizable y la población es PTE. Confirmar SAM/UEI, eBRAP y Grants.gov activos.</t>
  </si>
  <si>
    <t>dolor neuropático;  dolor pélvico; endometriosis; fertilidad; rehabilitación; medicina del dolor</t>
  </si>
  <si>
    <t>epilepsia; neuroestimulación; neuropatía;  endometriosis; mecanismos; medicina experimental</t>
  </si>
  <si>
    <t>manejo integral; endometriosis;  implementación; ruta clínica; acceso; adherencia; calidad de atención</t>
  </si>
  <si>
    <t xml:space="preserve"> neuropatía inducida por quimioterapia; mecanismos; diagnóstico; tratamiento; ensayo clínico; tecnología</t>
  </si>
  <si>
    <t>neuroprotección; fármaco; diagnóstico; dispositivo; endometriosis; biomarcadores; IND; IDE</t>
  </si>
  <si>
    <t>endometriosis;  mecanismos; biomarcadores; soluciones clínicas; investigación traslacional</t>
  </si>
  <si>
    <t>epilepsia postraumática; PTE; neuroestimulación;  lesión cerebral traumática; dispositivos avanzados</t>
  </si>
  <si>
    <t>Darwin Initiative Main — Round 32</t>
  </si>
  <si>
    <t>UK Department for Environment, Food &amp; Rural Affairs — Defra</t>
  </si>
  <si>
    <t>2-5 años</t>
  </si>
  <si>
    <t>Investigador establecido; equipo interdisciplinario</t>
  </si>
  <si>
    <t>Institución académica; ONG; entidad pública o privada registrada</t>
  </si>
  <si>
    <t>Países y hotspots elegibles; República Dominicana e Islas del Caribe</t>
  </si>
  <si>
    <t>Conservación de biodiversidad y reducción multidimensional de la pobreza</t>
  </si>
  <si>
    <t>biodiversidad; conservación; restauración; comunidades; pobreza; escalamiento; Caribe</t>
  </si>
  <si>
    <t>Financia proyectos grandes, basados en evidencia y con potencial de escala, que produzcan resultados simultáneos para la conservación de la biodiversidad y la reducción de la pobreza.</t>
  </si>
  <si>
    <t>UNPHU puede postular como organización líder. República Dominicana figura como país elegible dentro del hotspot Islas del Caribe; por ser país UMIC debe justificarse especialmente la necesidad del financiamiento y el beneficio a población vulnerable.</t>
  </si>
  <si>
    <t>Etapa 1: nota conceptual. Cierre 20/07/2026 a las 23:59 BST (18:59 AST). Solo una solicitud líder por organización y esquema. Inicio previsto desde abril de 2027.</t>
  </si>
  <si>
    <t>https://www.darwininitiative.org.uk/how-to-apply/main-applications/</t>
  </si>
  <si>
    <t>https://pivot.proquest.com/funding_opps/00d28df5-0db9-4812-8c68-d1d75de8f0f3</t>
  </si>
  <si>
    <t>UK Defra / NIRAS Biodiversity Challenge Funds</t>
  </si>
  <si>
    <t>Referencia de búsqueda BIO-2026-002. La ficha Pivot del adjunto contenía datos de una edición anterior; usar los datos oficiales de Round 32.</t>
  </si>
  <si>
    <t>Darwin Initiative Capability &amp; Capacity — Round 32</t>
  </si>
  <si>
    <t>Investigador establecido; especialista en fortalecimiento institucional</t>
  </si>
  <si>
    <t>Institución académica; instituto de investigación; ONG; entidad pública</t>
  </si>
  <si>
    <t>Fortalecimiento de capacidades institucionales para la conservación</t>
  </si>
  <si>
    <t>biodiversidad; formación; gobernanza; redes; capacidades locales; pobreza; Caribe</t>
  </si>
  <si>
    <t>Apoya proyectos que desarrollen la capacidad de organizaciones locales y nacionales para producir impactos sostenibles en conservación de biodiversidad y reducción de pobreza.</t>
  </si>
  <si>
    <t>UNPHU puede participar como organización local, entidad líder o institución beneficiaria, siempre que el proyecto contribuya a abordar la pérdida de biodiversidad y la pobreza dentro del hotspot elegible.</t>
  </si>
  <si>
    <t>Proceso de una sola etapa. Cierre 31/08/2026 a las 23:59 BST (18:59 AST). Duración máxima de tres años; inicio previsto desde abril de 2027.</t>
  </si>
  <si>
    <t>https://www.darwininitiative.org.uk/how-to-apply/capability-capacity-applications/</t>
  </si>
  <si>
    <t>Conservation, Food &amp; Health Foundation — Conservation Grants</t>
  </si>
  <si>
    <t>Conservation, Food &amp; Health Foundation</t>
  </si>
  <si>
    <t>Investigador emergente; investigador establecido</t>
  </si>
  <si>
    <t>Institución académica; ONG; organización sin fines de lucro</t>
  </si>
  <si>
    <t>Caribe, América Latina, África, Asia y Medio Oriente</t>
  </si>
  <si>
    <t>Conservación e investigación aplicada</t>
  </si>
  <si>
    <t>biodiversidad; recursos naturales; cambio climático; comunidades; capacidades; políticas</t>
  </si>
  <si>
    <t>Apoya investigación de campo, proyectos piloto y acciones aplicadas que generen soluciones locales y vinculen científicos, comunidades, organizaciones y responsables de políticas.</t>
  </si>
  <si>
    <t>Las universidades son elegibles si demuestran finalidad no gubernamental o benéfica. República Dominicana es elegible como país del Caribe.</t>
  </si>
  <si>
    <t>La próxima ventana para conceptos abre el 15/10/2026 y cierra el 22/12/2026. No existen límites formales; la mayoría de las subvenciones se sitúa entre USD 25,000 y 50,000 por año. Solo una propuesta por organización y año; no cubre overhead.</t>
  </si>
  <si>
    <t>https://cfhfoundation.grantsmanagement08.com/</t>
  </si>
  <si>
    <t>Conservation, Food &amp; Health Foundation / GMA Foundations</t>
  </si>
  <si>
    <t>FY 2024–2026 Broad Agency Announcement for the Office of Education</t>
  </si>
  <si>
    <t>National Oceanic and Atmospheric Administration — NOAA</t>
  </si>
  <si>
    <t>Investigador emergente; investigador establecido; equipo interdisciplinario</t>
  </si>
  <si>
    <t>Institución académica; ONG; empresa; gobierno; organización extranjera</t>
  </si>
  <si>
    <t>Biodiversidad marina, ecosistemas costeros, clima y educación</t>
  </si>
  <si>
    <t>océanos saludables; hábitats; biodiversidad marina; costas resilientes; cambio climático; educación</t>
  </si>
  <si>
    <t>Broad Agency Announcement para investigación, educación, divulgación y proyectos innovadores vinculados con los objetivos estratégicos de NOAA.</t>
  </si>
  <si>
    <t>Las instituciones de educación superior y organizaciones extranjeras son elegibles, siempre que NOAA disponga de autoridad legal para financiar la actividad propuesta.</t>
  </si>
  <si>
    <t>Cierre 30/09/2026 a las 23:59 ET. Financiamiento sujeto a disponibilidad presupuestaria. Conviene consultar previamente a la oficina programática y completar los registros federales requeridos.</t>
  </si>
  <si>
    <t>https://www.grants.gov/search-results-detail/356002</t>
  </si>
  <si>
    <t>https://pivot.proquest.com/funding_opps/1b3a4403-d139-491a-aae6-f2f1552f7976</t>
  </si>
  <si>
    <t>NOAA Office of Education / U.S. Department of Commerce</t>
  </si>
  <si>
    <t>2026-051</t>
  </si>
  <si>
    <t>2026-052</t>
  </si>
  <si>
    <t>2026-053</t>
  </si>
  <si>
    <t>2026-054</t>
  </si>
  <si>
    <t>Muy buen encaje institucional para UNPHU; coordinar internamente porque solo se permite una solicitud líder por esquema.</t>
  </si>
  <si>
    <t xml:space="preserve"> Utilizar el identificador oficial NOAA-SEC-OED-2024-28060 y no confundir con otros BAA de NOAA.</t>
  </si>
  <si>
    <t>Nestlé Foundation Research Grants</t>
  </si>
  <si>
    <t>Nestlé Foundation for the Study of Problems of Nutrition in the World</t>
  </si>
  <si>
    <t>Países de ingresos bajos y medios; República Dominicana elegible</t>
  </si>
  <si>
    <t>Nutrición materna, infantil y adolescente; seguridad nutricional</t>
  </si>
  <si>
    <t>Seguridad alimentaria; nutrición; malnutrición; salud materno-infantil; adolescentes; países de ingresos bajos y medios</t>
  </si>
  <si>
    <t>Apoya investigación aplicada e innovadora orientada a mejorar la nutrición materna, infantil y adolescente en países de ingresos bajos y medios.</t>
  </si>
  <si>
    <t>El investigador principal colaborador debe estar radicado en un país elegible y al menos 75 % del presupuesto debe ejecutarse allí. Estudiantes de maestría o doctorado pueden solicitar con supervisión.</t>
  </si>
  <si>
    <t>Carta de intención recibida de forma continua. Las propuestas completas son solo por invitación, con cortes habituales el 10 de enero y el 10 de julio. Regular: hasta USD 100,000 por año y USD 300,000 en total; Training: hasta USD 20,000 por año; Mobility: hasta USD 30,000. No financia estudios solo con animales o in vitro.</t>
  </si>
  <si>
    <t>https://www.nestlefoundation.org/research</t>
  </si>
  <si>
    <t>Nestlé Foundation; nf@nestlefoundation.org</t>
  </si>
  <si>
    <t>Alta afinidad con Nutrición, Medicina y Salud Pública de la UNPHU. República Dominicana figura dentro del universo general de países de ingresos medios.</t>
  </si>
  <si>
    <t>Seeding the Future Global Food System Challenge 2026</t>
  </si>
  <si>
    <t>Seeding The Future Foundation / Welthungerhilfe</t>
  </si>
  <si>
    <t>Según el cronograma del proyecto</t>
  </si>
  <si>
    <t>Internacional, salvo jurisdicciones sujetas a sanciones integrales</t>
  </si>
  <si>
    <t>Transformación de sistemas alimentarios</t>
  </si>
  <si>
    <t>Seguridad alimentaria; alimentos seguros y nutritivos; agricultura regenerativa; desperdicio de alimentos; acceso equitativo; innovación</t>
  </si>
  <si>
    <t>Premia innovaciones validadas que integren nutrición, sostenibilidad ambiental y acceso equitativo para transformar los sistemas alimentarios.</t>
  </si>
  <si>
    <t>Pueden participar universidades, institutos de investigación, ONG y empresas emergentes de todo el mundo. Las personas deben postular mediante una organización y se requiere prototipo o prueba de concepto.</t>
  </si>
  <si>
    <t>Próximo ciclo previsto del 15 de octubre al 15 de diciembre de 2026, sujeto a activación oficial. Seed Grants: USD 25,000; Growth Grants: USD 100,000; Grand Prizes: USD 250,000. No acepta ideas meramente teóricas.</t>
  </si>
  <si>
    <t>https://www.welthungerhilfe.org/global-food-system-challenge</t>
  </si>
  <si>
    <t>Welthungerhilfe / Seeding The Future Foundation; globalfoodsystemchallenge@welthungerhilfe.de</t>
  </si>
  <si>
    <t>La fecha 2026 se basa en el calendario recurrente publicado; confirmar la apertura efectiva antes de difundir o presentar.</t>
  </si>
  <si>
    <t>Sylvia Lane Mentor Fellowship</t>
  </si>
  <si>
    <t>Agricultural &amp; Applied Economics Association — AAEA Trust</t>
  </si>
  <si>
    <t>Según el plan de mentoría</t>
  </si>
  <si>
    <t>Sin restricción indicada</t>
  </si>
  <si>
    <t>Economía agrícola, alimentaria y de recursos</t>
  </si>
  <si>
    <t>Seguridad alimentaria; economía agrícola; políticas alimentarias; desarrollo rural; mentoría; mujeres</t>
  </si>
  <si>
    <t>Financia a mujeres en etapas iniciales de su carrera para desarrollar una colaboración de investigación y mentoría con una especialista de otra institución.</t>
  </si>
  <si>
    <t>Dirigida a mujeres en etapa inicial de carrera en economía agrícola, alimentaria o de recursos. Se prefieren nuevas relaciones de mentoría y la mentora debe pertenecer a una institución distinta.</t>
  </si>
  <si>
    <t>Requiere carta de presentación, CV, propuesta de investigación de hasta 3 páginas, recomendación, carta de intención de la mentora y presupuesto. La página menciona uso de fondos en 2026 pese al cierre de octubre; confirmar el cronograma con AAEA.</t>
  </si>
  <si>
    <t>https://www.aaea.org/trust/special-purpose-funds/sylvia-lane-mentorship-fund/call-for-applications</t>
  </si>
  <si>
    <t>https://pivot.proquest.com/funding_opps/dc186f8c-3a85-4d35-9c72-d1d75de8f0f3</t>
  </si>
  <si>
    <t>AAEA Trust; Jeanne Rhodes, jrhodes@aaea.org</t>
  </si>
  <si>
    <t>Incluida por su afinidad con seguridad alimentaria y economía agrícola; conviene validar la aparente inconsistencia temporal con AAEA.</t>
  </si>
  <si>
    <t>McCorkle Student Scholarship</t>
  </si>
  <si>
    <t>Economía agrícola y de alimentos</t>
  </si>
  <si>
    <t>Seguridad alimentaria; economía agrícola; precios; mercados; cadenas de valor; pobreza; desarrollo rural</t>
  </si>
  <si>
    <t>Apoya proyectos aplicados de estudiantes de posgrado sobre problemas económicos relacionados con la agricultura y los alimentos.</t>
  </si>
  <si>
    <t>Estudiante de posgrado con un proyecto aplicado y respaldo de su asesor o asesora académica.</t>
  </si>
  <si>
    <t>Puede cubrir recolección de datos, gastos de investigación, matrícula, cuotas, libros, suministros y equipo necesario. Requiere propuesta de hasta 5 páginas, presupuesto, carta del asesor y expediente académico. Confirmar expresamente la elegibilidad internacional.</t>
  </si>
  <si>
    <t>https://www.aaea.org/trust/special-purpose-funds/chester-o-mccorkle-jr-special-purpose-fund/mccorkle-scholarship-applications</t>
  </si>
  <si>
    <t>Adecuada para tesis de posgrado de la UNPHU; verificar con AAEA la participación de estudiantes fuera de Estados Unidos.</t>
  </si>
  <si>
    <t>Food Planet Prize</t>
  </si>
  <si>
    <t>Curt Bergfors Foundation</t>
  </si>
  <si>
    <t>Suecia</t>
  </si>
  <si>
    <t>Sistemas alimentarios sostenibles</t>
  </si>
  <si>
    <t>Seguridad alimentaria; sostenibilidad; clima; agricultura regenerativa; biodiversidad; cadenas alimentarias; innovación; escalamiento</t>
  </si>
  <si>
    <t>Reconoce iniciativas con capacidad demostrada para transformar el sistema alimentario y reducir su impacto ambiental.</t>
  </si>
  <si>
    <t>Acepta nominaciones propias o de terceros de personas y organizaciones comerciales o sin fines de lucro de cualquier país. Una iniciativa institucional de la UNPHU puede ser elegible.</t>
  </si>
  <si>
    <t>Las nominaciones se reciben durante todo el año. Como referencia del ciclo 2026, el premio principal fue de USD 1.5 millones y tres finalistas recibieron USD 150,000 cada uno; los montos de ciclos futuros no están garantizados.</t>
  </si>
  <si>
    <t>https://foodplanetprize.org/foundation/prize/nominate/</t>
  </si>
  <si>
    <t>Requiere una iniciativa validada y con potencial de impacto sistémico; no está concebido para una propuesta académica puramente teórica.</t>
  </si>
  <si>
    <t>IAFP Awards 2026</t>
  </si>
  <si>
    <t>International Association for Food Protection — IAFP</t>
  </si>
  <si>
    <t>Varía según el premio</t>
  </si>
  <si>
    <t>Inocuidad y protección de alimentos</t>
  </si>
  <si>
    <t>Inocuidad alimentaria; microbiología; enfermedades transmitidas por alimentos; laboratorio; innovación; salud pública</t>
  </si>
  <si>
    <t>Conjunto de reconocimientos de IAFP para investigación, innovación, liderazgo, educación y práctica profesional en inocuidad de los alimentos.</t>
  </si>
  <si>
    <t>En general, las personas nominadas deben ser miembros de IAFP, con excepciones según el premio; quien nomina no necesariamente debe ser miembro. Las ayudas de viaje estudiantil requieren membresía estudiantil.</t>
  </si>
  <si>
    <t>https://www.foodprotection.org/get-involved/awards/</t>
  </si>
  <si>
    <t>https://pivot.proquest.com/funding_opps/a7b90b20-be06-4f6d-84bc-d1d75de8f0f3</t>
  </si>
  <si>
    <t>Oportunidad complementaria de reconocimiento profesional y viaje, no una subvención para iniciar un proyecto. Mantener como antecedente y monitorear el próximo ciclo.</t>
  </si>
  <si>
    <t>2026-055</t>
  </si>
  <si>
    <t>2026-056</t>
  </si>
  <si>
    <t>2026-057</t>
  </si>
  <si>
    <t>2026-058</t>
  </si>
  <si>
    <t>2026-059</t>
  </si>
  <si>
    <t>2026-060</t>
  </si>
  <si>
    <t>Morris Animal Foundation Veterinary Student Scholars FY27 – Round 2</t>
  </si>
  <si>
    <t>Morris Animal Foundation</t>
  </si>
  <si>
    <t>Proyecto de investigación estudiantil tutorizado</t>
  </si>
  <si>
    <t>Estudiante de Veterinaria con mentor investigador</t>
  </si>
  <si>
    <t>Estudiante seleccionado por su institución</t>
  </si>
  <si>
    <t>Programas acreditados de Veterinaria; no se exige acreditación AVMA</t>
  </si>
  <si>
    <t>Investigación veterinaria estudiantil</t>
  </si>
  <si>
    <t>estudiantes; investigación mentorizada; perros; gatos; équidos; fauna silvestre; formación científica</t>
  </si>
  <si>
    <t>Ofrece experiencia de investigación clínica o básica tutorizada para avanzar la salud de perros, gatos, équidos o fauna silvestre.</t>
  </si>
  <si>
    <t>Estar matriculado en un programa acreditado de Medicina Veterinaria. No son elegibles estudiantes de programas combinados DVM/PhD. La institución debe seleccionar primero al candidato.</t>
  </si>
  <si>
    <t>Abre el 07/10/2026. Estipendio de hasta 5.500 USD por estudiante. Temática abierta en caninos, felinos, équidos y fauna silvestre. No cubre investigación sobre animales de producción.</t>
  </si>
  <si>
    <t>https://www.morrisanimalfoundation.org/veterinary-student-scholar-program</t>
  </si>
  <si>
    <t>Morris Animal Foundation – programa y calendario oficiales</t>
  </si>
  <si>
    <t>Morris Animal Foundation – Feline Annual RFP</t>
  </si>
  <si>
    <t>Investigador establecido; investigador emergente; postdoctorado</t>
  </si>
  <si>
    <t>Investigador o equipo con afiliación institucional</t>
  </si>
  <si>
    <t>Sin restricción, sujeto a sanciones económicas de Estados Unidos</t>
  </si>
  <si>
    <t>Salud felina</t>
  </si>
  <si>
    <t>gatos; medicina felina; enfermedades infecciosas; oncología; nutrición; diagnóstico; bienestar</t>
  </si>
  <si>
    <t>Convocatoria abierta temáticamente para proyectos que avancen la salud de los gatos mediante investigación científica rigurosa y humanitaria.</t>
  </si>
  <si>
    <t>Según modalidad: trayectoria investigadora para Established Investigator; nuevo profesorado para First Award; idea innovadora para Pilot Study; DVM/PhD o doctorando avanzado para Fellowship Training.</t>
  </si>
  <si>
    <t>Abre el 26/08/2026. Morris acepta investigadores de todo el mundo. No financia salud humana ni sanidad de animales de producción. La documentación y los montos de FY27 se publicarán en SmartSimple.</t>
  </si>
  <si>
    <t>https://www.morrisanimalfoundation.org/apply</t>
  </si>
  <si>
    <t>Morris Animal Foundation – calendario y FAQ oficiales</t>
  </si>
  <si>
    <t>Zebra Foundation for Veterinary Zoological Education Grants</t>
  </si>
  <si>
    <t>Zebra Foundation, con apoyo de EAZWV y BVZS</t>
  </si>
  <si>
    <t>Veterinarios y estudiantes de Veterinaria</t>
  </si>
  <si>
    <t>Medicina zoológica y salud de fauna silvestre</t>
  </si>
  <si>
    <t>fauna silvestre; zoológicos; medicina zoológica; mortalidad; epidemiología; formación veterinaria</t>
  </si>
  <si>
    <t>Apoya pequeños proyectos de laboratorio, campo o clínica que contribuyan a la salud zoológica o a la formación del solicitante en la disciplina.</t>
  </si>
  <si>
    <t>Veterinarios o estudiantes de Veterinaria. Son elegibles proyectos escritos durante prácticas en instituciones zoológicas e investigaciones que produzcan avances en medicina zoológica.</t>
  </si>
  <si>
    <t>Corte semestral. No cubre matrículas completas de maestría/doctorado, asistencia a conferencias ni prácticas sin un proyecto concreto. Prioriza a quienes inician su trayectoria en medicina zoológica.</t>
  </si>
  <si>
    <t>https://www.eazwv.org/page/grants</t>
  </si>
  <si>
    <t>EAZWV, BVZS y Zebra Foundation</t>
  </si>
  <si>
    <t>EveryCat Health Foundation – Fall 2026 Grant Cycle</t>
  </si>
  <si>
    <t>EveryCat Health Foundation</t>
  </si>
  <si>
    <t>Veterinarios; investigadores de salud felina</t>
  </si>
  <si>
    <t>Salud y medicina felina</t>
  </si>
  <si>
    <t>gatos domésticos; enfermedades felinas; diagnóstico; terapias; prevención; bienestar; FIP; genética; nutrición</t>
  </si>
  <si>
    <t>Financia proyectos con objetivos concretos y alcanzables que demuestren relevancia o beneficio para la salud de los gatos domésticos.</t>
  </si>
  <si>
    <t>Investigación sobre origen, diagnóstico, tratamiento o prevención de enfermedades felinas y sobre bienestar físico, mental o social. Se requiere cumplir las normas éticas y de bienestar animal aplicables.</t>
  </si>
  <si>
    <t>Cierre el 21/08/2026 a las 23:59 EDT. Solicitudes por encima de 50.000 USD no son consideradas. Resultados previstos para diciembre de 2026.</t>
  </si>
  <si>
    <t>https://everycat.smapply.io/prog/everycat_grant_fall_2026/</t>
  </si>
  <si>
    <t>EveryCat Health Foundation – RFP y portal oficial</t>
  </si>
  <si>
    <t>2026-061</t>
  </si>
  <si>
    <t>2026-062</t>
  </si>
  <si>
    <t>2026-063</t>
  </si>
  <si>
    <t>2026-064</t>
  </si>
  <si>
    <t>. Encaje muy alto para Veterinaria si cuenta con casos, muestras o población felina suficientes. Confirmar la recepción contractual de fondos en República Dominicana.</t>
  </si>
  <si>
    <t>Monto pequeño, pero buen instrumento semilla para estudiantes, levantamiento de datos, series de casos o pruebas piloto de fauna silvestre.</t>
  </si>
  <si>
    <t>Encaje muy alto. Preparar desde ahora equipo, hipótesis, población felina, aprobaciones éticas y borrador de prepropuesta.</t>
  </si>
  <si>
    <t>Confirmar que el programa de Medicina Veterinaria de UNPHU satisface la definición de acreditación de Morris y organizar una selección interna antes del 07/10.</t>
  </si>
  <si>
    <t>Harry Frank Guggenheim Distinguished Scholar Awards</t>
  </si>
  <si>
    <t>Harry Frank Guggenheim Foundation</t>
  </si>
  <si>
    <t>Persona individual; excepcionalmente equipo de 2–3 investigadores principales</t>
  </si>
  <si>
    <t>Derecho, violencia y políticas públicas</t>
  </si>
  <si>
    <t>violencia; criminología; justicia penal; derechos humanos; terrorismo; conflicto; violencia política; prevención</t>
  </si>
  <si>
    <t>Financia investigaciones sobre las causas, mecanismos y consecuencias de la violencia, con interés especial en resultados aplicables a políticas de reducción o prevención.</t>
  </si>
  <si>
    <t>No exige formalmente un grado académico ni afiliación institucional, pero no financia investigación realizada como requisito de un posgrado. Investigadores de la UNPHU pueden aplicar individualmente.</t>
  </si>
  <si>
    <t>Primera etapa mediante carta de interés. La propuesta completa vence el 11/09/2026 y se presenta únicamente por invitación. Los montos indicados son por año.</t>
  </si>
  <si>
    <t>https://www.hfg.org/distinguished-scholars/</t>
  </si>
  <si>
    <t>Prioridad alta para investigaciones jurídicas sobre violencia de género, criminalidad, justicia penal, violencia política, seguridad ciudadana o derechos humanos.</t>
  </si>
  <si>
    <t>Gerda Henkel Foundation: proyectos en Historia del Derecho</t>
  </si>
  <si>
    <t>Gerda Henkel Foundation</t>
  </si>
  <si>
    <t>Alemania</t>
  </si>
  <si>
    <t>Postdoctorado; Investigador establecido</t>
  </si>
  <si>
    <t>Institución académica; Persona individual</t>
  </si>
  <si>
    <t>Historia del Derecho</t>
  </si>
  <si>
    <t>historia jurídica; instituciones legales; derecho comparado histórico; archivos; teoría jurídica histórica</t>
  </si>
  <si>
    <t>Apoya proyectos de investigación en humanidades históricas, incluyendo expresamente la Historia del Derecho.</t>
  </si>
  <si>
    <t>La UNPHU puede postular como universidad o respaldar una solicitud de sus investigadores. La propuesta debe ser primordialmente histórica y no un estudio exclusivamente doctrinal del derecho vigente.</t>
  </si>
  <si>
    <t>Puede incluir personal, viajes y materiales. El procedimiento simplificado se aplica a solicitudes de hasta EUR 30,000; los proyectos regulares no publican un máximo general.</t>
  </si>
  <si>
    <t>https://www.gerda-henkel-stiftung.de/en/grants_projects</t>
  </si>
  <si>
    <t>https://pivot.proquest.com/funding_opps/1f4ad2e8-a821-4b73-b066-d1d75de8f0f3</t>
  </si>
  <si>
    <t>Muy adecuada para historia constitucional, historia judicial, derecho colonial y evolución de instituciones jurídicas dominicanas o caribeñas.</t>
  </si>
  <si>
    <t>Concurso Nacional de Libre Competencia 2026</t>
  </si>
  <si>
    <t>Comisión Nacional de Defensa de la Competencia – ProCompetencia</t>
  </si>
  <si>
    <t>Estudiante de grado; Estudiante de posgrado; Investigador emergente; Investigador establecido</t>
  </si>
  <si>
    <t>Persona individual o coautoría de máximo dos personas de la misma categoría</t>
  </si>
  <si>
    <t>Dominicanos, naturalizados o extranjeros residentes en República Dominicana</t>
  </si>
  <si>
    <t>Derecho de la competencia</t>
  </si>
  <si>
    <t>libre competencia; inteligencia artificial; economía digital; compras públicas; transparencia; sostenibilidad; crecimiento económico</t>
  </si>
  <si>
    <t>Premia ensayos jurídicos o interdisciplinarios sobre seis ejes de libre competencia, incluyendo inteligencia artificial, economía digital, transparencia y compras públicas.</t>
  </si>
  <si>
    <t>Son elegibles estudiantes activos de universidades acreditadas de la República Dominicana y profesionales con título de una institución acreditada. La UNPHU es compatible.</t>
  </si>
  <si>
    <t>La recepción de ensayos está abierta únicamente para quienes se registraron antes del 29/05/2026. Premios estudiantiles: DOP 75,000–150,000; profesionales: DOP 100,000–200,000.</t>
  </si>
  <si>
    <t>https://procompetencia.gob.do/concurso/2026/</t>
  </si>
  <si>
    <t>AALL Research Grants</t>
  </si>
  <si>
    <t>American Association of Law Libraries / LexisNexis</t>
  </si>
  <si>
    <t>Persona individual o equipo; fondos administrados por la institución</t>
  </si>
  <si>
    <t>Sin restricción expresa publicada</t>
  </si>
  <si>
    <t>Investigación jurídica y gestión de información legal</t>
  </si>
  <si>
    <t>bibliotecas jurídicas; acceso a justicia; información legal; investigación jurídica; colecciones; gestión documental</t>
  </si>
  <si>
    <t>Apoya proyectos relevantes para las profesiones que crean, difunden o utilizan información jurídica.</t>
  </si>
  <si>
    <t>Se da preferencia a miembros de AALL, pero la página oficial no establece la membresía como requisito absoluto. Investigadores de la UNPHU pueden participar sujetos a revisión administrativa.</t>
  </si>
  <si>
    <t>El total disponible del programa no supera USD 10,000 y puede distribuirse entre uno o varios proyectos. No permite recuperación de costos indirectos.</t>
  </si>
  <si>
    <t>https://www.aallnet.org/education-training/grants/research-grants/</t>
  </si>
  <si>
    <t>https://pivot.proquest.com/funding_opps/88bc3731-ca3d-4426-8c5a-d1d75de8f0f3</t>
  </si>
  <si>
    <t>American Association of Law Libraries</t>
  </si>
  <si>
    <t>Convocatoria 2026 cerrada. Verificar membresía AALL y las bases de la próxima edición antes de postular.</t>
  </si>
  <si>
    <t>CIUS Research Grants 2026–2027</t>
  </si>
  <si>
    <t>Canadian Institute of Ukrainian Studies – University of Alberta</t>
  </si>
  <si>
    <t>Persona individual o proyecto académico, según el subfondo</t>
  </si>
  <si>
    <t>Internacional; sujeto a condiciones del fondo específico</t>
  </si>
  <si>
    <t>Sin restricción general publicada</t>
  </si>
  <si>
    <t>Derecho y estudios ucranianos</t>
  </si>
  <si>
    <t>Ucrania; derecho comparado; derechos humanos; conflicto; justicia transicional; estudios jurídicos</t>
  </si>
  <si>
    <t>Financia investigación independiente sobre temas ucranianos o ucraniano-canadienses, incluyendo expresamente el campo del Derecho.</t>
  </si>
  <si>
    <t>Compatible únicamente si el proyecto jurídico tiene un componente central sobre Ucrania o la diáspora ucraniana. Deben revisarse las restricciones del subfondo seleccionado.</t>
  </si>
  <si>
    <t>Cubre costos directos; no financia costos indirectos, ingresos personales ni investigaciones requeridas para completar un grado. La mayoría de las ayudas históricas se sitúa entre CAD 1,500 y 3,500.</t>
  </si>
  <si>
    <t>https://www.ualberta.ca/en/canadian-institute-of-ukrainian-studies/funding-and-awards/cius-research-grants.html</t>
  </si>
  <si>
    <t>https://pivot.proquest.com/funding_opps/5965af03-0cce-48fa-b0ed-d1d75de8f0f3</t>
  </si>
  <si>
    <t>Convocatoria 2026 cerrada y de encaje temático muy específico. Reconfirmar el tope monetario en las bases de la próxima edición.</t>
  </si>
  <si>
    <t>ASLH Early Career Global Legal History Research Fellowships</t>
  </si>
  <si>
    <t>American Society for Legal History – ASLH</t>
  </si>
  <si>
    <t>Estudiante de posgrado; Postdoctorado; Investigador emergente</t>
  </si>
  <si>
    <t>Internacional; historia jurídica no estadounidense</t>
  </si>
  <si>
    <t>Historia jurídica global y comparada</t>
  </si>
  <si>
    <t>historia del Derecho; derecho caribeño; derecho colonial; historia constitucional; instituciones jurídicas</t>
  </si>
  <si>
    <t>Otorga ayudas a investigadores de carrera temprana que publiquen en inglés y trabajen sobre historia jurídica fuera de Estados Unidos.</t>
  </si>
  <si>
    <t>Incluye doctorandos, recién graduados e investigadores que desarrollen su primera monografía o proyecto principal. La relevancia jurídica debe quedar claramente demostrada.</t>
  </si>
  <si>
    <t>La solicitud incluye propuesta de máximo 750 palabras, presupuesto y cronograma de una página, CV de una página y carta de recomendación.</t>
  </si>
  <si>
    <t>https://aslh.net/award/early-career-global-legal-history-research-fellowships/</t>
  </si>
  <si>
    <t>2026-065</t>
  </si>
  <si>
    <t>2026-066</t>
  </si>
  <si>
    <t>2026-067</t>
  </si>
  <si>
    <t>2026-068</t>
  </si>
  <si>
    <t>2026-069</t>
  </si>
  <si>
    <t>2026-070</t>
  </si>
  <si>
    <t>Canada</t>
  </si>
  <si>
    <t xml:space="preserve">Encaje excelente para historia jurídica dominicana, caribeña, colonial o transnacional. </t>
  </si>
  <si>
    <t xml:space="preserve">No financia la ejecución de un proyecto de investigación; es un premio académico.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</si>
</sst>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>
    <font>
      <sz val="11"/>
      <name val="Carlito"/>
    </font>
    <font>
      <b/>
      <sz val="11"/>
      <color rgb="FFFFFFFF"/>
      <name val="Carlito"/>
    </font>
    <font>
      <i/>
      <sz val="11"/>
      <color rgb="FF4A4A4A"/>
      <name val="Carlito"/>
    </font>
    <font>
      <b/>
      <sz val="16"/>
      <color rgb="FFFFFFFF"/>
      <name val="Carlito"/>
    </font>
    <font>
      <u/>
      <sz val="11"/>
      <color theme="10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06B4F"/>
      </patternFill>
    </fill>
    <fill>
      <patternFill patternType="solid">
        <fgColor rgb="FFF6F0DD"/>
      </patternFill>
    </fill>
    <fill>
      <patternFill patternType="solid">
        <fgColor rgb="FFC8A951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5">
    <xf numFmtId="0" fontId="0" fillId="0" borderId="0" xfId="0"/>
    <xf numFmtId="0" fontId="1" fillId="2" borderId="0" xfId="0" applyNumberFormat="1" applyFont="1" applyFill="1" applyBorder="1" applyAlignment="1">
      <alignment horizontal="center" wrapText="1"/>
    </xf>
    <xf numFmtId="0" fontId="1" fillId="2" borderId="0" xfId="0" applyNumberFormat="1" applyFont="1" applyFill="1" applyBorder="1" applyAlignment="1">
      <alignment horizontal="center" vertical="center" wrapText="1"/>
    </xf>
    <xf numFmtId="0" fontId="2" fillId="3" borderId="0" xfId="0" applyNumberFormat="1" applyFont="1" applyFill="1" applyBorder="1" applyAlignment="1">
      <alignment vertical="top" wrapText="1"/>
    </xf>
    <xf numFmtId="0" fontId="0" fillId="0" borderId="0" xfId="0" applyNumberFormat="1" applyFont="1" applyFill="1" applyBorder="1" applyAlignment="1">
      <alignment vertical="top" wrapText="1"/>
    </xf>
    <xf numFmtId="164" fontId="2" fillId="3" borderId="0" xfId="0" applyNumberFormat="1" applyFont="1" applyFill="1" applyBorder="1" applyAlignment="1">
      <alignment vertical="top" wrapText="1"/>
    </xf>
    <xf numFmtId="164" fontId="0" fillId="0" borderId="0" xfId="0" applyNumberFormat="1" applyFont="1" applyFill="1" applyBorder="1" applyAlignment="1">
      <alignment vertical="top" wrapText="1"/>
    </xf>
    <xf numFmtId="4" fontId="2" fillId="3" borderId="0" xfId="0" applyNumberFormat="1" applyFont="1" applyFill="1" applyBorder="1" applyAlignment="1">
      <alignment vertical="top" wrapText="1"/>
    </xf>
    <xf numFmtId="4" fontId="0" fillId="0" borderId="0" xfId="0" applyNumberFormat="1" applyFont="1" applyFill="1" applyBorder="1" applyAlignment="1">
      <alignment vertical="top" wrapText="1"/>
    </xf>
    <xf numFmtId="0" fontId="1" fillId="4" borderId="0" xfId="0" applyNumberFormat="1" applyFont="1" applyFill="1" applyBorder="1" applyAlignment="1">
      <alignment horizontal="center" vertical="top" wrapText="1"/>
    </xf>
    <xf numFmtId="0" fontId="0" fillId="0" borderId="0" xfId="0" applyAlignment="1">
      <alignment wrapText="1"/>
    </xf>
    <xf numFmtId="0" fontId="4" fillId="3" borderId="0" xfId="1" applyNumberFormat="1" applyFill="1" applyBorder="1" applyAlignment="1">
      <alignment vertical="top" wrapText="1"/>
    </xf>
    <xf numFmtId="0" fontId="0" fillId="0" borderId="0" xfId="0" applyAlignment="1">
      <alignment vertical="center" wrapText="1"/>
    </xf>
    <xf numFmtId="0" fontId="4" fillId="0" borderId="0" xfId="1" applyNumberFormat="1" applyFill="1" applyBorder="1" applyAlignment="1">
      <alignment vertical="top" wrapText="1"/>
    </xf>
    <xf numFmtId="0" fontId="3" fillId="2" borderId="0" xfId="0" applyNumberFormat="1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3">
    <dxf>
      <font>
        <color rgb="FF274E13"/>
      </font>
      <fill>
        <patternFill patternType="solid">
          <bgColor rgb="FFD9EAD3"/>
        </patternFill>
      </fill>
    </dxf>
    <dxf>
      <font>
        <color rgb="FF9C0006"/>
      </font>
      <fill>
        <patternFill patternType="solid">
          <bgColor rgb="FFF4CCCC"/>
        </patternFill>
      </fill>
    </dxf>
    <dxf>
      <font>
        <b/>
      </font>
      <fill>
        <patternFill patternType="solid"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Oportunidades" displayName="TablaOportunidades" ref="A1:AD499">
  <tableColumns count="30">
    <tableColumn id="1" xr3:uid="{00000000-0010-0000-0000-000001000000}" name="ID"/>
    <tableColumn id="2" xr3:uid="{00000000-0010-0000-0000-000002000000}" name="Publicar"/>
    <tableColumn id="3" xr3:uid="{00000000-0010-0000-0000-000003000000}" name="Título de la oportunidad"/>
    <tableColumn id="4" xr3:uid="{00000000-0010-0000-0000-000004000000}" name="Financiador"/>
    <tableColumn id="5" xr3:uid="{00000000-0010-0000-0000-000005000000}" name="Tipo de financiador"/>
    <tableColumn id="6" xr3:uid="{00000000-0010-0000-0000-000006000000}" name="País del financiador"/>
    <tableColumn id="7" xr3:uid="{00000000-0010-0000-0000-000007000000}" name="Fecha límite"/>
    <tableColumn id="8" xr3:uid="{00000000-0010-0000-0000-000008000000}" name="Tipo de fecha"/>
    <tableColumn id="9" xr3:uid="{00000000-0010-0000-0000-000009000000}" name="Tipo de entrega"/>
    <tableColumn id="10" xr3:uid="{00000000-0010-0000-0000-00000A000000}" name="Estado manual"/>
    <tableColumn id="11" xr3:uid="{00000000-0010-0000-0000-00000B000000}" name="Estado calculado"/>
    <tableColumn id="12" xr3:uid="{00000000-0010-0000-0000-00000C000000}" name="Monto mínimo"/>
    <tableColumn id="13" xr3:uid="{00000000-0010-0000-0000-00000D000000}" name="Monto máximo"/>
    <tableColumn id="14" xr3:uid="{00000000-0010-0000-0000-00000E000000}" name="Moneda"/>
    <tableColumn id="15" xr3:uid="{00000000-0010-0000-0000-00000F000000}" name="Duración"/>
    <tableColumn id="16" xr3:uid="{00000000-0010-0000-0000-000010000000}" name="Tipo de financiamiento"/>
    <tableColumn id="17" xr3:uid="{00000000-0010-0000-0000-000011000000}" name="Perfil profesional"/>
    <tableColumn id="18" xr3:uid="{00000000-0010-0000-0000-000012000000}" name="Tipo de solicitante"/>
    <tableColumn id="19" xr3:uid="{00000000-0010-0000-0000-000013000000}" name="Ubicación elegible"/>
    <tableColumn id="20" xr3:uid="{00000000-0010-0000-0000-000014000000}" name="Ciudadanía elegible"/>
    <tableColumn id="21" xr3:uid="{00000000-0010-0000-0000-000015000000}" name="Área temática principal"/>
    <tableColumn id="22" xr3:uid="{00000000-0010-0000-0000-000016000000}" name="Palabras clave"/>
    <tableColumn id="23" xr3:uid="{00000000-0010-0000-0000-000017000000}" name="Resumen"/>
    <tableColumn id="24" xr3:uid="{00000000-0010-0000-0000-000018000000}" name="Elegibilidad"/>
    <tableColumn id="25" xr3:uid="{00000000-0010-0000-0000-000019000000}" name="Notas de la convocatoria"/>
    <tableColumn id="26" xr3:uid="{00000000-0010-0000-0000-00001A000000}" name="Enlace oficial"/>
    <tableColumn id="27" xr3:uid="{00000000-0010-0000-0000-00001B000000}" name="Enlace Pivot-RP"/>
    <tableColumn id="28" xr3:uid="{00000000-0010-0000-0000-00001C000000}" name="Fecha de verificación"/>
    <tableColumn id="29" xr3:uid="{00000000-0010-0000-0000-00001D000000}" name="Fuente / responsable"/>
    <tableColumn id="30" xr3:uid="{00000000-0010-0000-0000-00001E000000}" name="Observaciones intern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ria.org.uk/funding-opportunities" TargetMode="External"/><Relationship Id="rId13" Type="http://schemas.openxmlformats.org/officeDocument/2006/relationships/hyperlink" Target="https://pivot.proquest.com/funding_opps/95edca90-0c52-429e-8e63-d1d75de8f0f3" TargetMode="External"/><Relationship Id="rId18" Type="http://schemas.openxmlformats.org/officeDocument/2006/relationships/hyperlink" Target="https://pivot.proquest.com/funding_opps/3dae87f6-c1a1-4ce2-9d84-d1d75de8f0f3" TargetMode="External"/><Relationship Id="rId3" Type="http://schemas.openxmlformats.org/officeDocument/2006/relationships/hyperlink" Target="https://mescyt.gob.do/wp-content/uploads/2026/03/Llamado-Convocatoria-FONDOCYT-2025-2026-2.pdf" TargetMode="External"/><Relationship Id="rId7" Type="http://schemas.openxmlformats.org/officeDocument/2006/relationships/hyperlink" Target="https://pivot.proquest.com/funding_opps/7c1ebfe4-9115-40a7-af84-f2f1552f7976" TargetMode="External"/><Relationship Id="rId12" Type="http://schemas.openxmlformats.org/officeDocument/2006/relationships/hyperlink" Target="https://research.ibm.com/labs/yorktown-heights/ibm-academic-awards-program" TargetMode="External"/><Relationship Id="rId17" Type="http://schemas.openxmlformats.org/officeDocument/2006/relationships/hyperlink" Target="https://www.lafoundation.org/what-we-do/leadership/laf-fellowship?" TargetMode="External"/><Relationship Id="rId2" Type="http://schemas.openxmlformats.org/officeDocument/2006/relationships/hyperlink" Target="https://openai.com/form/researcher-access-program/" TargetMode="External"/><Relationship Id="rId16" Type="http://schemas.openxmlformats.org/officeDocument/2006/relationships/hyperlink" Target="https://www.aia.org/advocacy/research/grants-fellowships/upjohn-research-initiative?utm_source=chatgpt.com" TargetMode="External"/><Relationship Id="rId20" Type="http://schemas.openxmlformats.org/officeDocument/2006/relationships/table" Target="../tables/table1.xml"/><Relationship Id="rId1" Type="http://schemas.openxmlformats.org/officeDocument/2006/relationships/hyperlink" Target="https://www.spencer.org/grant_types/vision-grants" TargetMode="External"/><Relationship Id="rId6" Type="http://schemas.openxmlformats.org/officeDocument/2006/relationships/hyperlink" Target="https://www.wider.unu.edu/opportunity/effects-artificial-intelligence-firm-and-labour-market-outcomes" TargetMode="External"/><Relationship Id="rId11" Type="http://schemas.openxmlformats.org/officeDocument/2006/relationships/hyperlink" Target="https://pivot.proquest.com/funding_opps/f6991b86-5e72-4139-9013-f2f1552f7976" TargetMode="External"/><Relationship Id="rId5" Type="http://schemas.openxmlformats.org/officeDocument/2006/relationships/hyperlink" Target="https://pivot.proquest.com/funding_opps/eab18edd-bc1f-4f00-b3ad-f2f1552f7976" TargetMode="External"/><Relationship Id="rId15" Type="http://schemas.openxmlformats.org/officeDocument/2006/relationships/hyperlink" Target="https://erasmus-plus.ec.europa.eu/funding-opportunities/capacity-building-in-higher-education-caribbean" TargetMode="External"/><Relationship Id="rId10" Type="http://schemas.openxmlformats.org/officeDocument/2006/relationships/hyperlink" Target="https://coefficientgiving.org/funds/" TargetMode="External"/><Relationship Id="rId19" Type="http://schemas.openxmlformats.org/officeDocument/2006/relationships/hyperlink" Target="https://www.grahamfoundation.org/grant_programs/?mode=individual" TargetMode="External"/><Relationship Id="rId4" Type="http://schemas.openxmlformats.org/officeDocument/2006/relationships/hyperlink" Target="https://impactchallenge.withgoogle.com/genaiaccelerator" TargetMode="External"/><Relationship Id="rId9" Type="http://schemas.openxmlformats.org/officeDocument/2006/relationships/hyperlink" Target="https://research.google/programs-and-events/phd-fellowship/" TargetMode="External"/><Relationship Id="rId14" Type="http://schemas.openxmlformats.org/officeDocument/2006/relationships/hyperlink" Target="https://ec.europa.eu/info/funding-tenders/opportunities/portal/screen/opportunities/calls-for-proposals?callIdentifier=HORIZON-NEB-2026-0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499"/>
  <sheetViews>
    <sheetView tabSelected="1" topLeftCell="A66" workbookViewId="0">
      <selection activeCell="O52" sqref="O52"/>
    </sheetView>
  </sheetViews>
  <sheetFormatPr baseColWidth="10" defaultColWidth="9" defaultRowHeight="14.25"/>
  <cols>
    <col min="1" max="1" width="12" customWidth="1"/>
    <col min="2" max="2" width="10" customWidth="1"/>
    <col min="3" max="3" width="43" customWidth="1"/>
    <col min="4" max="4" width="24" customWidth="1"/>
    <col min="5" max="5" width="20" customWidth="1"/>
    <col min="6" max="6" width="18" customWidth="1"/>
    <col min="7" max="7" width="18.375" customWidth="1"/>
    <col min="8" max="8" width="14" customWidth="1"/>
    <col min="9" max="9" width="18" customWidth="1"/>
    <col min="10" max="10" width="15" customWidth="1"/>
    <col min="11" max="11" width="18" customWidth="1"/>
    <col min="12" max="13" width="14" customWidth="1"/>
    <col min="14" max="14" width="10" customWidth="1"/>
    <col min="15" max="15" width="14" customWidth="1"/>
    <col min="16" max="16" width="22" customWidth="1"/>
    <col min="17" max="18" width="28" customWidth="1"/>
    <col min="19" max="19" width="22" customWidth="1"/>
    <col min="20" max="20" width="20" customWidth="1"/>
    <col min="21" max="21" width="22" customWidth="1"/>
    <col min="22" max="22" width="28" customWidth="1"/>
    <col min="23" max="23" width="40" customWidth="1"/>
    <col min="24" max="24" width="42" customWidth="1"/>
    <col min="25" max="25" width="38" customWidth="1"/>
    <col min="26" max="26" width="34" customWidth="1"/>
    <col min="27" max="27" width="30" customWidth="1"/>
    <col min="28" max="28" width="16" customWidth="1"/>
    <col min="29" max="29" width="24" customWidth="1"/>
    <col min="30" max="30" width="32" customWidth="1"/>
  </cols>
  <sheetData>
    <row r="1" spans="1:30" ht="42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</row>
    <row r="2" spans="1:30" ht="85.5">
      <c r="A2" s="3" t="s">
        <v>217</v>
      </c>
      <c r="B2" s="3" t="s">
        <v>121</v>
      </c>
      <c r="C2" s="3" t="s">
        <v>122</v>
      </c>
      <c r="D2" s="3" t="s">
        <v>123</v>
      </c>
      <c r="E2" s="3" t="s">
        <v>31</v>
      </c>
      <c r="F2" s="3" t="s">
        <v>32</v>
      </c>
      <c r="G2" s="5">
        <v>46246</v>
      </c>
      <c r="H2" s="3" t="s">
        <v>33</v>
      </c>
      <c r="I2" s="3" t="s">
        <v>49</v>
      </c>
      <c r="J2" s="3" t="s">
        <v>35</v>
      </c>
      <c r="K2" s="3" t="str">
        <f t="shared" ref="K2:K17" ca="1" si="0">IF(J2="Cerrada","Cerrada",IF(J2="Suspendida","Suspendida",IF(G2="","Sin fecha",IF(G2&lt;TODAY(),"Vencida",IF(G2-TODAY()&lt;=30,"Próxima a vencer","Abierta")))))</f>
        <v>Próxima a vencer</v>
      </c>
      <c r="L2" s="7">
        <v>75000</v>
      </c>
      <c r="M2" s="7">
        <v>75000</v>
      </c>
      <c r="N2" s="3" t="s">
        <v>36</v>
      </c>
      <c r="O2" s="3" t="s">
        <v>124</v>
      </c>
      <c r="P2" s="3" t="s">
        <v>125</v>
      </c>
      <c r="Q2" s="3" t="s">
        <v>38</v>
      </c>
      <c r="R2" s="3" t="s">
        <v>39</v>
      </c>
      <c r="S2" s="3" t="s">
        <v>40</v>
      </c>
      <c r="T2" s="3" t="s">
        <v>40</v>
      </c>
      <c r="U2" s="3" t="s">
        <v>127</v>
      </c>
      <c r="V2" s="3" t="s">
        <v>41</v>
      </c>
      <c r="W2" s="3" t="s">
        <v>128</v>
      </c>
      <c r="X2" s="3" t="s">
        <v>129</v>
      </c>
      <c r="Y2" s="3" t="s">
        <v>130</v>
      </c>
      <c r="Z2" s="11" t="s">
        <v>131</v>
      </c>
      <c r="AA2" s="11"/>
      <c r="AB2" s="5">
        <v>46218</v>
      </c>
      <c r="AC2" s="3" t="s">
        <v>269</v>
      </c>
      <c r="AD2" s="3" t="s">
        <v>158</v>
      </c>
    </row>
    <row r="3" spans="1:30" ht="57">
      <c r="A3" s="3" t="s">
        <v>218</v>
      </c>
      <c r="B3" s="4" t="s">
        <v>42</v>
      </c>
      <c r="C3" t="s">
        <v>133</v>
      </c>
      <c r="D3" t="s">
        <v>132</v>
      </c>
      <c r="E3" s="4" t="s">
        <v>31</v>
      </c>
      <c r="F3" s="4" t="s">
        <v>32</v>
      </c>
      <c r="G3" s="6">
        <v>73050</v>
      </c>
      <c r="H3" s="4" t="s">
        <v>56</v>
      </c>
      <c r="I3" s="4" t="s">
        <v>70</v>
      </c>
      <c r="J3" s="4" t="s">
        <v>35</v>
      </c>
      <c r="K3" s="4" t="str">
        <f t="shared" ca="1" si="0"/>
        <v>Abierta</v>
      </c>
      <c r="L3" s="8">
        <v>5000</v>
      </c>
      <c r="M3" s="8" t="s">
        <v>137</v>
      </c>
      <c r="N3" s="4" t="s">
        <v>36</v>
      </c>
      <c r="O3" s="4" t="s">
        <v>138</v>
      </c>
      <c r="P3" s="4" t="s">
        <v>84</v>
      </c>
      <c r="Q3" s="4" t="s">
        <v>139</v>
      </c>
      <c r="R3" s="10" t="s">
        <v>140</v>
      </c>
      <c r="S3" s="3" t="s">
        <v>40</v>
      </c>
      <c r="T3" s="3" t="s">
        <v>40</v>
      </c>
      <c r="U3" s="3" t="s">
        <v>127</v>
      </c>
      <c r="V3" s="4" t="s">
        <v>141</v>
      </c>
      <c r="W3" s="4" t="s">
        <v>142</v>
      </c>
      <c r="X3" s="10" t="s">
        <v>143</v>
      </c>
      <c r="Y3" s="4" t="s">
        <v>144</v>
      </c>
      <c r="Z3" s="4" t="s">
        <v>145</v>
      </c>
      <c r="AA3" s="4"/>
      <c r="AB3" s="5">
        <v>46218</v>
      </c>
      <c r="AC3" s="3" t="s">
        <v>133</v>
      </c>
      <c r="AD3" s="4" t="s">
        <v>157</v>
      </c>
    </row>
    <row r="4" spans="1:30" ht="57">
      <c r="A4" s="3" t="s">
        <v>219</v>
      </c>
      <c r="B4" s="4" t="s">
        <v>42</v>
      </c>
      <c r="C4" s="4" t="s">
        <v>147</v>
      </c>
      <c r="D4" s="4" t="s">
        <v>146</v>
      </c>
      <c r="E4" s="4" t="s">
        <v>31</v>
      </c>
      <c r="F4" s="4" t="s">
        <v>32</v>
      </c>
      <c r="G4" s="6">
        <v>72686</v>
      </c>
      <c r="H4" s="4" t="s">
        <v>56</v>
      </c>
      <c r="I4" s="4" t="s">
        <v>70</v>
      </c>
      <c r="J4" s="4" t="s">
        <v>35</v>
      </c>
      <c r="K4" s="4" t="str">
        <f t="shared" ca="1" si="0"/>
        <v>Abierta</v>
      </c>
      <c r="L4" s="8">
        <v>1000</v>
      </c>
      <c r="M4" s="8">
        <v>1000</v>
      </c>
      <c r="N4" s="4" t="s">
        <v>36</v>
      </c>
      <c r="O4" s="4" t="s">
        <v>138</v>
      </c>
      <c r="P4" s="4" t="s">
        <v>148</v>
      </c>
      <c r="Q4" s="4" t="s">
        <v>149</v>
      </c>
      <c r="R4" s="10" t="s">
        <v>150</v>
      </c>
      <c r="S4" s="4" t="s">
        <v>151</v>
      </c>
      <c r="T4" s="3" t="s">
        <v>40</v>
      </c>
      <c r="U4" s="3" t="s">
        <v>127</v>
      </c>
      <c r="V4" s="4" t="s">
        <v>152</v>
      </c>
      <c r="W4" s="4" t="s">
        <v>153</v>
      </c>
      <c r="X4" s="4" t="s">
        <v>154</v>
      </c>
      <c r="Y4" s="4" t="s">
        <v>155</v>
      </c>
      <c r="Z4" s="13" t="s">
        <v>156</v>
      </c>
      <c r="AA4" s="13"/>
      <c r="AB4" s="5">
        <v>46218</v>
      </c>
      <c r="AC4" s="3" t="s">
        <v>270</v>
      </c>
      <c r="AD4" s="4"/>
    </row>
    <row r="5" spans="1:30" ht="285">
      <c r="A5" s="3" t="s">
        <v>220</v>
      </c>
      <c r="B5" s="4" t="s">
        <v>42</v>
      </c>
      <c r="C5" s="4" t="s">
        <v>159</v>
      </c>
      <c r="D5" s="4" t="s">
        <v>160</v>
      </c>
      <c r="E5" s="4" t="s">
        <v>43</v>
      </c>
      <c r="F5" s="4" t="s">
        <v>135</v>
      </c>
      <c r="G5" s="6">
        <v>46112</v>
      </c>
      <c r="H5" s="4" t="s">
        <v>33</v>
      </c>
      <c r="I5" s="4" t="s">
        <v>34</v>
      </c>
      <c r="J5" s="4" t="s">
        <v>50</v>
      </c>
      <c r="K5" s="4" t="str">
        <f t="shared" ca="1" si="0"/>
        <v>Cerrada</v>
      </c>
      <c r="L5" s="8">
        <v>0</v>
      </c>
      <c r="M5" s="8">
        <v>4000000</v>
      </c>
      <c r="N5" s="4" t="s">
        <v>65</v>
      </c>
      <c r="O5" s="4"/>
      <c r="P5" s="4" t="s">
        <v>172</v>
      </c>
      <c r="Q5" s="4" t="s">
        <v>161</v>
      </c>
      <c r="R5" s="4" t="s">
        <v>162</v>
      </c>
      <c r="S5" s="4" t="s">
        <v>135</v>
      </c>
      <c r="T5" s="4" t="s">
        <v>40</v>
      </c>
      <c r="U5" s="4" t="s">
        <v>127</v>
      </c>
      <c r="V5" s="4" t="s">
        <v>163</v>
      </c>
      <c r="W5" s="4" t="s">
        <v>164</v>
      </c>
      <c r="X5" s="4" t="s">
        <v>165</v>
      </c>
      <c r="Y5" s="12" t="s">
        <v>180</v>
      </c>
      <c r="Z5" s="13" t="s">
        <v>166</v>
      </c>
      <c r="AA5" s="4"/>
      <c r="AB5" s="6">
        <v>46218</v>
      </c>
      <c r="AC5" s="4" t="s">
        <v>271</v>
      </c>
      <c r="AD5" s="4" t="s">
        <v>167</v>
      </c>
    </row>
    <row r="6" spans="1:30" ht="42.75">
      <c r="A6" s="3" t="s">
        <v>221</v>
      </c>
      <c r="B6" s="4" t="s">
        <v>42</v>
      </c>
      <c r="C6" t="s">
        <v>168</v>
      </c>
      <c r="D6" s="4" t="s">
        <v>169</v>
      </c>
      <c r="E6" s="4" t="s">
        <v>170</v>
      </c>
      <c r="F6" s="4" t="s">
        <v>32</v>
      </c>
      <c r="G6" s="6">
        <v>46063</v>
      </c>
      <c r="H6" s="4" t="s">
        <v>33</v>
      </c>
      <c r="I6" s="4" t="s">
        <v>70</v>
      </c>
      <c r="J6" s="4" t="s">
        <v>50</v>
      </c>
      <c r="K6" s="4" t="str">
        <f t="shared" ca="1" si="0"/>
        <v>Cerrada</v>
      </c>
      <c r="L6" s="8"/>
      <c r="M6" s="8"/>
      <c r="N6" s="4" t="s">
        <v>36</v>
      </c>
      <c r="O6" s="4" t="s">
        <v>171</v>
      </c>
      <c r="P6" s="4" t="s">
        <v>174</v>
      </c>
      <c r="Q6" s="4" t="s">
        <v>173</v>
      </c>
      <c r="R6" s="4" t="s">
        <v>175</v>
      </c>
      <c r="S6" s="4" t="s">
        <v>176</v>
      </c>
      <c r="T6" s="4" t="s">
        <v>176</v>
      </c>
      <c r="U6" s="4" t="s">
        <v>206</v>
      </c>
      <c r="V6" s="4" t="s">
        <v>177</v>
      </c>
      <c r="W6" s="4" t="s">
        <v>178</v>
      </c>
      <c r="X6" s="4" t="s">
        <v>179</v>
      </c>
      <c r="Y6" s="12" t="s">
        <v>181</v>
      </c>
      <c r="Z6" s="13" t="s">
        <v>182</v>
      </c>
      <c r="AA6" s="13" t="s">
        <v>183</v>
      </c>
      <c r="AB6" s="6">
        <v>46218</v>
      </c>
      <c r="AC6" s="4" t="s">
        <v>272</v>
      </c>
      <c r="AD6" s="4" t="s">
        <v>184</v>
      </c>
    </row>
    <row r="7" spans="1:30" ht="42.75">
      <c r="A7" s="3" t="s">
        <v>222</v>
      </c>
      <c r="B7" s="4" t="s">
        <v>42</v>
      </c>
      <c r="C7" s="4" t="s">
        <v>185</v>
      </c>
      <c r="D7" s="4" t="s">
        <v>186</v>
      </c>
      <c r="E7" s="4" t="s">
        <v>55</v>
      </c>
      <c r="F7" s="4" t="s">
        <v>187</v>
      </c>
      <c r="G7" s="6">
        <v>46113</v>
      </c>
      <c r="H7" s="4" t="s">
        <v>33</v>
      </c>
      <c r="I7" s="4" t="s">
        <v>70</v>
      </c>
      <c r="J7" s="4" t="s">
        <v>50</v>
      </c>
      <c r="K7" s="4" t="str">
        <f t="shared" ca="1" si="0"/>
        <v>Cerrada</v>
      </c>
      <c r="L7" s="8">
        <v>10000</v>
      </c>
      <c r="M7" s="8">
        <v>200000</v>
      </c>
      <c r="N7" s="4" t="s">
        <v>36</v>
      </c>
      <c r="O7" s="4" t="s">
        <v>188</v>
      </c>
      <c r="P7" s="4" t="s">
        <v>189</v>
      </c>
      <c r="Q7" s="4" t="s">
        <v>190</v>
      </c>
      <c r="R7" s="4" t="s">
        <v>191</v>
      </c>
      <c r="S7" s="4" t="s">
        <v>192</v>
      </c>
      <c r="T7" s="4" t="s">
        <v>176</v>
      </c>
      <c r="U7" s="4" t="s">
        <v>207</v>
      </c>
      <c r="V7" s="4" t="s">
        <v>193</v>
      </c>
      <c r="W7" s="4" t="s">
        <v>194</v>
      </c>
      <c r="X7" s="4" t="s">
        <v>195</v>
      </c>
      <c r="Y7" s="4" t="s">
        <v>196</v>
      </c>
      <c r="Z7" s="13" t="s">
        <v>197</v>
      </c>
      <c r="AA7" s="13" t="s">
        <v>198</v>
      </c>
      <c r="AB7" s="6">
        <v>46218</v>
      </c>
      <c r="AC7" s="4" t="s">
        <v>273</v>
      </c>
      <c r="AD7" s="4" t="s">
        <v>199</v>
      </c>
    </row>
    <row r="8" spans="1:30" ht="57">
      <c r="A8" s="3" t="s">
        <v>223</v>
      </c>
      <c r="B8" s="4" t="s">
        <v>42</v>
      </c>
      <c r="C8" s="4" t="s">
        <v>200</v>
      </c>
      <c r="D8" s="4" t="s">
        <v>201</v>
      </c>
      <c r="E8" s="4" t="s">
        <v>47</v>
      </c>
      <c r="F8" s="4" t="s">
        <v>202</v>
      </c>
      <c r="G8" s="6">
        <v>46234</v>
      </c>
      <c r="H8" s="4" t="s">
        <v>33</v>
      </c>
      <c r="I8" s="4" t="s">
        <v>49</v>
      </c>
      <c r="J8" s="4" t="s">
        <v>35</v>
      </c>
      <c r="K8" s="4" t="str">
        <f t="shared" ca="1" si="0"/>
        <v>Próxima a vencer</v>
      </c>
      <c r="L8" s="8">
        <v>10000</v>
      </c>
      <c r="M8" s="8">
        <v>500000</v>
      </c>
      <c r="N8" s="4" t="s">
        <v>59</v>
      </c>
      <c r="O8" s="4" t="s">
        <v>188</v>
      </c>
      <c r="P8" s="4" t="s">
        <v>37</v>
      </c>
      <c r="Q8" s="4" t="s">
        <v>203</v>
      </c>
      <c r="R8" s="10" t="s">
        <v>204</v>
      </c>
      <c r="S8" s="4" t="s">
        <v>205</v>
      </c>
      <c r="T8" s="4" t="s">
        <v>205</v>
      </c>
      <c r="U8" s="4" t="s">
        <v>214</v>
      </c>
      <c r="V8" s="4" t="s">
        <v>208</v>
      </c>
      <c r="W8" s="4" t="s">
        <v>209</v>
      </c>
      <c r="X8" s="4" t="s">
        <v>210</v>
      </c>
      <c r="Y8" s="4" t="s">
        <v>215</v>
      </c>
      <c r="Z8" s="13" t="s">
        <v>211</v>
      </c>
      <c r="AA8" s="4" t="s">
        <v>212</v>
      </c>
      <c r="AB8" s="6">
        <v>46218</v>
      </c>
      <c r="AC8" s="4" t="s">
        <v>274</v>
      </c>
      <c r="AD8" s="4" t="s">
        <v>213</v>
      </c>
    </row>
    <row r="9" spans="1:30" ht="42.75">
      <c r="A9" s="3" t="s">
        <v>224</v>
      </c>
      <c r="B9" s="4" t="s">
        <v>42</v>
      </c>
      <c r="C9" s="4" t="s">
        <v>216</v>
      </c>
      <c r="D9" s="4" t="s">
        <v>169</v>
      </c>
      <c r="E9" s="4" t="s">
        <v>69</v>
      </c>
      <c r="F9" s="4" t="s">
        <v>32</v>
      </c>
      <c r="G9" s="6">
        <v>46142</v>
      </c>
      <c r="H9" s="4" t="s">
        <v>33</v>
      </c>
      <c r="I9" s="4" t="s">
        <v>75</v>
      </c>
      <c r="J9" s="4" t="s">
        <v>50</v>
      </c>
      <c r="K9" s="4" t="str">
        <f t="shared" ca="1" si="0"/>
        <v>Cerrada</v>
      </c>
      <c r="L9" s="8"/>
      <c r="M9" s="8">
        <v>15000</v>
      </c>
      <c r="N9" s="4" t="s">
        <v>36</v>
      </c>
      <c r="O9" s="4" t="s">
        <v>188</v>
      </c>
      <c r="P9" s="4" t="s">
        <v>66</v>
      </c>
      <c r="Q9" s="4" t="s">
        <v>225</v>
      </c>
      <c r="R9" s="4" t="s">
        <v>225</v>
      </c>
      <c r="S9" s="4" t="s">
        <v>187</v>
      </c>
      <c r="T9" s="4" t="s">
        <v>176</v>
      </c>
      <c r="U9" s="4" t="s">
        <v>226</v>
      </c>
      <c r="V9" s="4" t="s">
        <v>227</v>
      </c>
      <c r="W9" s="4" t="s">
        <v>228</v>
      </c>
      <c r="X9" t="s">
        <v>229</v>
      </c>
      <c r="Y9" s="4" t="s">
        <v>230</v>
      </c>
      <c r="Z9" s="13" t="s">
        <v>231</v>
      </c>
      <c r="AA9" s="4"/>
      <c r="AB9" s="6">
        <v>46219</v>
      </c>
      <c r="AC9" s="4" t="s">
        <v>275</v>
      </c>
      <c r="AD9" s="4" t="s">
        <v>232</v>
      </c>
    </row>
    <row r="10" spans="1:30" ht="71.25">
      <c r="A10" s="3" t="s">
        <v>233</v>
      </c>
      <c r="B10" s="4" t="s">
        <v>42</v>
      </c>
      <c r="C10" s="4" t="s">
        <v>234</v>
      </c>
      <c r="D10" t="s">
        <v>235</v>
      </c>
      <c r="E10" s="4" t="s">
        <v>31</v>
      </c>
      <c r="F10" s="4" t="s">
        <v>32</v>
      </c>
      <c r="G10" s="6">
        <v>46255</v>
      </c>
      <c r="H10" s="4" t="s">
        <v>33</v>
      </c>
      <c r="I10" s="4" t="s">
        <v>34</v>
      </c>
      <c r="J10" s="4" t="s">
        <v>35</v>
      </c>
      <c r="K10" s="4" t="str">
        <f t="shared" ca="1" si="0"/>
        <v>Abierta</v>
      </c>
      <c r="L10" s="8">
        <v>200000</v>
      </c>
      <c r="M10" s="8">
        <v>5000000</v>
      </c>
      <c r="N10" s="4" t="s">
        <v>36</v>
      </c>
      <c r="O10" s="4" t="s">
        <v>188</v>
      </c>
      <c r="P10" s="4" t="s">
        <v>189</v>
      </c>
      <c r="Q10" s="10" t="s">
        <v>236</v>
      </c>
      <c r="R10" s="4" t="s">
        <v>237</v>
      </c>
      <c r="S10" s="4" t="s">
        <v>187</v>
      </c>
      <c r="T10" s="4" t="s">
        <v>238</v>
      </c>
      <c r="U10" s="4" t="s">
        <v>239</v>
      </c>
      <c r="V10" s="4" t="s">
        <v>240</v>
      </c>
      <c r="W10" s="4" t="s">
        <v>242</v>
      </c>
      <c r="X10" s="4" t="s">
        <v>241</v>
      </c>
      <c r="Y10" s="4"/>
      <c r="Z10" s="13" t="s">
        <v>243</v>
      </c>
      <c r="AA10" s="13" t="s">
        <v>244</v>
      </c>
      <c r="AB10" s="6">
        <v>46219</v>
      </c>
      <c r="AC10" s="4" t="s">
        <v>276</v>
      </c>
      <c r="AD10" s="4" t="s">
        <v>245</v>
      </c>
    </row>
    <row r="11" spans="1:30" ht="42.75">
      <c r="A11" s="3" t="s">
        <v>246</v>
      </c>
      <c r="B11" s="4" t="s">
        <v>42</v>
      </c>
      <c r="C11" s="4" t="s">
        <v>254</v>
      </c>
      <c r="D11" s="4" t="s">
        <v>247</v>
      </c>
      <c r="E11" s="4" t="s">
        <v>69</v>
      </c>
      <c r="F11" s="4" t="s">
        <v>32</v>
      </c>
      <c r="G11" s="6">
        <v>46264</v>
      </c>
      <c r="H11" s="4" t="s">
        <v>33</v>
      </c>
      <c r="I11" s="4" t="s">
        <v>75</v>
      </c>
      <c r="J11" s="4" t="s">
        <v>35</v>
      </c>
      <c r="K11" s="4" t="str">
        <f t="shared" ca="1" si="0"/>
        <v>Abierta</v>
      </c>
      <c r="L11" s="8">
        <v>6000</v>
      </c>
      <c r="M11" s="8">
        <v>25000</v>
      </c>
      <c r="N11" s="4" t="s">
        <v>36</v>
      </c>
      <c r="O11" s="4" t="s">
        <v>188</v>
      </c>
      <c r="P11" s="4" t="s">
        <v>52</v>
      </c>
      <c r="Q11" s="4" t="s">
        <v>225</v>
      </c>
      <c r="R11" s="4" t="s">
        <v>225</v>
      </c>
      <c r="S11" s="4" t="s">
        <v>187</v>
      </c>
      <c r="T11" s="4" t="s">
        <v>176</v>
      </c>
      <c r="U11" s="4" t="s">
        <v>250</v>
      </c>
      <c r="V11" s="4" t="s">
        <v>249</v>
      </c>
      <c r="W11" s="4" t="s">
        <v>251</v>
      </c>
      <c r="X11" s="4" t="s">
        <v>248</v>
      </c>
      <c r="Y11" s="4"/>
      <c r="Z11" s="13" t="s">
        <v>252</v>
      </c>
      <c r="AA11" s="13" t="s">
        <v>253</v>
      </c>
      <c r="AB11" s="6">
        <v>46219</v>
      </c>
      <c r="AC11" s="4" t="s">
        <v>277</v>
      </c>
      <c r="AD11" s="4"/>
    </row>
    <row r="12" spans="1:30" ht="85.5">
      <c r="A12" s="3" t="s">
        <v>256</v>
      </c>
      <c r="B12" s="4"/>
      <c r="C12" t="s">
        <v>255</v>
      </c>
      <c r="D12" s="4" t="s">
        <v>257</v>
      </c>
      <c r="E12" s="4" t="s">
        <v>55</v>
      </c>
      <c r="F12" s="4" t="s">
        <v>258</v>
      </c>
      <c r="G12" s="6">
        <v>46357</v>
      </c>
      <c r="H12" s="4" t="s">
        <v>33</v>
      </c>
      <c r="I12" s="4" t="s">
        <v>34</v>
      </c>
      <c r="J12" s="4" t="s">
        <v>35</v>
      </c>
      <c r="K12" s="4" t="str">
        <f t="shared" ca="1" si="0"/>
        <v>Abierta</v>
      </c>
      <c r="L12" s="8"/>
      <c r="M12" s="8">
        <v>5000000</v>
      </c>
      <c r="N12" s="4" t="s">
        <v>51</v>
      </c>
      <c r="O12" s="4" t="s">
        <v>188</v>
      </c>
      <c r="P12" s="4" t="s">
        <v>37</v>
      </c>
      <c r="Q12" s="4" t="s">
        <v>259</v>
      </c>
      <c r="R12" s="4" t="s">
        <v>260</v>
      </c>
      <c r="S12" s="4" t="s">
        <v>261</v>
      </c>
      <c r="T12" s="4" t="s">
        <v>262</v>
      </c>
      <c r="U12" s="4" t="s">
        <v>263</v>
      </c>
      <c r="V12" s="4" t="s">
        <v>264</v>
      </c>
      <c r="W12" s="4" t="s">
        <v>265</v>
      </c>
      <c r="X12" s="4" t="s">
        <v>266</v>
      </c>
      <c r="Y12" s="4"/>
      <c r="Z12" s="13" t="s">
        <v>267</v>
      </c>
      <c r="AA12" s="4"/>
      <c r="AB12" s="6">
        <v>46219</v>
      </c>
      <c r="AC12" s="4" t="s">
        <v>268</v>
      </c>
      <c r="AD12" s="4"/>
    </row>
    <row r="13" spans="1:30" ht="128.25">
      <c r="A13" s="3" t="s">
        <v>278</v>
      </c>
      <c r="B13" s="4" t="s">
        <v>42</v>
      </c>
      <c r="C13" s="4" t="s">
        <v>279</v>
      </c>
      <c r="D13" s="4" t="s">
        <v>280</v>
      </c>
      <c r="E13" s="4" t="s">
        <v>55</v>
      </c>
      <c r="F13" s="4" t="s">
        <v>258</v>
      </c>
      <c r="G13" s="6">
        <v>46063</v>
      </c>
      <c r="H13" s="4" t="s">
        <v>33</v>
      </c>
      <c r="I13" s="4" t="s">
        <v>34</v>
      </c>
      <c r="J13" s="4" t="s">
        <v>50</v>
      </c>
      <c r="K13" s="4" t="str">
        <f t="shared" ca="1" si="0"/>
        <v>Cerrada</v>
      </c>
      <c r="L13" s="8">
        <v>200000</v>
      </c>
      <c r="M13" s="8">
        <v>1000000</v>
      </c>
      <c r="N13" s="4" t="s">
        <v>51</v>
      </c>
      <c r="O13" s="4" t="s">
        <v>281</v>
      </c>
      <c r="P13" s="4" t="s">
        <v>37</v>
      </c>
      <c r="Q13" s="4" t="s">
        <v>282</v>
      </c>
      <c r="R13" s="4" t="s">
        <v>283</v>
      </c>
      <c r="S13" s="4" t="s">
        <v>284</v>
      </c>
      <c r="T13" s="4" t="s">
        <v>176</v>
      </c>
      <c r="U13" s="4" t="s">
        <v>285</v>
      </c>
      <c r="V13" s="4" t="s">
        <v>286</v>
      </c>
      <c r="W13" s="4" t="s">
        <v>287</v>
      </c>
      <c r="X13" s="4" t="s">
        <v>289</v>
      </c>
      <c r="Y13" s="4" t="s">
        <v>288</v>
      </c>
      <c r="Z13" s="13" t="s">
        <v>290</v>
      </c>
      <c r="AA13" s="4"/>
      <c r="AB13" s="6">
        <v>46219</v>
      </c>
      <c r="AC13" s="4" t="s">
        <v>291</v>
      </c>
      <c r="AD13" s="4"/>
    </row>
    <row r="14" spans="1:30" ht="85.5">
      <c r="A14" s="3" t="s">
        <v>292</v>
      </c>
      <c r="B14" s="4" t="s">
        <v>42</v>
      </c>
      <c r="C14" s="4" t="s">
        <v>293</v>
      </c>
      <c r="D14" s="4" t="s">
        <v>294</v>
      </c>
      <c r="E14" s="4" t="s">
        <v>55</v>
      </c>
      <c r="F14" s="4" t="s">
        <v>32</v>
      </c>
      <c r="G14" s="6"/>
      <c r="H14" s="4" t="s">
        <v>63</v>
      </c>
      <c r="I14" s="4" t="s">
        <v>70</v>
      </c>
      <c r="J14" s="4" t="s">
        <v>64</v>
      </c>
      <c r="K14" s="4" t="str">
        <f t="shared" ca="1" si="0"/>
        <v>Sin fecha</v>
      </c>
      <c r="L14" s="8">
        <v>15000</v>
      </c>
      <c r="M14" s="8">
        <v>30000</v>
      </c>
      <c r="N14" s="4" t="s">
        <v>36</v>
      </c>
      <c r="O14" s="4" t="s">
        <v>295</v>
      </c>
      <c r="P14" s="4" t="s">
        <v>189</v>
      </c>
      <c r="Q14" s="4" t="s">
        <v>296</v>
      </c>
      <c r="R14" s="4" t="s">
        <v>297</v>
      </c>
      <c r="S14" s="4" t="s">
        <v>187</v>
      </c>
      <c r="T14" s="4" t="s">
        <v>298</v>
      </c>
      <c r="U14" s="4" t="s">
        <v>299</v>
      </c>
      <c r="V14" s="4" t="s">
        <v>300</v>
      </c>
      <c r="W14" s="4" t="s">
        <v>301</v>
      </c>
      <c r="X14" s="4" t="s">
        <v>302</v>
      </c>
      <c r="Y14" s="4" t="s">
        <v>303</v>
      </c>
      <c r="Z14" s="13" t="s">
        <v>304</v>
      </c>
      <c r="AA14" s="4"/>
      <c r="AB14" s="6">
        <v>46219</v>
      </c>
      <c r="AC14" s="4" t="s">
        <v>305</v>
      </c>
      <c r="AD14" s="4" t="s">
        <v>306</v>
      </c>
    </row>
    <row r="15" spans="1:30" ht="85.5">
      <c r="A15" s="3" t="s">
        <v>307</v>
      </c>
      <c r="B15" s="4" t="s">
        <v>42</v>
      </c>
      <c r="C15" s="4" t="s">
        <v>308</v>
      </c>
      <c r="D15" s="4" t="s">
        <v>309</v>
      </c>
      <c r="E15" s="4" t="s">
        <v>31</v>
      </c>
      <c r="F15" s="4" t="s">
        <v>32</v>
      </c>
      <c r="G15" s="6">
        <v>46280</v>
      </c>
      <c r="H15" s="4" t="s">
        <v>33</v>
      </c>
      <c r="I15" s="4" t="s">
        <v>70</v>
      </c>
      <c r="J15" s="4" t="s">
        <v>35</v>
      </c>
      <c r="K15" s="4" t="str">
        <f t="shared" ca="1" si="0"/>
        <v>Abierta</v>
      </c>
      <c r="L15" s="8">
        <v>25000</v>
      </c>
      <c r="M15" s="8">
        <v>25000</v>
      </c>
      <c r="N15" s="4" t="s">
        <v>36</v>
      </c>
      <c r="O15" s="4" t="s">
        <v>138</v>
      </c>
      <c r="P15" s="4" t="s">
        <v>82</v>
      </c>
      <c r="Q15" s="4" t="s">
        <v>310</v>
      </c>
      <c r="R15" s="4"/>
      <c r="S15" s="4" t="s">
        <v>187</v>
      </c>
      <c r="T15" s="4" t="s">
        <v>176</v>
      </c>
      <c r="U15" s="4" t="s">
        <v>311</v>
      </c>
      <c r="V15" s="4" t="s">
        <v>312</v>
      </c>
      <c r="W15" s="4" t="s">
        <v>313</v>
      </c>
      <c r="X15" s="4" t="s">
        <v>314</v>
      </c>
      <c r="Y15" s="4" t="s">
        <v>315</v>
      </c>
      <c r="Z15" s="13" t="s">
        <v>316</v>
      </c>
      <c r="AA15" s="13" t="s">
        <v>317</v>
      </c>
      <c r="AB15" s="6">
        <v>46219</v>
      </c>
      <c r="AC15" s="4" t="s">
        <v>318</v>
      </c>
      <c r="AD15" s="4" t="s">
        <v>319</v>
      </c>
    </row>
    <row r="16" spans="1:30" ht="85.5">
      <c r="A16" s="3" t="s">
        <v>320</v>
      </c>
      <c r="B16" s="4" t="s">
        <v>42</v>
      </c>
      <c r="C16" s="4" t="s">
        <v>321</v>
      </c>
      <c r="D16" s="4" t="s">
        <v>322</v>
      </c>
      <c r="E16" s="4" t="s">
        <v>69</v>
      </c>
      <c r="F16" s="4" t="s">
        <v>32</v>
      </c>
      <c r="G16" s="6">
        <v>46280</v>
      </c>
      <c r="H16" s="4" t="s">
        <v>33</v>
      </c>
      <c r="I16" s="4" t="s">
        <v>84</v>
      </c>
      <c r="J16" s="4" t="s">
        <v>35</v>
      </c>
      <c r="K16" s="4" t="str">
        <f t="shared" ca="1" si="0"/>
        <v>Abierta</v>
      </c>
      <c r="L16" s="8">
        <v>10000</v>
      </c>
      <c r="M16" s="8">
        <v>20000</v>
      </c>
      <c r="N16" s="4" t="s">
        <v>36</v>
      </c>
      <c r="O16" s="4"/>
      <c r="P16" s="4" t="s">
        <v>37</v>
      </c>
      <c r="Q16" s="4" t="s">
        <v>371</v>
      </c>
      <c r="R16" s="4" t="s">
        <v>372</v>
      </c>
      <c r="S16" s="4" t="s">
        <v>187</v>
      </c>
      <c r="T16" s="4" t="s">
        <v>176</v>
      </c>
      <c r="U16" s="4" t="s">
        <v>373</v>
      </c>
      <c r="V16" s="4" t="s">
        <v>374</v>
      </c>
      <c r="W16" s="4" t="s">
        <v>375</v>
      </c>
      <c r="X16" s="4" t="s">
        <v>376</v>
      </c>
      <c r="Y16" s="4" t="s">
        <v>377</v>
      </c>
      <c r="Z16" s="13" t="s">
        <v>378</v>
      </c>
      <c r="AA16" s="4"/>
      <c r="AB16" s="6">
        <v>46220</v>
      </c>
      <c r="AC16" s="4" t="s">
        <v>379</v>
      </c>
      <c r="AD16" s="4" t="s">
        <v>380</v>
      </c>
    </row>
    <row r="17" spans="1:30" ht="128.25">
      <c r="A17" s="3" t="s">
        <v>381</v>
      </c>
      <c r="B17" s="4" t="s">
        <v>42</v>
      </c>
      <c r="C17" s="4" t="s">
        <v>323</v>
      </c>
      <c r="D17" s="4" t="s">
        <v>324</v>
      </c>
      <c r="E17" s="4" t="s">
        <v>31</v>
      </c>
      <c r="F17" s="4" t="s">
        <v>32</v>
      </c>
      <c r="G17" s="6"/>
      <c r="H17" s="4" t="s">
        <v>63</v>
      </c>
      <c r="I17" s="4" t="s">
        <v>70</v>
      </c>
      <c r="J17" s="4" t="s">
        <v>64</v>
      </c>
      <c r="K17" s="4" t="str">
        <f t="shared" ca="1" si="0"/>
        <v>Sin fecha</v>
      </c>
      <c r="L17" s="8">
        <v>21500</v>
      </c>
      <c r="M17" s="8">
        <v>21500</v>
      </c>
      <c r="N17" s="4" t="s">
        <v>36</v>
      </c>
      <c r="O17" s="4" t="s">
        <v>325</v>
      </c>
      <c r="P17" s="4" t="s">
        <v>66</v>
      </c>
      <c r="Q17" s="4" t="s">
        <v>67</v>
      </c>
      <c r="R17" s="4" t="s">
        <v>74</v>
      </c>
      <c r="S17" s="4" t="s">
        <v>326</v>
      </c>
      <c r="T17" s="4" t="s">
        <v>40</v>
      </c>
      <c r="U17" s="4" t="s">
        <v>327</v>
      </c>
      <c r="V17" s="4" t="s">
        <v>328</v>
      </c>
      <c r="W17" s="4" t="s">
        <v>329</v>
      </c>
      <c r="X17" s="4" t="s">
        <v>330</v>
      </c>
      <c r="Y17" s="4" t="s">
        <v>331</v>
      </c>
      <c r="Z17" s="13" t="str">
        <f>HYPERLINK("https://www.getty.edu/projects/conservation-guest-scholars/","https://www.getty.edu/projects/conservation-guest-scholars/")</f>
        <v>https://www.getty.edu/projects/conservation-guest-scholars/</v>
      </c>
      <c r="AA17" s="4"/>
      <c r="AB17" s="6">
        <v>46220</v>
      </c>
      <c r="AC17" s="4" t="s">
        <v>332</v>
      </c>
      <c r="AD17" s="4" t="s">
        <v>333</v>
      </c>
    </row>
    <row r="18" spans="1:30" ht="114">
      <c r="A18" s="3" t="s">
        <v>382</v>
      </c>
      <c r="B18" s="4" t="s">
        <v>42</v>
      </c>
      <c r="C18" s="4" t="s">
        <v>334</v>
      </c>
      <c r="D18" s="4" t="s">
        <v>335</v>
      </c>
      <c r="E18" s="4" t="s">
        <v>55</v>
      </c>
      <c r="F18" s="4" t="s">
        <v>187</v>
      </c>
      <c r="G18" s="6">
        <v>46266</v>
      </c>
      <c r="H18" s="4" t="s">
        <v>48</v>
      </c>
      <c r="I18" s="4" t="s">
        <v>70</v>
      </c>
      <c r="J18" s="4" t="s">
        <v>64</v>
      </c>
      <c r="K18" s="4" t="str">
        <f ca="1">IF(J18="En revisión","Pendiente Apertura",IF(J18="Cerrada","Cerrada",IF(J18="Suspendida","Suspendida",IF(G18="","Sin fecha",IF(G18&lt;TODAY(),"Vencida",IF(G18-TODAY()&lt;=30,"Próxima a vencer","Abierta"))))))</f>
        <v>Pendiente Apertura</v>
      </c>
      <c r="L18" s="8">
        <v>5000</v>
      </c>
      <c r="M18" s="8">
        <v>15000</v>
      </c>
      <c r="N18" s="4" t="s">
        <v>71</v>
      </c>
      <c r="O18" s="4" t="s">
        <v>336</v>
      </c>
      <c r="P18" s="4" t="s">
        <v>66</v>
      </c>
      <c r="Q18" s="4" t="s">
        <v>337</v>
      </c>
      <c r="R18" s="4" t="s">
        <v>74</v>
      </c>
      <c r="S18" s="4" t="s">
        <v>338</v>
      </c>
      <c r="T18" s="4" t="s">
        <v>369</v>
      </c>
      <c r="U18" s="4" t="s">
        <v>370</v>
      </c>
      <c r="V18" s="4" t="s">
        <v>368</v>
      </c>
      <c r="W18" s="4" t="s">
        <v>339</v>
      </c>
      <c r="X18" s="4" t="s">
        <v>340</v>
      </c>
      <c r="Y18" s="4" t="s">
        <v>341</v>
      </c>
      <c r="Z18" s="13" t="str">
        <f>HYPERLINK("https://www.cca.qc.ca/en/101525/cca-wri-research-fellowship-program","https://www.cca.qc.ca/en/101525/cca-wri-research-fellowship-program")</f>
        <v>https://www.cca.qc.ca/en/101525/cca-wri-research-fellowship-program</v>
      </c>
      <c r="AA18" s="4"/>
      <c r="AB18" s="6">
        <v>46220</v>
      </c>
      <c r="AC18" s="4" t="s">
        <v>342</v>
      </c>
      <c r="AD18" s="4" t="s">
        <v>343</v>
      </c>
    </row>
    <row r="19" spans="1:30" ht="128.25">
      <c r="A19" s="3" t="s">
        <v>383</v>
      </c>
      <c r="B19" s="4" t="s">
        <v>42</v>
      </c>
      <c r="C19" s="4" t="s">
        <v>344</v>
      </c>
      <c r="D19" s="4" t="s">
        <v>345</v>
      </c>
      <c r="E19" s="4" t="s">
        <v>31</v>
      </c>
      <c r="F19" s="4" t="s">
        <v>202</v>
      </c>
      <c r="G19" s="6">
        <v>46209</v>
      </c>
      <c r="H19" s="4" t="s">
        <v>33</v>
      </c>
      <c r="I19" s="4" t="s">
        <v>70</v>
      </c>
      <c r="J19" s="4" t="s">
        <v>50</v>
      </c>
      <c r="K19" s="4" t="str">
        <f t="shared" ref="K19:K80" ca="1" si="1">IF(J19="En revisión","Pendiente Apertura",IF(J19="Cerrada","Cerrada",IF(J19="Suspendida","Suspendida",IF(G19="","Sin fecha",IF(G19&lt;TODAY(),"Vencida",IF(G19-TODAY()&lt;=30,"Próxima a vencer","Abierta"))))))</f>
        <v>Cerrada</v>
      </c>
      <c r="L19" s="8"/>
      <c r="M19" s="8"/>
      <c r="N19" s="4" t="s">
        <v>59</v>
      </c>
      <c r="O19" s="4" t="s">
        <v>346</v>
      </c>
      <c r="P19" s="4" t="s">
        <v>66</v>
      </c>
      <c r="Q19" s="4" t="s">
        <v>38</v>
      </c>
      <c r="R19" s="4" t="s">
        <v>74</v>
      </c>
      <c r="S19" s="4" t="s">
        <v>347</v>
      </c>
      <c r="T19" s="4" t="s">
        <v>348</v>
      </c>
      <c r="U19" s="4" t="s">
        <v>349</v>
      </c>
      <c r="V19" s="4" t="s">
        <v>350</v>
      </c>
      <c r="W19" s="4" t="s">
        <v>351</v>
      </c>
      <c r="X19" s="4" t="s">
        <v>352</v>
      </c>
      <c r="Y19" s="4" t="s">
        <v>353</v>
      </c>
      <c r="Z19" s="13" t="str">
        <f>HYPERLINK("https://www.urbanstudiesfoundation.org/funding/international-fellowships/","https://www.urbanstudiesfoundation.org/funding/international-fellowships/")</f>
        <v>https://www.urbanstudiesfoundation.org/funding/international-fellowships/</v>
      </c>
      <c r="AA19" s="4"/>
      <c r="AB19" s="6">
        <v>46220</v>
      </c>
      <c r="AC19" s="4" t="s">
        <v>354</v>
      </c>
      <c r="AD19" s="4" t="s">
        <v>355</v>
      </c>
    </row>
    <row r="20" spans="1:30" ht="114">
      <c r="A20" s="3" t="s">
        <v>384</v>
      </c>
      <c r="B20" s="4" t="s">
        <v>42</v>
      </c>
      <c r="C20" s="4" t="s">
        <v>356</v>
      </c>
      <c r="D20" s="4" t="s">
        <v>357</v>
      </c>
      <c r="E20" s="4" t="s">
        <v>55</v>
      </c>
      <c r="F20" s="4" t="s">
        <v>187</v>
      </c>
      <c r="G20" s="6">
        <v>46157.708333333299</v>
      </c>
      <c r="H20" s="4" t="s">
        <v>33</v>
      </c>
      <c r="I20" s="4" t="s">
        <v>34</v>
      </c>
      <c r="J20" s="4" t="s">
        <v>50</v>
      </c>
      <c r="K20" s="4" t="str">
        <f t="shared" ca="1" si="1"/>
        <v>Cerrada</v>
      </c>
      <c r="L20" s="8"/>
      <c r="M20" s="8">
        <v>20000</v>
      </c>
      <c r="N20" s="4" t="s">
        <v>51</v>
      </c>
      <c r="O20" s="4" t="s">
        <v>358</v>
      </c>
      <c r="P20" s="4" t="s">
        <v>189</v>
      </c>
      <c r="Q20" s="4" t="s">
        <v>38</v>
      </c>
      <c r="R20" s="4" t="s">
        <v>79</v>
      </c>
      <c r="S20" s="4" t="s">
        <v>359</v>
      </c>
      <c r="T20" s="4" t="s">
        <v>360</v>
      </c>
      <c r="U20" s="4" t="s">
        <v>361</v>
      </c>
      <c r="V20" s="4" t="s">
        <v>362</v>
      </c>
      <c r="W20" s="4" t="s">
        <v>363</v>
      </c>
      <c r="X20" s="4" t="s">
        <v>364</v>
      </c>
      <c r="Y20" s="4" t="s">
        <v>365</v>
      </c>
      <c r="Z20" s="13" t="str">
        <f>HYPERLINK("https://www.cyted.org/assets/img/cyted/Convocatoria%202026/Castellano/01_Convocatoria_oficial_bases_y_lineas_2026_SP.pdf","https://www.cyted.org/assets/img/cyted/Convocatoria%202026/Castellano/01_Convocatoria_oficial_bases_y_lineas_2026_SP.pdf")</f>
        <v>https://www.cyted.org/assets/img/cyted/Convocatoria%202026/Castellano/01_Convocatoria_oficial_bases_y_lineas_2026_SP.pdf</v>
      </c>
      <c r="AA20" s="4"/>
      <c r="AB20" s="6">
        <v>46220</v>
      </c>
      <c r="AC20" s="4" t="s">
        <v>366</v>
      </c>
      <c r="AD20" s="4" t="s">
        <v>367</v>
      </c>
    </row>
    <row r="21" spans="1:30" ht="71.25">
      <c r="A21" s="3" t="s">
        <v>471</v>
      </c>
      <c r="B21" s="4" t="s">
        <v>42</v>
      </c>
      <c r="C21" s="4" t="s">
        <v>385</v>
      </c>
      <c r="D21" s="4" t="s">
        <v>386</v>
      </c>
      <c r="E21" s="4" t="s">
        <v>55</v>
      </c>
      <c r="F21" s="4" t="s">
        <v>258</v>
      </c>
      <c r="G21" s="6">
        <v>46287</v>
      </c>
      <c r="H21" s="4" t="s">
        <v>33</v>
      </c>
      <c r="I21" s="4" t="s">
        <v>34</v>
      </c>
      <c r="J21" s="4" t="s">
        <v>35</v>
      </c>
      <c r="K21" s="4" t="str">
        <f t="shared" ca="1" si="1"/>
        <v>Abierta</v>
      </c>
      <c r="L21" s="8"/>
      <c r="M21" s="8">
        <v>3250000</v>
      </c>
      <c r="N21" s="4" t="s">
        <v>51</v>
      </c>
      <c r="O21" s="4" t="s">
        <v>387</v>
      </c>
      <c r="P21" s="4" t="s">
        <v>189</v>
      </c>
      <c r="Q21" s="4" t="s">
        <v>38</v>
      </c>
      <c r="R21" s="4" t="s">
        <v>79</v>
      </c>
      <c r="S21" s="4" t="s">
        <v>388</v>
      </c>
      <c r="T21" s="4" t="s">
        <v>40</v>
      </c>
      <c r="U21" s="4" t="s">
        <v>389</v>
      </c>
      <c r="V21" s="4" t="s">
        <v>390</v>
      </c>
      <c r="W21" s="4" t="s">
        <v>391</v>
      </c>
      <c r="X21" s="4" t="s">
        <v>392</v>
      </c>
      <c r="Y21" s="4" t="s">
        <v>393</v>
      </c>
      <c r="Z21" s="4" t="s">
        <v>394</v>
      </c>
      <c r="AA21" s="4"/>
      <c r="AB21" s="6">
        <v>46220</v>
      </c>
      <c r="AC21" s="4" t="s">
        <v>395</v>
      </c>
      <c r="AD21" s="4" t="s">
        <v>396</v>
      </c>
    </row>
    <row r="22" spans="1:30" ht="71.25">
      <c r="A22" s="3" t="s">
        <v>472</v>
      </c>
      <c r="B22" s="4" t="s">
        <v>42</v>
      </c>
      <c r="C22" s="4" t="s">
        <v>397</v>
      </c>
      <c r="D22" s="4" t="s">
        <v>398</v>
      </c>
      <c r="E22" s="4" t="s">
        <v>55</v>
      </c>
      <c r="F22" s="4" t="s">
        <v>187</v>
      </c>
      <c r="G22" s="6">
        <v>46132</v>
      </c>
      <c r="H22" s="4" t="s">
        <v>33</v>
      </c>
      <c r="I22" s="4" t="s">
        <v>34</v>
      </c>
      <c r="J22" s="4" t="s">
        <v>50</v>
      </c>
      <c r="K22" s="4" t="str">
        <f t="shared" ca="1" si="1"/>
        <v>Cerrada</v>
      </c>
      <c r="L22" s="8"/>
      <c r="M22" s="8">
        <v>250000</v>
      </c>
      <c r="N22" s="4" t="s">
        <v>36</v>
      </c>
      <c r="O22" s="4" t="s">
        <v>399</v>
      </c>
      <c r="P22" s="4" t="s">
        <v>189</v>
      </c>
      <c r="Q22" s="4" t="s">
        <v>480</v>
      </c>
      <c r="R22" s="4" t="s">
        <v>79</v>
      </c>
      <c r="S22" s="4" t="s">
        <v>400</v>
      </c>
      <c r="T22" s="4" t="s">
        <v>40</v>
      </c>
      <c r="U22" s="4" t="s">
        <v>401</v>
      </c>
      <c r="V22" s="4" t="s">
        <v>402</v>
      </c>
      <c r="W22" s="4" t="s">
        <v>403</v>
      </c>
      <c r="X22" s="4" t="s">
        <v>404</v>
      </c>
      <c r="Y22" s="4" t="s">
        <v>405</v>
      </c>
      <c r="Z22" s="4" t="s">
        <v>406</v>
      </c>
      <c r="AA22" s="4"/>
      <c r="AB22" s="6">
        <v>46220</v>
      </c>
      <c r="AC22" s="4" t="s">
        <v>407</v>
      </c>
      <c r="AD22" s="4" t="s">
        <v>481</v>
      </c>
    </row>
    <row r="23" spans="1:30" ht="71.25">
      <c r="A23" s="3" t="s">
        <v>473</v>
      </c>
      <c r="B23" s="4" t="s">
        <v>42</v>
      </c>
      <c r="C23" s="4" t="s">
        <v>408</v>
      </c>
      <c r="D23" s="4" t="s">
        <v>386</v>
      </c>
      <c r="E23" s="4" t="s">
        <v>55</v>
      </c>
      <c r="F23" s="4" t="s">
        <v>258</v>
      </c>
      <c r="G23" s="6">
        <v>46287</v>
      </c>
      <c r="H23" s="4" t="s">
        <v>33</v>
      </c>
      <c r="I23" s="4" t="s">
        <v>34</v>
      </c>
      <c r="J23" s="4" t="s">
        <v>35</v>
      </c>
      <c r="K23" s="4" t="str">
        <f t="shared" ca="1" si="1"/>
        <v>Abierta</v>
      </c>
      <c r="L23" s="8"/>
      <c r="M23" s="8">
        <v>3250000</v>
      </c>
      <c r="N23" s="4" t="s">
        <v>51</v>
      </c>
      <c r="O23" s="4" t="s">
        <v>387</v>
      </c>
      <c r="P23" s="4" t="s">
        <v>189</v>
      </c>
      <c r="Q23" s="4" t="s">
        <v>490</v>
      </c>
      <c r="R23" s="4" t="s">
        <v>79</v>
      </c>
      <c r="S23" s="4" t="s">
        <v>388</v>
      </c>
      <c r="T23" s="4" t="s">
        <v>40</v>
      </c>
      <c r="U23" s="4" t="s">
        <v>409</v>
      </c>
      <c r="V23" s="4" t="s">
        <v>410</v>
      </c>
      <c r="W23" s="4" t="s">
        <v>411</v>
      </c>
      <c r="X23" s="4" t="s">
        <v>412</v>
      </c>
      <c r="Y23" s="4" t="s">
        <v>413</v>
      </c>
      <c r="Z23" s="4" t="s">
        <v>414</v>
      </c>
      <c r="AA23" s="4"/>
      <c r="AB23" s="6">
        <v>46220</v>
      </c>
      <c r="AC23" s="4" t="s">
        <v>415</v>
      </c>
      <c r="AD23" s="4" t="s">
        <v>416</v>
      </c>
    </row>
    <row r="24" spans="1:30" ht="57">
      <c r="A24" s="3" t="s">
        <v>474</v>
      </c>
      <c r="B24" s="4" t="s">
        <v>42</v>
      </c>
      <c r="C24" s="4" t="s">
        <v>417</v>
      </c>
      <c r="D24" s="4" t="s">
        <v>357</v>
      </c>
      <c r="E24" s="4" t="s">
        <v>55</v>
      </c>
      <c r="F24" s="4" t="s">
        <v>187</v>
      </c>
      <c r="G24" s="6">
        <v>46157</v>
      </c>
      <c r="H24" s="4" t="s">
        <v>33</v>
      </c>
      <c r="I24" s="4" t="s">
        <v>70</v>
      </c>
      <c r="J24" s="4" t="s">
        <v>50</v>
      </c>
      <c r="K24" s="4" t="str">
        <f t="shared" ca="1" si="1"/>
        <v>Cerrada</v>
      </c>
      <c r="L24" s="8"/>
      <c r="M24" s="8">
        <v>20000</v>
      </c>
      <c r="N24" s="4" t="s">
        <v>51</v>
      </c>
      <c r="O24" s="4" t="s">
        <v>281</v>
      </c>
      <c r="P24" s="4" t="s">
        <v>189</v>
      </c>
      <c r="Q24" s="4" t="s">
        <v>482</v>
      </c>
      <c r="R24" s="4" t="s">
        <v>483</v>
      </c>
      <c r="S24" s="4" t="s">
        <v>418</v>
      </c>
      <c r="T24" s="4" t="s">
        <v>40</v>
      </c>
      <c r="U24" s="4" t="s">
        <v>419</v>
      </c>
      <c r="V24" s="4" t="s">
        <v>420</v>
      </c>
      <c r="W24" s="4" t="s">
        <v>421</v>
      </c>
      <c r="X24" s="4" t="s">
        <v>422</v>
      </c>
      <c r="Y24" s="4" t="s">
        <v>423</v>
      </c>
      <c r="Z24" s="4" t="s">
        <v>424</v>
      </c>
      <c r="AA24" s="4"/>
      <c r="AB24" s="6">
        <v>46220</v>
      </c>
      <c r="AC24" s="4" t="s">
        <v>425</v>
      </c>
      <c r="AD24" s="4" t="s">
        <v>426</v>
      </c>
    </row>
    <row r="25" spans="1:30" ht="71.25">
      <c r="A25" s="3" t="s">
        <v>475</v>
      </c>
      <c r="B25" s="4" t="s">
        <v>42</v>
      </c>
      <c r="C25" s="4" t="s">
        <v>427</v>
      </c>
      <c r="D25" s="4" t="s">
        <v>428</v>
      </c>
      <c r="E25" s="4" t="s">
        <v>31</v>
      </c>
      <c r="F25" s="4" t="s">
        <v>32</v>
      </c>
      <c r="G25" s="6">
        <v>46357</v>
      </c>
      <c r="H25" s="4" t="s">
        <v>33</v>
      </c>
      <c r="I25" s="4" t="s">
        <v>57</v>
      </c>
      <c r="J25" s="4" t="s">
        <v>35</v>
      </c>
      <c r="K25" s="4" t="str">
        <f t="shared" ca="1" si="1"/>
        <v>Abierta</v>
      </c>
      <c r="L25" s="8">
        <v>15000</v>
      </c>
      <c r="M25" s="8">
        <v>500000</v>
      </c>
      <c r="N25" s="4" t="s">
        <v>36</v>
      </c>
      <c r="O25" s="4" t="s">
        <v>188</v>
      </c>
      <c r="P25" s="4" t="s">
        <v>189</v>
      </c>
      <c r="Q25" s="4" t="s">
        <v>484</v>
      </c>
      <c r="R25" s="4" t="s">
        <v>46</v>
      </c>
      <c r="S25" s="4" t="s">
        <v>40</v>
      </c>
      <c r="T25" s="4" t="s">
        <v>40</v>
      </c>
      <c r="U25" s="4" t="s">
        <v>429</v>
      </c>
      <c r="V25" s="4" t="s">
        <v>430</v>
      </c>
      <c r="W25" s="4" t="s">
        <v>431</v>
      </c>
      <c r="X25" s="4" t="s">
        <v>432</v>
      </c>
      <c r="Y25" s="4" t="s">
        <v>433</v>
      </c>
      <c r="Z25" s="4" t="s">
        <v>434</v>
      </c>
      <c r="AA25" s="4" t="s">
        <v>435</v>
      </c>
      <c r="AB25" s="6">
        <v>46220</v>
      </c>
      <c r="AC25" s="4" t="s">
        <v>436</v>
      </c>
      <c r="AD25" s="4" t="s">
        <v>437</v>
      </c>
    </row>
    <row r="26" spans="1:30" ht="71.25">
      <c r="A26" s="3" t="s">
        <v>476</v>
      </c>
      <c r="B26" s="4" t="s">
        <v>42</v>
      </c>
      <c r="C26" s="4" t="s">
        <v>438</v>
      </c>
      <c r="D26" s="4" t="s">
        <v>386</v>
      </c>
      <c r="E26" s="4" t="s">
        <v>55</v>
      </c>
      <c r="F26" s="4" t="s">
        <v>258</v>
      </c>
      <c r="G26" s="6">
        <v>46287</v>
      </c>
      <c r="H26" s="4" t="s">
        <v>33</v>
      </c>
      <c r="I26" s="4" t="s">
        <v>34</v>
      </c>
      <c r="J26" s="4" t="s">
        <v>35</v>
      </c>
      <c r="K26" s="4" t="str">
        <f t="shared" ca="1" si="1"/>
        <v>Abierta</v>
      </c>
      <c r="L26" s="8"/>
      <c r="M26" s="8">
        <v>7000000</v>
      </c>
      <c r="N26" s="4" t="s">
        <v>51</v>
      </c>
      <c r="O26" s="4" t="s">
        <v>387</v>
      </c>
      <c r="P26" s="4" t="s">
        <v>189</v>
      </c>
      <c r="Q26" s="4" t="s">
        <v>485</v>
      </c>
      <c r="R26" s="4" t="s">
        <v>79</v>
      </c>
      <c r="S26" s="4" t="s">
        <v>388</v>
      </c>
      <c r="T26" s="4" t="s">
        <v>40</v>
      </c>
      <c r="U26" s="4" t="s">
        <v>439</v>
      </c>
      <c r="V26" s="4" t="s">
        <v>440</v>
      </c>
      <c r="W26" s="4" t="s">
        <v>441</v>
      </c>
      <c r="X26" s="4" t="s">
        <v>442</v>
      </c>
      <c r="Y26" s="4" t="s">
        <v>443</v>
      </c>
      <c r="Z26" s="4" t="s">
        <v>444</v>
      </c>
      <c r="AA26" s="4"/>
      <c r="AB26" s="6">
        <v>46220</v>
      </c>
      <c r="AC26" s="4" t="s">
        <v>445</v>
      </c>
      <c r="AD26" s="4" t="s">
        <v>486</v>
      </c>
    </row>
    <row r="27" spans="1:30" ht="71.25">
      <c r="A27" s="3" t="s">
        <v>477</v>
      </c>
      <c r="B27" s="4" t="s">
        <v>42</v>
      </c>
      <c r="C27" s="4" t="s">
        <v>446</v>
      </c>
      <c r="D27" s="4" t="s">
        <v>386</v>
      </c>
      <c r="E27" s="4" t="s">
        <v>55</v>
      </c>
      <c r="F27" s="4" t="s">
        <v>258</v>
      </c>
      <c r="G27" s="6">
        <v>46287</v>
      </c>
      <c r="H27" s="4" t="s">
        <v>33</v>
      </c>
      <c r="I27" s="4" t="s">
        <v>34</v>
      </c>
      <c r="J27" s="4" t="s">
        <v>35</v>
      </c>
      <c r="K27" s="4" t="str">
        <f t="shared" ca="1" si="1"/>
        <v>Abierta</v>
      </c>
      <c r="L27" s="8"/>
      <c r="M27" s="8">
        <v>20000000</v>
      </c>
      <c r="N27" s="4" t="s">
        <v>51</v>
      </c>
      <c r="O27" s="4" t="s">
        <v>387</v>
      </c>
      <c r="P27" s="4" t="s">
        <v>189</v>
      </c>
      <c r="Q27" s="4" t="s">
        <v>487</v>
      </c>
      <c r="R27" s="4" t="s">
        <v>79</v>
      </c>
      <c r="S27" s="4" t="s">
        <v>388</v>
      </c>
      <c r="T27" s="4" t="s">
        <v>40</v>
      </c>
      <c r="U27" s="4" t="s">
        <v>447</v>
      </c>
      <c r="V27" s="4" t="s">
        <v>448</v>
      </c>
      <c r="W27" s="4" t="s">
        <v>449</v>
      </c>
      <c r="X27" s="4" t="s">
        <v>450</v>
      </c>
      <c r="Y27" s="4" t="s">
        <v>451</v>
      </c>
      <c r="Z27" s="4" t="s">
        <v>452</v>
      </c>
      <c r="AA27" s="4"/>
      <c r="AB27" s="6">
        <v>46220</v>
      </c>
      <c r="AC27" s="4" t="s">
        <v>453</v>
      </c>
      <c r="AD27" s="4" t="s">
        <v>491</v>
      </c>
    </row>
    <row r="28" spans="1:30" ht="71.25">
      <c r="A28" s="3" t="s">
        <v>478</v>
      </c>
      <c r="B28" s="4" t="s">
        <v>42</v>
      </c>
      <c r="C28" s="4" t="s">
        <v>454</v>
      </c>
      <c r="D28" s="4" t="s">
        <v>386</v>
      </c>
      <c r="E28" s="4" t="s">
        <v>55</v>
      </c>
      <c r="F28" s="4" t="s">
        <v>258</v>
      </c>
      <c r="G28" s="6">
        <v>46287</v>
      </c>
      <c r="H28" s="4" t="s">
        <v>33</v>
      </c>
      <c r="I28" s="4" t="s">
        <v>34</v>
      </c>
      <c r="J28" s="4" t="s">
        <v>35</v>
      </c>
      <c r="K28" s="4" t="str">
        <f t="shared" ca="1" si="1"/>
        <v>Abierta</v>
      </c>
      <c r="L28" s="8"/>
      <c r="M28" s="8">
        <v>20000000</v>
      </c>
      <c r="N28" s="4" t="s">
        <v>51</v>
      </c>
      <c r="O28" s="4" t="s">
        <v>387</v>
      </c>
      <c r="P28" s="4" t="s">
        <v>189</v>
      </c>
      <c r="Q28" s="4" t="s">
        <v>488</v>
      </c>
      <c r="R28" s="4" t="s">
        <v>79</v>
      </c>
      <c r="S28" s="4" t="s">
        <v>388</v>
      </c>
      <c r="T28" s="4" t="s">
        <v>40</v>
      </c>
      <c r="U28" s="4" t="s">
        <v>455</v>
      </c>
      <c r="V28" s="4" t="s">
        <v>456</v>
      </c>
      <c r="W28" s="4" t="s">
        <v>457</v>
      </c>
      <c r="X28" s="4" t="s">
        <v>458</v>
      </c>
      <c r="Y28" s="4" t="s">
        <v>459</v>
      </c>
      <c r="Z28" s="4" t="s">
        <v>460</v>
      </c>
      <c r="AA28" s="4"/>
      <c r="AB28" s="6">
        <v>46220</v>
      </c>
      <c r="AC28" s="4" t="s">
        <v>461</v>
      </c>
      <c r="AD28" s="4" t="s">
        <v>462</v>
      </c>
    </row>
    <row r="29" spans="1:30" ht="71.25">
      <c r="A29" s="3" t="s">
        <v>479</v>
      </c>
      <c r="B29" s="4" t="s">
        <v>42</v>
      </c>
      <c r="C29" s="4" t="s">
        <v>463</v>
      </c>
      <c r="D29" s="4" t="s">
        <v>386</v>
      </c>
      <c r="E29" s="4" t="s">
        <v>55</v>
      </c>
      <c r="F29" s="4" t="s">
        <v>258</v>
      </c>
      <c r="G29" s="6">
        <v>46287</v>
      </c>
      <c r="H29" s="4" t="s">
        <v>33</v>
      </c>
      <c r="I29" s="4" t="s">
        <v>34</v>
      </c>
      <c r="J29" s="4" t="s">
        <v>35</v>
      </c>
      <c r="K29" s="4" t="str">
        <f t="shared" ca="1" si="1"/>
        <v>Abierta</v>
      </c>
      <c r="L29" s="8"/>
      <c r="M29" s="8">
        <v>7000000</v>
      </c>
      <c r="N29" s="4" t="s">
        <v>51</v>
      </c>
      <c r="O29" s="4" t="s">
        <v>387</v>
      </c>
      <c r="P29" s="4" t="s">
        <v>189</v>
      </c>
      <c r="Q29" s="4" t="s">
        <v>489</v>
      </c>
      <c r="R29" s="4" t="s">
        <v>79</v>
      </c>
      <c r="S29" s="4" t="s">
        <v>388</v>
      </c>
      <c r="T29" s="4" t="s">
        <v>40</v>
      </c>
      <c r="U29" s="4" t="s">
        <v>464</v>
      </c>
      <c r="V29" s="4" t="s">
        <v>465</v>
      </c>
      <c r="W29" s="4" t="s">
        <v>466</v>
      </c>
      <c r="X29" s="4" t="s">
        <v>467</v>
      </c>
      <c r="Y29" s="4" t="s">
        <v>468</v>
      </c>
      <c r="Z29" s="4" t="s">
        <v>469</v>
      </c>
      <c r="AA29" s="4"/>
      <c r="AB29" s="6">
        <v>46220</v>
      </c>
      <c r="AC29" s="4" t="s">
        <v>470</v>
      </c>
      <c r="AD29" s="4" t="s">
        <v>492</v>
      </c>
    </row>
    <row r="30" spans="1:30" ht="71.25">
      <c r="A30" s="3" t="s">
        <v>534</v>
      </c>
      <c r="B30" s="4" t="s">
        <v>42</v>
      </c>
      <c r="C30" s="4" t="s">
        <v>493</v>
      </c>
      <c r="D30" s="4" t="s">
        <v>494</v>
      </c>
      <c r="E30" s="4" t="s">
        <v>55</v>
      </c>
      <c r="F30" s="4" t="s">
        <v>187</v>
      </c>
      <c r="G30" s="6">
        <v>46216</v>
      </c>
      <c r="H30" s="4" t="s">
        <v>33</v>
      </c>
      <c r="I30" s="4" t="s">
        <v>44</v>
      </c>
      <c r="J30" s="4" t="s">
        <v>50</v>
      </c>
      <c r="K30" s="4" t="str">
        <f t="shared" ca="1" si="1"/>
        <v>Cerrada</v>
      </c>
      <c r="L30" s="8"/>
      <c r="M30" s="8">
        <v>50000</v>
      </c>
      <c r="N30" s="4" t="s">
        <v>36</v>
      </c>
      <c r="O30" s="4" t="s">
        <v>533</v>
      </c>
      <c r="P30" s="4" t="s">
        <v>189</v>
      </c>
      <c r="Q30" s="4" t="s">
        <v>495</v>
      </c>
      <c r="R30" s="4" t="s">
        <v>46</v>
      </c>
      <c r="S30" s="4" t="s">
        <v>496</v>
      </c>
      <c r="T30" s="4" t="s">
        <v>40</v>
      </c>
      <c r="U30" s="4" t="s">
        <v>497</v>
      </c>
      <c r="V30" s="4" t="s">
        <v>498</v>
      </c>
      <c r="W30" s="4" t="s">
        <v>499</v>
      </c>
      <c r="X30" s="4" t="s">
        <v>500</v>
      </c>
      <c r="Y30" s="4" t="s">
        <v>501</v>
      </c>
      <c r="Z30" s="4" t="s">
        <v>502</v>
      </c>
      <c r="AA30" s="4"/>
      <c r="AB30" s="6">
        <v>46220</v>
      </c>
      <c r="AC30" s="4" t="s">
        <v>503</v>
      </c>
      <c r="AD30" s="4" t="s">
        <v>504</v>
      </c>
    </row>
    <row r="31" spans="1:30" ht="71.25">
      <c r="A31" s="3" t="s">
        <v>535</v>
      </c>
      <c r="B31" s="4" t="s">
        <v>42</v>
      </c>
      <c r="C31" s="4" t="s">
        <v>505</v>
      </c>
      <c r="D31" s="4" t="s">
        <v>357</v>
      </c>
      <c r="E31" s="4" t="s">
        <v>55</v>
      </c>
      <c r="F31" s="4" t="s">
        <v>187</v>
      </c>
      <c r="G31" s="6">
        <v>46157</v>
      </c>
      <c r="H31" s="4" t="s">
        <v>33</v>
      </c>
      <c r="I31" s="4" t="s">
        <v>34</v>
      </c>
      <c r="J31" s="4" t="s">
        <v>50</v>
      </c>
      <c r="K31" s="4" t="str">
        <f t="shared" ca="1" si="1"/>
        <v>Cerrada</v>
      </c>
      <c r="L31" s="8"/>
      <c r="M31" s="8">
        <v>20000</v>
      </c>
      <c r="N31" s="4" t="s">
        <v>51</v>
      </c>
      <c r="O31" s="4" t="s">
        <v>281</v>
      </c>
      <c r="P31" s="4" t="s">
        <v>189</v>
      </c>
      <c r="Q31" s="4" t="s">
        <v>506</v>
      </c>
      <c r="R31" s="4" t="s">
        <v>79</v>
      </c>
      <c r="S31" s="4" t="s">
        <v>418</v>
      </c>
      <c r="T31" s="4" t="s">
        <v>40</v>
      </c>
      <c r="U31" s="4" t="s">
        <v>507</v>
      </c>
      <c r="V31" s="4" t="s">
        <v>508</v>
      </c>
      <c r="W31" s="4" t="s">
        <v>509</v>
      </c>
      <c r="X31" s="4" t="s">
        <v>510</v>
      </c>
      <c r="Y31" s="4" t="s">
        <v>511</v>
      </c>
      <c r="Z31" s="4" t="s">
        <v>424</v>
      </c>
      <c r="AA31" s="4"/>
      <c r="AB31" s="6">
        <v>46220</v>
      </c>
      <c r="AC31" s="4" t="s">
        <v>512</v>
      </c>
      <c r="AD31" s="4" t="s">
        <v>513</v>
      </c>
    </row>
    <row r="32" spans="1:30" ht="71.25">
      <c r="A32" s="3" t="s">
        <v>536</v>
      </c>
      <c r="B32" s="4" t="s">
        <v>42</v>
      </c>
      <c r="C32" s="4" t="s">
        <v>514</v>
      </c>
      <c r="D32" s="4" t="s">
        <v>357</v>
      </c>
      <c r="E32" s="4" t="s">
        <v>55</v>
      </c>
      <c r="F32" s="4" t="s">
        <v>187</v>
      </c>
      <c r="G32" s="6">
        <v>46157</v>
      </c>
      <c r="H32" s="4" t="s">
        <v>33</v>
      </c>
      <c r="I32" s="4" t="s">
        <v>34</v>
      </c>
      <c r="J32" s="4" t="s">
        <v>50</v>
      </c>
      <c r="K32" s="4" t="str">
        <f t="shared" ca="1" si="1"/>
        <v>Cerrada</v>
      </c>
      <c r="L32" s="8"/>
      <c r="M32" s="8">
        <v>20000</v>
      </c>
      <c r="N32" s="4" t="s">
        <v>51</v>
      </c>
      <c r="O32" s="4" t="s">
        <v>281</v>
      </c>
      <c r="P32" s="4" t="s">
        <v>189</v>
      </c>
      <c r="Q32" s="4" t="s">
        <v>515</v>
      </c>
      <c r="R32" s="4" t="s">
        <v>79</v>
      </c>
      <c r="S32" s="4" t="s">
        <v>418</v>
      </c>
      <c r="T32" s="4" t="s">
        <v>40</v>
      </c>
      <c r="U32" s="4" t="s">
        <v>516</v>
      </c>
      <c r="V32" s="4" t="s">
        <v>517</v>
      </c>
      <c r="W32" s="4" t="s">
        <v>518</v>
      </c>
      <c r="X32" s="4" t="s">
        <v>519</v>
      </c>
      <c r="Y32" s="4" t="s">
        <v>520</v>
      </c>
      <c r="Z32" s="4" t="s">
        <v>424</v>
      </c>
      <c r="AA32" s="4"/>
      <c r="AB32" s="6">
        <v>46220</v>
      </c>
      <c r="AC32" s="4" t="s">
        <v>512</v>
      </c>
      <c r="AD32" s="4" t="s">
        <v>538</v>
      </c>
    </row>
    <row r="33" spans="1:30" ht="71.25">
      <c r="A33" s="3" t="s">
        <v>537</v>
      </c>
      <c r="B33" s="4" t="s">
        <v>42</v>
      </c>
      <c r="C33" s="4" t="s">
        <v>521</v>
      </c>
      <c r="D33" s="4" t="s">
        <v>522</v>
      </c>
      <c r="E33" s="4" t="s">
        <v>80</v>
      </c>
      <c r="F33" s="4" t="s">
        <v>32</v>
      </c>
      <c r="G33" s="6">
        <v>46357</v>
      </c>
      <c r="H33" s="4" t="s">
        <v>33</v>
      </c>
      <c r="I33" s="4" t="s">
        <v>70</v>
      </c>
      <c r="J33" s="4" t="s">
        <v>35</v>
      </c>
      <c r="K33" s="4" t="str">
        <f t="shared" ca="1" si="1"/>
        <v>Abierta</v>
      </c>
      <c r="L33" s="8"/>
      <c r="M33" s="8">
        <v>5000</v>
      </c>
      <c r="N33" s="4" t="s">
        <v>36</v>
      </c>
      <c r="O33" s="4"/>
      <c r="P33" s="4" t="s">
        <v>60</v>
      </c>
      <c r="Q33" s="4" t="s">
        <v>523</v>
      </c>
      <c r="R33" s="4" t="s">
        <v>524</v>
      </c>
      <c r="S33" s="4" t="s">
        <v>40</v>
      </c>
      <c r="T33" s="4" t="s">
        <v>40</v>
      </c>
      <c r="U33" s="4" t="s">
        <v>525</v>
      </c>
      <c r="V33" s="4" t="s">
        <v>526</v>
      </c>
      <c r="W33" s="4" t="s">
        <v>527</v>
      </c>
      <c r="X33" s="4" t="s">
        <v>528</v>
      </c>
      <c r="Y33" s="4" t="s">
        <v>529</v>
      </c>
      <c r="Z33" s="4" t="s">
        <v>530</v>
      </c>
      <c r="AA33" s="4"/>
      <c r="AB33" s="6">
        <v>46220</v>
      </c>
      <c r="AC33" s="4" t="s">
        <v>531</v>
      </c>
      <c r="AD33" s="4" t="s">
        <v>532</v>
      </c>
    </row>
    <row r="34" spans="1:30" ht="71.25">
      <c r="A34" s="3" t="s">
        <v>595</v>
      </c>
      <c r="B34" s="4" t="s">
        <v>42</v>
      </c>
      <c r="C34" s="4" t="s">
        <v>539</v>
      </c>
      <c r="D34" s="4" t="s">
        <v>540</v>
      </c>
      <c r="E34" s="4" t="s">
        <v>80</v>
      </c>
      <c r="F34" s="4" t="s">
        <v>32</v>
      </c>
      <c r="G34" s="6">
        <v>46264</v>
      </c>
      <c r="H34" s="4" t="s">
        <v>33</v>
      </c>
      <c r="I34" s="4" t="s">
        <v>49</v>
      </c>
      <c r="J34" s="4" t="s">
        <v>35</v>
      </c>
      <c r="K34" s="4" t="str">
        <f t="shared" ca="1" si="1"/>
        <v>Abierta</v>
      </c>
      <c r="L34" s="8"/>
      <c r="M34" s="8">
        <v>50000</v>
      </c>
      <c r="N34" s="4" t="s">
        <v>36</v>
      </c>
      <c r="O34" s="4" t="s">
        <v>541</v>
      </c>
      <c r="P34" s="4" t="s">
        <v>189</v>
      </c>
      <c r="Q34" s="4" t="s">
        <v>542</v>
      </c>
      <c r="R34" s="4" t="s">
        <v>543</v>
      </c>
      <c r="S34" s="4" t="s">
        <v>187</v>
      </c>
      <c r="T34" s="4" t="s">
        <v>40</v>
      </c>
      <c r="U34" s="4" t="s">
        <v>544</v>
      </c>
      <c r="V34" s="4" t="s">
        <v>545</v>
      </c>
      <c r="W34" s="4" t="s">
        <v>546</v>
      </c>
      <c r="X34" s="4" t="s">
        <v>547</v>
      </c>
      <c r="Y34" s="4" t="s">
        <v>548</v>
      </c>
      <c r="Z34" s="4" t="s">
        <v>549</v>
      </c>
      <c r="AA34" s="4"/>
      <c r="AB34" s="6">
        <v>46220</v>
      </c>
      <c r="AC34" s="4" t="s">
        <v>550</v>
      </c>
      <c r="AD34" s="4" t="s">
        <v>600</v>
      </c>
    </row>
    <row r="35" spans="1:30" ht="71.25">
      <c r="A35" s="3" t="s">
        <v>596</v>
      </c>
      <c r="B35" s="4" t="s">
        <v>42</v>
      </c>
      <c r="C35" s="4" t="s">
        <v>551</v>
      </c>
      <c r="D35" s="4" t="s">
        <v>552</v>
      </c>
      <c r="E35" s="4" t="s">
        <v>80</v>
      </c>
      <c r="F35" s="4" t="s">
        <v>187</v>
      </c>
      <c r="G35" s="6">
        <v>46295</v>
      </c>
      <c r="H35" s="4" t="s">
        <v>33</v>
      </c>
      <c r="I35" s="4" t="s">
        <v>70</v>
      </c>
      <c r="J35" s="4" t="s">
        <v>35</v>
      </c>
      <c r="K35" s="4" t="str">
        <f t="shared" ca="1" si="1"/>
        <v>Abierta</v>
      </c>
      <c r="L35" s="8"/>
      <c r="M35" s="8">
        <v>2500</v>
      </c>
      <c r="N35" s="4" t="s">
        <v>51</v>
      </c>
      <c r="O35" s="4" t="s">
        <v>553</v>
      </c>
      <c r="P35" s="4" t="s">
        <v>189</v>
      </c>
      <c r="Q35" s="4" t="s">
        <v>554</v>
      </c>
      <c r="R35" s="4" t="s">
        <v>555</v>
      </c>
      <c r="S35" s="4" t="s">
        <v>187</v>
      </c>
      <c r="T35" s="4" t="s">
        <v>40</v>
      </c>
      <c r="U35" s="4" t="s">
        <v>556</v>
      </c>
      <c r="V35" s="4" t="s">
        <v>557</v>
      </c>
      <c r="W35" s="4" t="s">
        <v>558</v>
      </c>
      <c r="X35" s="4" t="s">
        <v>559</v>
      </c>
      <c r="Y35" s="4" t="s">
        <v>560</v>
      </c>
      <c r="Z35" s="4" t="s">
        <v>561</v>
      </c>
      <c r="AA35" s="4"/>
      <c r="AB35" s="6">
        <v>46220</v>
      </c>
      <c r="AC35" s="4" t="s">
        <v>552</v>
      </c>
      <c r="AD35" s="4" t="s">
        <v>562</v>
      </c>
    </row>
    <row r="36" spans="1:30" ht="71.25">
      <c r="A36" s="3" t="s">
        <v>597</v>
      </c>
      <c r="B36" s="4" t="s">
        <v>42</v>
      </c>
      <c r="C36" s="4" t="s">
        <v>563</v>
      </c>
      <c r="D36" s="4" t="s">
        <v>552</v>
      </c>
      <c r="E36" s="4" t="s">
        <v>80</v>
      </c>
      <c r="F36" s="4" t="s">
        <v>187</v>
      </c>
      <c r="G36" s="6">
        <v>46295</v>
      </c>
      <c r="H36" s="4" t="s">
        <v>33</v>
      </c>
      <c r="I36" s="4" t="s">
        <v>70</v>
      </c>
      <c r="J36" s="4" t="s">
        <v>35</v>
      </c>
      <c r="K36" s="4" t="str">
        <f t="shared" ca="1" si="1"/>
        <v>Abierta</v>
      </c>
      <c r="L36" s="8"/>
      <c r="M36" s="8">
        <v>10000</v>
      </c>
      <c r="N36" s="4" t="s">
        <v>51</v>
      </c>
      <c r="O36" s="4" t="s">
        <v>387</v>
      </c>
      <c r="P36" s="4" t="s">
        <v>189</v>
      </c>
      <c r="Q36" s="4" t="s">
        <v>564</v>
      </c>
      <c r="R36" s="4" t="s">
        <v>565</v>
      </c>
      <c r="S36" s="4" t="s">
        <v>566</v>
      </c>
      <c r="T36" s="4" t="s">
        <v>40</v>
      </c>
      <c r="U36" s="4" t="s">
        <v>567</v>
      </c>
      <c r="V36" s="4" t="s">
        <v>568</v>
      </c>
      <c r="W36" s="4" t="s">
        <v>569</v>
      </c>
      <c r="X36" s="4" t="s">
        <v>570</v>
      </c>
      <c r="Y36" s="4" t="s">
        <v>571</v>
      </c>
      <c r="Z36" s="4" t="s">
        <v>561</v>
      </c>
      <c r="AA36" s="4"/>
      <c r="AB36" s="6">
        <v>46220</v>
      </c>
      <c r="AC36" s="4" t="s">
        <v>572</v>
      </c>
      <c r="AD36" s="4" t="s">
        <v>573</v>
      </c>
    </row>
    <row r="37" spans="1:30" ht="85.5">
      <c r="A37" s="3" t="s">
        <v>598</v>
      </c>
      <c r="B37" s="4" t="s">
        <v>42</v>
      </c>
      <c r="C37" s="4" t="s">
        <v>574</v>
      </c>
      <c r="D37" s="4" t="s">
        <v>575</v>
      </c>
      <c r="E37" s="4" t="s">
        <v>31</v>
      </c>
      <c r="F37" s="4" t="s">
        <v>202</v>
      </c>
      <c r="G37" s="6"/>
      <c r="H37" s="4" t="s">
        <v>56</v>
      </c>
      <c r="I37" s="4" t="s">
        <v>70</v>
      </c>
      <c r="J37" s="4" t="s">
        <v>35</v>
      </c>
      <c r="K37" s="4" t="str">
        <f t="shared" ca="1" si="1"/>
        <v>Sin fecha</v>
      </c>
      <c r="L37" s="8"/>
      <c r="M37" s="8">
        <v>7000</v>
      </c>
      <c r="N37" s="4" t="s">
        <v>59</v>
      </c>
      <c r="O37" s="4" t="s">
        <v>387</v>
      </c>
      <c r="P37" s="4" t="s">
        <v>189</v>
      </c>
      <c r="Q37" s="4" t="s">
        <v>576</v>
      </c>
      <c r="R37" s="4" t="s">
        <v>577</v>
      </c>
      <c r="S37" s="4" t="s">
        <v>135</v>
      </c>
      <c r="T37" s="4" t="s">
        <v>40</v>
      </c>
      <c r="U37" s="4" t="s">
        <v>578</v>
      </c>
      <c r="V37" s="4" t="s">
        <v>579</v>
      </c>
      <c r="W37" s="4" t="s">
        <v>580</v>
      </c>
      <c r="X37" s="4" t="s">
        <v>581</v>
      </c>
      <c r="Y37" s="4" t="s">
        <v>582</v>
      </c>
      <c r="Z37" s="4" t="s">
        <v>583</v>
      </c>
      <c r="AA37" s="4"/>
      <c r="AB37" s="6">
        <v>46220</v>
      </c>
      <c r="AC37" s="4" t="s">
        <v>575</v>
      </c>
      <c r="AD37" s="4" t="s">
        <v>584</v>
      </c>
    </row>
    <row r="38" spans="1:30" ht="85.5">
      <c r="A38" s="3" t="s">
        <v>599</v>
      </c>
      <c r="B38" s="4" t="s">
        <v>42</v>
      </c>
      <c r="C38" s="4" t="s">
        <v>585</v>
      </c>
      <c r="D38" s="4" t="s">
        <v>586</v>
      </c>
      <c r="E38" s="4" t="s">
        <v>80</v>
      </c>
      <c r="F38" s="4" t="s">
        <v>32</v>
      </c>
      <c r="G38" s="6">
        <v>46094</v>
      </c>
      <c r="H38" s="4" t="s">
        <v>33</v>
      </c>
      <c r="I38" s="4" t="s">
        <v>70</v>
      </c>
      <c r="J38" s="4" t="s">
        <v>50</v>
      </c>
      <c r="K38" s="4" t="str">
        <f t="shared" ca="1" si="1"/>
        <v>Cerrada</v>
      </c>
      <c r="L38" s="8"/>
      <c r="M38" s="8">
        <v>10000</v>
      </c>
      <c r="N38" s="4" t="s">
        <v>36</v>
      </c>
      <c r="O38" s="4" t="s">
        <v>138</v>
      </c>
      <c r="P38" s="4" t="s">
        <v>189</v>
      </c>
      <c r="Q38" s="4" t="s">
        <v>587</v>
      </c>
      <c r="R38" s="4" t="s">
        <v>74</v>
      </c>
      <c r="S38" s="4" t="s">
        <v>187</v>
      </c>
      <c r="T38" s="4" t="s">
        <v>40</v>
      </c>
      <c r="U38" s="4" t="s">
        <v>588</v>
      </c>
      <c r="V38" s="4" t="s">
        <v>589</v>
      </c>
      <c r="W38" s="4" t="s">
        <v>590</v>
      </c>
      <c r="X38" s="4" t="s">
        <v>591</v>
      </c>
      <c r="Y38" s="4" t="s">
        <v>592</v>
      </c>
      <c r="Z38" s="4" t="s">
        <v>593</v>
      </c>
      <c r="AA38" s="4"/>
      <c r="AB38" s="6">
        <v>46220</v>
      </c>
      <c r="AC38" s="4" t="s">
        <v>594</v>
      </c>
      <c r="AD38" s="4" t="s">
        <v>601</v>
      </c>
    </row>
    <row r="39" spans="1:30" ht="128.25" customHeight="1">
      <c r="A39" s="3" t="s">
        <v>653</v>
      </c>
      <c r="B39" s="4" t="s">
        <v>42</v>
      </c>
      <c r="C39" s="4" t="s">
        <v>602</v>
      </c>
      <c r="D39" s="4" t="s">
        <v>603</v>
      </c>
      <c r="E39" s="4" t="s">
        <v>80</v>
      </c>
      <c r="F39" s="4" t="s">
        <v>136</v>
      </c>
      <c r="G39" s="6">
        <v>46142</v>
      </c>
      <c r="H39" s="4" t="s">
        <v>33</v>
      </c>
      <c r="I39" s="4" t="s">
        <v>70</v>
      </c>
      <c r="J39" s="4" t="s">
        <v>50</v>
      </c>
      <c r="K39" s="4" t="str">
        <f t="shared" ca="1" si="1"/>
        <v>Cerrada</v>
      </c>
      <c r="L39" s="8">
        <v>15000</v>
      </c>
      <c r="M39" s="8">
        <v>15000</v>
      </c>
      <c r="N39" s="4" t="s">
        <v>51</v>
      </c>
      <c r="O39" s="4" t="s">
        <v>188</v>
      </c>
      <c r="P39" s="4" t="s">
        <v>52</v>
      </c>
      <c r="Q39" s="4" t="s">
        <v>61</v>
      </c>
      <c r="R39" s="4" t="s">
        <v>74</v>
      </c>
      <c r="S39" s="4" t="s">
        <v>604</v>
      </c>
      <c r="T39" s="4" t="s">
        <v>605</v>
      </c>
      <c r="U39" s="4" t="s">
        <v>606</v>
      </c>
      <c r="V39" s="4" t="s">
        <v>607</v>
      </c>
      <c r="W39" s="4" t="s">
        <v>608</v>
      </c>
      <c r="X39" s="4" t="s">
        <v>609</v>
      </c>
      <c r="Y39" s="4" t="s">
        <v>610</v>
      </c>
      <c r="Z39" s="4" t="s">
        <v>611</v>
      </c>
      <c r="AA39" s="4"/>
      <c r="AB39" s="6">
        <v>46223</v>
      </c>
      <c r="AC39" s="4" t="s">
        <v>603</v>
      </c>
      <c r="AD39" s="4" t="s">
        <v>612</v>
      </c>
    </row>
    <row r="40" spans="1:30" ht="128.25" customHeight="1">
      <c r="A40" s="3" t="s">
        <v>654</v>
      </c>
      <c r="B40" s="4" t="s">
        <v>42</v>
      </c>
      <c r="C40" s="4" t="s">
        <v>613</v>
      </c>
      <c r="D40" s="4" t="s">
        <v>614</v>
      </c>
      <c r="E40" s="4" t="s">
        <v>80</v>
      </c>
      <c r="F40" s="4" t="s">
        <v>32</v>
      </c>
      <c r="G40" s="6">
        <v>46204</v>
      </c>
      <c r="H40" s="4" t="s">
        <v>33</v>
      </c>
      <c r="I40" s="4" t="s">
        <v>70</v>
      </c>
      <c r="J40" s="4" t="s">
        <v>50</v>
      </c>
      <c r="K40" s="4" t="str">
        <f t="shared" ca="1" si="1"/>
        <v>Cerrada</v>
      </c>
      <c r="L40" s="8"/>
      <c r="M40" s="8">
        <v>7000</v>
      </c>
      <c r="N40" s="4" t="s">
        <v>36</v>
      </c>
      <c r="O40" s="4" t="s">
        <v>188</v>
      </c>
      <c r="P40" s="4" t="s">
        <v>189</v>
      </c>
      <c r="Q40" s="4" t="s">
        <v>53</v>
      </c>
      <c r="R40" s="4" t="s">
        <v>74</v>
      </c>
      <c r="S40" s="4" t="s">
        <v>187</v>
      </c>
      <c r="T40" s="4" t="s">
        <v>615</v>
      </c>
      <c r="U40" s="4" t="s">
        <v>616</v>
      </c>
      <c r="V40" s="4" t="s">
        <v>617</v>
      </c>
      <c r="W40" s="4" t="s">
        <v>618</v>
      </c>
      <c r="X40" s="4" t="s">
        <v>619</v>
      </c>
      <c r="Y40" s="4" t="s">
        <v>620</v>
      </c>
      <c r="Z40" s="4" t="s">
        <v>621</v>
      </c>
      <c r="AA40" s="4"/>
      <c r="AB40" s="6">
        <v>46223</v>
      </c>
      <c r="AC40" s="4" t="s">
        <v>614</v>
      </c>
      <c r="AD40" s="4" t="s">
        <v>622</v>
      </c>
    </row>
    <row r="41" spans="1:30" ht="128.25" customHeight="1">
      <c r="A41" s="3" t="s">
        <v>655</v>
      </c>
      <c r="B41" s="4" t="s">
        <v>42</v>
      </c>
      <c r="C41" s="4" t="s">
        <v>623</v>
      </c>
      <c r="D41" s="4" t="s">
        <v>614</v>
      </c>
      <c r="E41" s="4" t="s">
        <v>80</v>
      </c>
      <c r="F41" s="4" t="s">
        <v>32</v>
      </c>
      <c r="G41" s="6">
        <v>46204</v>
      </c>
      <c r="H41" s="4" t="s">
        <v>33</v>
      </c>
      <c r="I41" s="4" t="s">
        <v>70</v>
      </c>
      <c r="J41" s="4" t="s">
        <v>50</v>
      </c>
      <c r="K41" s="4" t="str">
        <f t="shared" ca="1" si="1"/>
        <v>Cerrada</v>
      </c>
      <c r="L41" s="8"/>
      <c r="M41" s="8">
        <v>32500</v>
      </c>
      <c r="N41" s="4" t="s">
        <v>36</v>
      </c>
      <c r="O41" s="4" t="s">
        <v>188</v>
      </c>
      <c r="P41" s="4" t="s">
        <v>189</v>
      </c>
      <c r="Q41" s="4" t="s">
        <v>67</v>
      </c>
      <c r="R41" s="4" t="s">
        <v>46</v>
      </c>
      <c r="S41" s="4" t="s">
        <v>624</v>
      </c>
      <c r="T41" s="4" t="s">
        <v>625</v>
      </c>
      <c r="U41" s="4" t="s">
        <v>626</v>
      </c>
      <c r="V41" s="4" t="s">
        <v>627</v>
      </c>
      <c r="W41" s="4" t="s">
        <v>628</v>
      </c>
      <c r="X41" s="4" t="s">
        <v>629</v>
      </c>
      <c r="Y41" s="4" t="s">
        <v>630</v>
      </c>
      <c r="Z41" s="4" t="s">
        <v>621</v>
      </c>
      <c r="AA41" s="4"/>
      <c r="AB41" s="6">
        <v>46223</v>
      </c>
      <c r="AC41" s="4" t="s">
        <v>614</v>
      </c>
      <c r="AD41" s="4" t="s">
        <v>631</v>
      </c>
    </row>
    <row r="42" spans="1:30" ht="128.25" customHeight="1">
      <c r="A42" s="3" t="s">
        <v>656</v>
      </c>
      <c r="B42" s="4" t="s">
        <v>42</v>
      </c>
      <c r="C42" s="4" t="s">
        <v>632</v>
      </c>
      <c r="D42" s="4" t="s">
        <v>633</v>
      </c>
      <c r="E42" s="4" t="s">
        <v>31</v>
      </c>
      <c r="F42" s="4" t="s">
        <v>187</v>
      </c>
      <c r="G42" s="6">
        <v>46341</v>
      </c>
      <c r="H42" s="4" t="s">
        <v>33</v>
      </c>
      <c r="I42" s="4" t="s">
        <v>70</v>
      </c>
      <c r="J42" s="4" t="s">
        <v>35</v>
      </c>
      <c r="K42" s="4" t="str">
        <f t="shared" ca="1" si="1"/>
        <v>Abierta</v>
      </c>
      <c r="L42" s="8">
        <v>1500</v>
      </c>
      <c r="M42" s="8">
        <v>20000</v>
      </c>
      <c r="N42" s="4" t="s">
        <v>36</v>
      </c>
      <c r="O42" s="4" t="s">
        <v>634</v>
      </c>
      <c r="P42" s="4" t="s">
        <v>52</v>
      </c>
      <c r="Q42" s="4" t="s">
        <v>61</v>
      </c>
      <c r="R42" s="4" t="s">
        <v>74</v>
      </c>
      <c r="S42" s="4" t="s">
        <v>187</v>
      </c>
      <c r="T42" s="4" t="s">
        <v>635</v>
      </c>
      <c r="U42" s="4" t="s">
        <v>636</v>
      </c>
      <c r="V42" s="4" t="s">
        <v>637</v>
      </c>
      <c r="W42" s="4" t="s">
        <v>638</v>
      </c>
      <c r="X42" s="4" t="s">
        <v>639</v>
      </c>
      <c r="Y42" s="4" t="s">
        <v>640</v>
      </c>
      <c r="Z42" s="4" t="s">
        <v>641</v>
      </c>
      <c r="AA42" s="4"/>
      <c r="AB42" s="6">
        <v>46223</v>
      </c>
      <c r="AC42" s="4" t="s">
        <v>642</v>
      </c>
      <c r="AD42" s="4" t="s">
        <v>643</v>
      </c>
    </row>
    <row r="43" spans="1:30" ht="128.25" customHeight="1">
      <c r="A43" s="3" t="s">
        <v>657</v>
      </c>
      <c r="B43" s="4" t="s">
        <v>42</v>
      </c>
      <c r="C43" s="4" t="s">
        <v>644</v>
      </c>
      <c r="D43" s="4" t="s">
        <v>633</v>
      </c>
      <c r="E43" s="4" t="s">
        <v>31</v>
      </c>
      <c r="F43" s="4" t="s">
        <v>187</v>
      </c>
      <c r="G43" s="6">
        <v>46265</v>
      </c>
      <c r="H43" s="4" t="s">
        <v>33</v>
      </c>
      <c r="I43" s="4" t="s">
        <v>34</v>
      </c>
      <c r="J43" s="4" t="s">
        <v>35</v>
      </c>
      <c r="K43" s="4" t="str">
        <f t="shared" ca="1" si="1"/>
        <v>Abierta</v>
      </c>
      <c r="L43" s="8"/>
      <c r="M43" s="8">
        <v>200000</v>
      </c>
      <c r="N43" s="4" t="s">
        <v>36</v>
      </c>
      <c r="O43" s="4" t="s">
        <v>645</v>
      </c>
      <c r="P43" s="4" t="s">
        <v>189</v>
      </c>
      <c r="Q43" s="4" t="s">
        <v>67</v>
      </c>
      <c r="R43" s="4" t="s">
        <v>46</v>
      </c>
      <c r="S43" s="4" t="s">
        <v>187</v>
      </c>
      <c r="T43" s="4" t="s">
        <v>635</v>
      </c>
      <c r="U43" s="4" t="s">
        <v>646</v>
      </c>
      <c r="V43" s="4" t="s">
        <v>647</v>
      </c>
      <c r="W43" s="4" t="s">
        <v>648</v>
      </c>
      <c r="X43" s="4" t="s">
        <v>649</v>
      </c>
      <c r="Y43" s="4" t="s">
        <v>650</v>
      </c>
      <c r="Z43" s="4" t="s">
        <v>651</v>
      </c>
      <c r="AA43" s="4"/>
      <c r="AB43" s="6">
        <v>46223</v>
      </c>
      <c r="AC43" s="4" t="s">
        <v>642</v>
      </c>
      <c r="AD43" s="4" t="s">
        <v>652</v>
      </c>
    </row>
    <row r="44" spans="1:30" ht="85.5">
      <c r="A44" s="3" t="s">
        <v>747</v>
      </c>
      <c r="B44" s="4" t="s">
        <v>42</v>
      </c>
      <c r="C44" s="4" t="s">
        <v>658</v>
      </c>
      <c r="D44" s="4" t="s">
        <v>659</v>
      </c>
      <c r="E44" s="4" t="s">
        <v>47</v>
      </c>
      <c r="F44" s="4" t="s">
        <v>32</v>
      </c>
      <c r="G44" s="6">
        <v>46237</v>
      </c>
      <c r="H44" s="4" t="s">
        <v>33</v>
      </c>
      <c r="I44" s="4" t="s">
        <v>49</v>
      </c>
      <c r="J44" s="4" t="s">
        <v>35</v>
      </c>
      <c r="K44" s="4" t="str">
        <f t="shared" ca="1" si="1"/>
        <v>Próxima a vencer</v>
      </c>
      <c r="L44" s="8"/>
      <c r="M44" s="8">
        <v>800000</v>
      </c>
      <c r="N44" s="4" t="s">
        <v>36</v>
      </c>
      <c r="O44" s="4" t="s">
        <v>660</v>
      </c>
      <c r="P44" s="4" t="s">
        <v>189</v>
      </c>
      <c r="Q44" s="4" t="s">
        <v>661</v>
      </c>
      <c r="R44" s="4" t="s">
        <v>662</v>
      </c>
      <c r="S44" s="4" t="s">
        <v>663</v>
      </c>
      <c r="T44" s="4" t="s">
        <v>664</v>
      </c>
      <c r="U44" s="4" t="s">
        <v>665</v>
      </c>
      <c r="V44" s="4" t="s">
        <v>768</v>
      </c>
      <c r="W44" s="4" t="s">
        <v>666</v>
      </c>
      <c r="X44" s="4" t="s">
        <v>667</v>
      </c>
      <c r="Y44" s="4" t="s">
        <v>668</v>
      </c>
      <c r="Z44" s="4" t="s">
        <v>669</v>
      </c>
      <c r="AA44" s="4"/>
      <c r="AB44" s="6">
        <v>46223</v>
      </c>
      <c r="AC44" s="4" t="s">
        <v>670</v>
      </c>
      <c r="AD44" s="4" t="s">
        <v>761</v>
      </c>
    </row>
    <row r="45" spans="1:30" ht="85.5">
      <c r="A45" s="3" t="s">
        <v>748</v>
      </c>
      <c r="B45" s="4" t="s">
        <v>42</v>
      </c>
      <c r="C45" s="4" t="s">
        <v>671</v>
      </c>
      <c r="D45" s="4" t="s">
        <v>672</v>
      </c>
      <c r="E45" s="4" t="s">
        <v>47</v>
      </c>
      <c r="F45" s="4" t="s">
        <v>32</v>
      </c>
      <c r="G45" s="6">
        <v>46226</v>
      </c>
      <c r="H45" s="4" t="s">
        <v>33</v>
      </c>
      <c r="I45" s="4" t="s">
        <v>49</v>
      </c>
      <c r="J45" s="4" t="s">
        <v>35</v>
      </c>
      <c r="K45" s="4" t="str">
        <f t="shared" ca="1" si="1"/>
        <v>Próxima a vencer</v>
      </c>
      <c r="L45" s="8"/>
      <c r="M45" s="8">
        <v>3600000</v>
      </c>
      <c r="N45" s="4" t="s">
        <v>36</v>
      </c>
      <c r="O45" s="4" t="s">
        <v>673</v>
      </c>
      <c r="P45" s="4" t="s">
        <v>189</v>
      </c>
      <c r="Q45" s="4" t="s">
        <v>674</v>
      </c>
      <c r="R45" s="4" t="s">
        <v>662</v>
      </c>
      <c r="S45" s="4" t="s">
        <v>663</v>
      </c>
      <c r="T45" s="4" t="s">
        <v>664</v>
      </c>
      <c r="U45" s="4" t="s">
        <v>675</v>
      </c>
      <c r="V45" s="4" t="s">
        <v>767</v>
      </c>
      <c r="W45" s="4" t="s">
        <v>676</v>
      </c>
      <c r="X45" s="4" t="s">
        <v>677</v>
      </c>
      <c r="Y45" s="4" t="s">
        <v>678</v>
      </c>
      <c r="Z45" s="4" t="s">
        <v>679</v>
      </c>
      <c r="AA45" s="4"/>
      <c r="AB45" s="6">
        <v>46223</v>
      </c>
      <c r="AC45" s="4" t="s">
        <v>680</v>
      </c>
      <c r="AD45" s="4" t="s">
        <v>760</v>
      </c>
    </row>
    <row r="46" spans="1:30" ht="71.25">
      <c r="A46" s="3" t="s">
        <v>749</v>
      </c>
      <c r="B46" s="4" t="s">
        <v>42</v>
      </c>
      <c r="C46" s="4" t="s">
        <v>681</v>
      </c>
      <c r="D46" s="4" t="s">
        <v>672</v>
      </c>
      <c r="E46" s="4" t="s">
        <v>47</v>
      </c>
      <c r="F46" s="4" t="s">
        <v>32</v>
      </c>
      <c r="G46" s="6">
        <v>46226</v>
      </c>
      <c r="H46" s="4" t="s">
        <v>33</v>
      </c>
      <c r="I46" s="4" t="s">
        <v>49</v>
      </c>
      <c r="J46" s="4" t="s">
        <v>35</v>
      </c>
      <c r="K46" s="4" t="str">
        <f t="shared" ca="1" si="1"/>
        <v>Próxima a vencer</v>
      </c>
      <c r="L46" s="8"/>
      <c r="M46" s="8">
        <v>5600000</v>
      </c>
      <c r="N46" s="4" t="s">
        <v>36</v>
      </c>
      <c r="O46" s="4" t="s">
        <v>281</v>
      </c>
      <c r="P46" s="4" t="s">
        <v>189</v>
      </c>
      <c r="Q46" s="4" t="s">
        <v>682</v>
      </c>
      <c r="R46" s="4" t="s">
        <v>683</v>
      </c>
      <c r="S46" s="4" t="s">
        <v>663</v>
      </c>
      <c r="T46" s="4" t="s">
        <v>664</v>
      </c>
      <c r="U46" s="4" t="s">
        <v>675</v>
      </c>
      <c r="V46" s="4" t="s">
        <v>766</v>
      </c>
      <c r="W46" s="4" t="s">
        <v>684</v>
      </c>
      <c r="X46" s="4" t="s">
        <v>685</v>
      </c>
      <c r="Y46" s="4" t="s">
        <v>686</v>
      </c>
      <c r="Z46" s="4" t="s">
        <v>687</v>
      </c>
      <c r="AA46" s="4"/>
      <c r="AB46" s="6">
        <v>46223</v>
      </c>
      <c r="AC46" s="4" t="s">
        <v>680</v>
      </c>
      <c r="AD46" s="4" t="s">
        <v>759</v>
      </c>
    </row>
    <row r="47" spans="1:30" ht="71.25">
      <c r="A47" s="3" t="s">
        <v>750</v>
      </c>
      <c r="B47" s="4" t="s">
        <v>42</v>
      </c>
      <c r="C47" s="4" t="s">
        <v>688</v>
      </c>
      <c r="D47" s="4" t="s">
        <v>689</v>
      </c>
      <c r="E47" s="4" t="s">
        <v>31</v>
      </c>
      <c r="F47" s="4" t="s">
        <v>32</v>
      </c>
      <c r="G47" s="6">
        <v>46296</v>
      </c>
      <c r="H47" s="4" t="s">
        <v>33</v>
      </c>
      <c r="I47" s="4" t="s">
        <v>70</v>
      </c>
      <c r="J47" s="4" t="s">
        <v>35</v>
      </c>
      <c r="K47" s="4" t="str">
        <f t="shared" ca="1" si="1"/>
        <v>Abierta</v>
      </c>
      <c r="L47" s="8">
        <v>150000</v>
      </c>
      <c r="M47" s="8">
        <v>150000</v>
      </c>
      <c r="N47" s="4" t="s">
        <v>36</v>
      </c>
      <c r="O47" s="4" t="s">
        <v>188</v>
      </c>
      <c r="P47" s="4" t="s">
        <v>66</v>
      </c>
      <c r="Q47" s="4" t="s">
        <v>690</v>
      </c>
      <c r="R47" s="4" t="s">
        <v>691</v>
      </c>
      <c r="S47" s="4" t="s">
        <v>692</v>
      </c>
      <c r="T47" s="4" t="s">
        <v>693</v>
      </c>
      <c r="U47" s="4" t="s">
        <v>694</v>
      </c>
      <c r="V47" s="4" t="s">
        <v>765</v>
      </c>
      <c r="W47" s="4" t="s">
        <v>695</v>
      </c>
      <c r="X47" s="4" t="s">
        <v>696</v>
      </c>
      <c r="Y47" s="4" t="s">
        <v>697</v>
      </c>
      <c r="Z47" s="4" t="s">
        <v>698</v>
      </c>
      <c r="AA47" s="4"/>
      <c r="AB47" s="6">
        <v>46223</v>
      </c>
      <c r="AC47" s="4" t="s">
        <v>699</v>
      </c>
      <c r="AD47" s="4" t="s">
        <v>758</v>
      </c>
    </row>
    <row r="48" spans="1:30" ht="71.25">
      <c r="A48" s="3" t="s">
        <v>751</v>
      </c>
      <c r="B48" s="4" t="s">
        <v>42</v>
      </c>
      <c r="C48" s="4" t="s">
        <v>700</v>
      </c>
      <c r="D48" s="4" t="s">
        <v>701</v>
      </c>
      <c r="E48" s="4" t="s">
        <v>80</v>
      </c>
      <c r="F48" s="4" t="s">
        <v>702</v>
      </c>
      <c r="G48" s="6">
        <v>46295</v>
      </c>
      <c r="H48" s="4" t="s">
        <v>33</v>
      </c>
      <c r="I48" s="4" t="s">
        <v>34</v>
      </c>
      <c r="J48" s="4" t="s">
        <v>35</v>
      </c>
      <c r="K48" s="4" t="str">
        <f t="shared" ca="1" si="1"/>
        <v>Abierta</v>
      </c>
      <c r="L48" s="8">
        <v>20000</v>
      </c>
      <c r="M48" s="8">
        <v>20000</v>
      </c>
      <c r="N48" s="4" t="s">
        <v>71</v>
      </c>
      <c r="O48" s="4" t="s">
        <v>138</v>
      </c>
      <c r="P48" s="4" t="s">
        <v>189</v>
      </c>
      <c r="Q48" s="4" t="s">
        <v>703</v>
      </c>
      <c r="R48" s="4" t="s">
        <v>704</v>
      </c>
      <c r="S48" s="4" t="s">
        <v>187</v>
      </c>
      <c r="T48" s="4" t="s">
        <v>705</v>
      </c>
      <c r="U48" s="4" t="s">
        <v>706</v>
      </c>
      <c r="V48" s="4" t="s">
        <v>707</v>
      </c>
      <c r="W48" s="4" t="s">
        <v>708</v>
      </c>
      <c r="X48" s="4" t="s">
        <v>709</v>
      </c>
      <c r="Y48" s="4" t="s">
        <v>710</v>
      </c>
      <c r="Z48" s="4" t="s">
        <v>711</v>
      </c>
      <c r="AA48" s="4"/>
      <c r="AB48" s="6">
        <v>46223</v>
      </c>
      <c r="AC48" s="4" t="s">
        <v>701</v>
      </c>
      <c r="AD48" s="4" t="s">
        <v>757</v>
      </c>
    </row>
    <row r="49" spans="1:30" ht="71.25">
      <c r="A49" s="3" t="s">
        <v>752</v>
      </c>
      <c r="B49" s="4" t="s">
        <v>42</v>
      </c>
      <c r="C49" s="4" t="s">
        <v>712</v>
      </c>
      <c r="D49" s="4" t="s">
        <v>713</v>
      </c>
      <c r="E49" s="4" t="s">
        <v>47</v>
      </c>
      <c r="F49" s="4" t="s">
        <v>32</v>
      </c>
      <c r="G49" s="6">
        <v>46311</v>
      </c>
      <c r="H49" s="4" t="s">
        <v>33</v>
      </c>
      <c r="I49" s="4" t="s">
        <v>34</v>
      </c>
      <c r="J49" s="4" t="s">
        <v>35</v>
      </c>
      <c r="K49" s="4" t="str">
        <f t="shared" ca="1" si="1"/>
        <v>Abierta</v>
      </c>
      <c r="L49" s="8"/>
      <c r="M49" s="8">
        <v>100000</v>
      </c>
      <c r="N49" s="4" t="s">
        <v>36</v>
      </c>
      <c r="O49" s="4" t="s">
        <v>188</v>
      </c>
      <c r="P49" s="4" t="s">
        <v>37</v>
      </c>
      <c r="Q49" s="4" t="s">
        <v>714</v>
      </c>
      <c r="R49" s="4" t="s">
        <v>715</v>
      </c>
      <c r="S49" s="4" t="s">
        <v>663</v>
      </c>
      <c r="T49" s="4" t="s">
        <v>716</v>
      </c>
      <c r="U49" s="4" t="s">
        <v>717</v>
      </c>
      <c r="V49" s="4" t="s">
        <v>764</v>
      </c>
      <c r="W49" s="4" t="s">
        <v>718</v>
      </c>
      <c r="X49" s="4" t="s">
        <v>719</v>
      </c>
      <c r="Y49" s="4" t="s">
        <v>720</v>
      </c>
      <c r="Z49" s="4" t="s">
        <v>721</v>
      </c>
      <c r="AA49" s="4"/>
      <c r="AB49" s="6">
        <v>46223</v>
      </c>
      <c r="AC49" s="4" t="s">
        <v>722</v>
      </c>
      <c r="AD49" s="4" t="s">
        <v>756</v>
      </c>
    </row>
    <row r="50" spans="1:30" ht="85.5">
      <c r="A50" s="3" t="s">
        <v>753</v>
      </c>
      <c r="B50" s="4" t="s">
        <v>42</v>
      </c>
      <c r="C50" s="4" t="s">
        <v>723</v>
      </c>
      <c r="D50" s="4" t="s">
        <v>724</v>
      </c>
      <c r="E50" s="4" t="s">
        <v>31</v>
      </c>
      <c r="F50" s="4" t="s">
        <v>202</v>
      </c>
      <c r="G50" s="6">
        <v>46287</v>
      </c>
      <c r="H50" s="4" t="s">
        <v>33</v>
      </c>
      <c r="I50" s="4" t="s">
        <v>34</v>
      </c>
      <c r="J50" s="4" t="s">
        <v>35</v>
      </c>
      <c r="K50" s="4" t="str">
        <f t="shared" ca="1" si="1"/>
        <v>Abierta</v>
      </c>
      <c r="L50" s="8"/>
      <c r="M50" s="8"/>
      <c r="N50" s="4" t="s">
        <v>59</v>
      </c>
      <c r="O50" s="4" t="s">
        <v>725</v>
      </c>
      <c r="P50" s="4" t="s">
        <v>37</v>
      </c>
      <c r="Q50" s="4" t="s">
        <v>726</v>
      </c>
      <c r="R50" s="4" t="s">
        <v>727</v>
      </c>
      <c r="S50" s="4" t="s">
        <v>728</v>
      </c>
      <c r="T50" s="4" t="s">
        <v>729</v>
      </c>
      <c r="U50" s="4" t="s">
        <v>730</v>
      </c>
      <c r="V50" s="4" t="s">
        <v>763</v>
      </c>
      <c r="W50" s="4" t="s">
        <v>731</v>
      </c>
      <c r="X50" s="4" t="s">
        <v>732</v>
      </c>
      <c r="Y50" s="4" t="s">
        <v>733</v>
      </c>
      <c r="Z50" s="4" t="s">
        <v>734</v>
      </c>
      <c r="AA50" s="4"/>
      <c r="AB50" s="6">
        <v>46223</v>
      </c>
      <c r="AC50" s="4" t="s">
        <v>724</v>
      </c>
      <c r="AD50" s="4"/>
    </row>
    <row r="51" spans="1:30" ht="85.5">
      <c r="A51" s="3" t="s">
        <v>754</v>
      </c>
      <c r="B51" s="4" t="s">
        <v>42</v>
      </c>
      <c r="C51" s="4" t="s">
        <v>735</v>
      </c>
      <c r="D51" s="4" t="s">
        <v>736</v>
      </c>
      <c r="E51" s="4" t="s">
        <v>31</v>
      </c>
      <c r="F51" s="4" t="s">
        <v>737</v>
      </c>
      <c r="G51" s="6">
        <v>46418</v>
      </c>
      <c r="H51" s="4" t="s">
        <v>33</v>
      </c>
      <c r="I51" s="4" t="s">
        <v>70</v>
      </c>
      <c r="J51" s="4" t="s">
        <v>35</v>
      </c>
      <c r="K51" s="4" t="str">
        <f t="shared" ca="1" si="1"/>
        <v>Abierta</v>
      </c>
      <c r="L51" s="8">
        <v>32000</v>
      </c>
      <c r="M51" s="8">
        <v>32000</v>
      </c>
      <c r="N51" s="4" t="s">
        <v>51</v>
      </c>
      <c r="O51" s="4" t="s">
        <v>138</v>
      </c>
      <c r="P51" s="4" t="s">
        <v>66</v>
      </c>
      <c r="Q51" s="4" t="s">
        <v>738</v>
      </c>
      <c r="R51" s="4" t="s">
        <v>739</v>
      </c>
      <c r="S51" s="4" t="s">
        <v>187</v>
      </c>
      <c r="T51" s="4" t="s">
        <v>740</v>
      </c>
      <c r="U51" s="4" t="s">
        <v>741</v>
      </c>
      <c r="V51" s="4" t="s">
        <v>762</v>
      </c>
      <c r="W51" s="4" t="s">
        <v>742</v>
      </c>
      <c r="X51" s="4" t="s">
        <v>743</v>
      </c>
      <c r="Y51" s="4" t="s">
        <v>744</v>
      </c>
      <c r="Z51" s="4" t="s">
        <v>745</v>
      </c>
      <c r="AA51" s="4"/>
      <c r="AB51" s="6">
        <v>46223</v>
      </c>
      <c r="AC51" s="4" t="s">
        <v>746</v>
      </c>
      <c r="AD51" s="4" t="s">
        <v>755</v>
      </c>
    </row>
    <row r="52" spans="1:30" ht="85.5">
      <c r="A52" s="3" t="s">
        <v>817</v>
      </c>
      <c r="B52" s="4" t="s">
        <v>42</v>
      </c>
      <c r="C52" s="4" t="s">
        <v>769</v>
      </c>
      <c r="D52" s="4" t="s">
        <v>770</v>
      </c>
      <c r="E52" s="4" t="s">
        <v>47</v>
      </c>
      <c r="F52" s="4" t="s">
        <v>202</v>
      </c>
      <c r="G52" s="6">
        <v>46223</v>
      </c>
      <c r="H52" s="4" t="s">
        <v>33</v>
      </c>
      <c r="I52" s="4" t="s">
        <v>57</v>
      </c>
      <c r="J52" s="4" t="s">
        <v>35</v>
      </c>
      <c r="K52" s="4" t="str">
        <f t="shared" ca="1" si="1"/>
        <v>Vencida</v>
      </c>
      <c r="L52" s="8">
        <v>200000</v>
      </c>
      <c r="M52" s="8">
        <v>1000000</v>
      </c>
      <c r="N52" s="4" t="s">
        <v>59</v>
      </c>
      <c r="O52" s="4" t="s">
        <v>771</v>
      </c>
      <c r="P52" s="4" t="s">
        <v>37</v>
      </c>
      <c r="Q52" s="4" t="s">
        <v>772</v>
      </c>
      <c r="R52" s="4" t="s">
        <v>773</v>
      </c>
      <c r="S52" s="4" t="s">
        <v>774</v>
      </c>
      <c r="T52" s="4" t="s">
        <v>40</v>
      </c>
      <c r="U52" s="4" t="s">
        <v>775</v>
      </c>
      <c r="V52" s="4" t="s">
        <v>776</v>
      </c>
      <c r="W52" s="4" t="s">
        <v>777</v>
      </c>
      <c r="X52" s="4" t="s">
        <v>778</v>
      </c>
      <c r="Y52" s="4" t="s">
        <v>779</v>
      </c>
      <c r="Z52" s="4" t="s">
        <v>780</v>
      </c>
      <c r="AA52" s="4" t="s">
        <v>781</v>
      </c>
      <c r="AB52" s="6">
        <v>46223</v>
      </c>
      <c r="AC52" s="4" t="s">
        <v>782</v>
      </c>
      <c r="AD52" s="4" t="s">
        <v>783</v>
      </c>
    </row>
    <row r="53" spans="1:30" ht="71.25">
      <c r="A53" s="3" t="s">
        <v>818</v>
      </c>
      <c r="B53" s="4" t="s">
        <v>42</v>
      </c>
      <c r="C53" s="4" t="s">
        <v>784</v>
      </c>
      <c r="D53" s="4" t="s">
        <v>770</v>
      </c>
      <c r="E53" s="4" t="s">
        <v>47</v>
      </c>
      <c r="F53" s="4" t="s">
        <v>202</v>
      </c>
      <c r="G53" s="6">
        <v>46265</v>
      </c>
      <c r="H53" s="4" t="s">
        <v>33</v>
      </c>
      <c r="I53" s="4" t="s">
        <v>34</v>
      </c>
      <c r="J53" s="4" t="s">
        <v>35</v>
      </c>
      <c r="K53" s="4" t="str">
        <f t="shared" ca="1" si="1"/>
        <v>Abierta</v>
      </c>
      <c r="L53" s="8">
        <v>75000</v>
      </c>
      <c r="M53" s="8">
        <v>250000</v>
      </c>
      <c r="N53" s="4" t="s">
        <v>59</v>
      </c>
      <c r="O53" s="4" t="s">
        <v>533</v>
      </c>
      <c r="P53" s="4" t="s">
        <v>72</v>
      </c>
      <c r="Q53" s="4" t="s">
        <v>785</v>
      </c>
      <c r="R53" s="4" t="s">
        <v>786</v>
      </c>
      <c r="S53" s="4" t="s">
        <v>774</v>
      </c>
      <c r="T53" s="4" t="s">
        <v>40</v>
      </c>
      <c r="U53" s="4" t="s">
        <v>787</v>
      </c>
      <c r="V53" s="4" t="s">
        <v>788</v>
      </c>
      <c r="W53" s="4" t="s">
        <v>789</v>
      </c>
      <c r="X53" s="4" t="s">
        <v>790</v>
      </c>
      <c r="Y53" s="4" t="s">
        <v>791</v>
      </c>
      <c r="Z53" s="4" t="s">
        <v>792</v>
      </c>
      <c r="AA53" s="4"/>
      <c r="AB53" s="6">
        <v>46223</v>
      </c>
      <c r="AC53" s="4" t="s">
        <v>782</v>
      </c>
      <c r="AD53" s="4" t="s">
        <v>821</v>
      </c>
    </row>
    <row r="54" spans="1:30" ht="85.5">
      <c r="A54" s="3" t="s">
        <v>819</v>
      </c>
      <c r="B54" s="4" t="s">
        <v>42</v>
      </c>
      <c r="C54" s="4" t="s">
        <v>793</v>
      </c>
      <c r="D54" s="4" t="s">
        <v>794</v>
      </c>
      <c r="E54" s="4" t="s">
        <v>31</v>
      </c>
      <c r="F54" s="4" t="s">
        <v>32</v>
      </c>
      <c r="G54" s="6">
        <v>46378</v>
      </c>
      <c r="H54" s="4" t="s">
        <v>33</v>
      </c>
      <c r="I54" s="4" t="s">
        <v>49</v>
      </c>
      <c r="J54" s="4" t="s">
        <v>64</v>
      </c>
      <c r="K54" s="4" t="str">
        <f t="shared" ca="1" si="1"/>
        <v>Pendiente Apertura</v>
      </c>
      <c r="L54" s="8"/>
      <c r="M54" s="8"/>
      <c r="N54" s="4" t="s">
        <v>36</v>
      </c>
      <c r="O54" s="4" t="s">
        <v>188</v>
      </c>
      <c r="P54" s="4" t="s">
        <v>37</v>
      </c>
      <c r="Q54" s="4" t="s">
        <v>795</v>
      </c>
      <c r="R54" s="4" t="s">
        <v>796</v>
      </c>
      <c r="S54" s="4" t="s">
        <v>797</v>
      </c>
      <c r="T54" s="4" t="s">
        <v>40</v>
      </c>
      <c r="U54" s="4" t="s">
        <v>798</v>
      </c>
      <c r="V54" s="4" t="s">
        <v>799</v>
      </c>
      <c r="W54" s="4" t="s">
        <v>800</v>
      </c>
      <c r="X54" s="4" t="s">
        <v>801</v>
      </c>
      <c r="Y54" s="4" t="s">
        <v>802</v>
      </c>
      <c r="Z54" s="4" t="s">
        <v>803</v>
      </c>
      <c r="AA54" s="4"/>
      <c r="AB54" s="6">
        <v>46223</v>
      </c>
      <c r="AC54" s="4" t="s">
        <v>804</v>
      </c>
      <c r="AD54" s="4"/>
    </row>
    <row r="55" spans="1:30" ht="71.25">
      <c r="A55" s="3" t="s">
        <v>820</v>
      </c>
      <c r="B55" s="4" t="s">
        <v>42</v>
      </c>
      <c r="C55" s="4" t="s">
        <v>805</v>
      </c>
      <c r="D55" s="4" t="s">
        <v>806</v>
      </c>
      <c r="E55" s="4" t="s">
        <v>47</v>
      </c>
      <c r="F55" s="4" t="s">
        <v>32</v>
      </c>
      <c r="G55" s="6">
        <v>46295</v>
      </c>
      <c r="H55" s="4" t="s">
        <v>33</v>
      </c>
      <c r="I55" s="4" t="s">
        <v>34</v>
      </c>
      <c r="J55" s="4" t="s">
        <v>35</v>
      </c>
      <c r="K55" s="4" t="str">
        <f t="shared" ca="1" si="1"/>
        <v>Abierta</v>
      </c>
      <c r="L55" s="8"/>
      <c r="M55" s="8"/>
      <c r="N55" s="4" t="s">
        <v>36</v>
      </c>
      <c r="O55" s="4" t="s">
        <v>387</v>
      </c>
      <c r="P55" s="4" t="s">
        <v>37</v>
      </c>
      <c r="Q55" s="4" t="s">
        <v>807</v>
      </c>
      <c r="R55" s="4" t="s">
        <v>808</v>
      </c>
      <c r="S55" s="4" t="s">
        <v>663</v>
      </c>
      <c r="T55" s="4" t="s">
        <v>40</v>
      </c>
      <c r="U55" s="4" t="s">
        <v>809</v>
      </c>
      <c r="V55" s="4" t="s">
        <v>810</v>
      </c>
      <c r="W55" s="4" t="s">
        <v>811</v>
      </c>
      <c r="X55" s="4" t="s">
        <v>812</v>
      </c>
      <c r="Y55" s="4" t="s">
        <v>813</v>
      </c>
      <c r="Z55" s="4" t="s">
        <v>814</v>
      </c>
      <c r="AA55" s="4" t="s">
        <v>815</v>
      </c>
      <c r="AB55" s="6">
        <v>46223</v>
      </c>
      <c r="AC55" s="4" t="s">
        <v>816</v>
      </c>
      <c r="AD55" s="4" t="s">
        <v>822</v>
      </c>
    </row>
    <row r="56" spans="1:30" ht="114">
      <c r="A56" s="3" t="s">
        <v>887</v>
      </c>
      <c r="B56" s="4" t="s">
        <v>42</v>
      </c>
      <c r="C56" s="4" t="s">
        <v>823</v>
      </c>
      <c r="D56" s="4" t="s">
        <v>824</v>
      </c>
      <c r="E56" s="4" t="s">
        <v>31</v>
      </c>
      <c r="F56" s="4" t="s">
        <v>737</v>
      </c>
      <c r="G56" s="6"/>
      <c r="H56" s="4" t="s">
        <v>56</v>
      </c>
      <c r="I56" s="4" t="s">
        <v>49</v>
      </c>
      <c r="J56" s="4" t="s">
        <v>35</v>
      </c>
      <c r="K56" s="4" t="str">
        <f t="shared" ca="1" si="1"/>
        <v>Sin fecha</v>
      </c>
      <c r="L56" s="8"/>
      <c r="M56" s="8">
        <v>300000</v>
      </c>
      <c r="N56" s="4" t="s">
        <v>36</v>
      </c>
      <c r="O56" s="4" t="s">
        <v>533</v>
      </c>
      <c r="P56" s="4" t="s">
        <v>189</v>
      </c>
      <c r="Q56" s="4" t="s">
        <v>61</v>
      </c>
      <c r="R56" s="4" t="s">
        <v>46</v>
      </c>
      <c r="S56" s="4" t="s">
        <v>825</v>
      </c>
      <c r="T56" s="4" t="s">
        <v>40</v>
      </c>
      <c r="U56" s="4" t="s">
        <v>826</v>
      </c>
      <c r="V56" s="4" t="s">
        <v>827</v>
      </c>
      <c r="W56" s="4" t="s">
        <v>828</v>
      </c>
      <c r="X56" s="4" t="s">
        <v>829</v>
      </c>
      <c r="Y56" s="4" t="s">
        <v>830</v>
      </c>
      <c r="Z56" s="4" t="s">
        <v>831</v>
      </c>
      <c r="AA56" s="4"/>
      <c r="AB56" s="6">
        <v>46223</v>
      </c>
      <c r="AC56" s="4" t="s">
        <v>832</v>
      </c>
      <c r="AD56" s="4" t="s">
        <v>833</v>
      </c>
    </row>
    <row r="57" spans="1:30" ht="85.5">
      <c r="A57" s="3" t="s">
        <v>888</v>
      </c>
      <c r="B57" s="4" t="s">
        <v>42</v>
      </c>
      <c r="C57" s="4" t="s">
        <v>834</v>
      </c>
      <c r="D57" s="4" t="s">
        <v>835</v>
      </c>
      <c r="E57" s="4" t="s">
        <v>31</v>
      </c>
      <c r="F57" s="4" t="s">
        <v>187</v>
      </c>
      <c r="G57" s="6">
        <v>46371</v>
      </c>
      <c r="H57" s="4" t="s">
        <v>48</v>
      </c>
      <c r="I57" s="4" t="s">
        <v>70</v>
      </c>
      <c r="J57" s="4" t="s">
        <v>64</v>
      </c>
      <c r="K57" s="4" t="str">
        <f t="shared" ca="1" si="1"/>
        <v>Pendiente Apertura</v>
      </c>
      <c r="L57" s="8">
        <v>25000</v>
      </c>
      <c r="M57" s="8">
        <v>250000</v>
      </c>
      <c r="N57" s="4" t="s">
        <v>36</v>
      </c>
      <c r="O57" s="4" t="s">
        <v>836</v>
      </c>
      <c r="P57" s="4" t="s">
        <v>82</v>
      </c>
      <c r="Q57" s="4" t="s">
        <v>61</v>
      </c>
      <c r="R57" s="4" t="s">
        <v>46</v>
      </c>
      <c r="S57" s="4" t="s">
        <v>837</v>
      </c>
      <c r="T57" s="4" t="s">
        <v>40</v>
      </c>
      <c r="U57" s="4" t="s">
        <v>838</v>
      </c>
      <c r="V57" s="4" t="s">
        <v>839</v>
      </c>
      <c r="W57" s="4" t="s">
        <v>840</v>
      </c>
      <c r="X57" s="4" t="s">
        <v>841</v>
      </c>
      <c r="Y57" s="4" t="s">
        <v>842</v>
      </c>
      <c r="Z57" s="4" t="s">
        <v>843</v>
      </c>
      <c r="AA57" s="4"/>
      <c r="AB57" s="6">
        <v>46223</v>
      </c>
      <c r="AC57" s="4" t="s">
        <v>844</v>
      </c>
      <c r="AD57" s="4" t="s">
        <v>845</v>
      </c>
    </row>
    <row r="58" spans="1:30" ht="99.75">
      <c r="A58" s="3" t="s">
        <v>889</v>
      </c>
      <c r="B58" s="4" t="s">
        <v>42</v>
      </c>
      <c r="C58" s="4" t="s">
        <v>846</v>
      </c>
      <c r="D58" s="4" t="s">
        <v>847</v>
      </c>
      <c r="E58" s="4" t="s">
        <v>80</v>
      </c>
      <c r="F58" s="4" t="s">
        <v>32</v>
      </c>
      <c r="G58" s="6">
        <v>46307</v>
      </c>
      <c r="H58" s="4" t="s">
        <v>33</v>
      </c>
      <c r="I58" s="4" t="s">
        <v>70</v>
      </c>
      <c r="J58" s="4" t="s">
        <v>35</v>
      </c>
      <c r="K58" s="4" t="str">
        <f t="shared" ca="1" si="1"/>
        <v>Abierta</v>
      </c>
      <c r="L58" s="8"/>
      <c r="M58" s="8">
        <v>2500</v>
      </c>
      <c r="N58" s="4" t="s">
        <v>36</v>
      </c>
      <c r="O58" s="4" t="s">
        <v>848</v>
      </c>
      <c r="P58" s="4" t="s">
        <v>52</v>
      </c>
      <c r="Q58" s="4" t="s">
        <v>61</v>
      </c>
      <c r="R58" s="4" t="s">
        <v>74</v>
      </c>
      <c r="S58" s="4" t="s">
        <v>187</v>
      </c>
      <c r="T58" s="4" t="s">
        <v>849</v>
      </c>
      <c r="U58" s="4" t="s">
        <v>850</v>
      </c>
      <c r="V58" s="4" t="s">
        <v>851</v>
      </c>
      <c r="W58" s="4" t="s">
        <v>852</v>
      </c>
      <c r="X58" s="4" t="s">
        <v>853</v>
      </c>
      <c r="Y58" s="4" t="s">
        <v>854</v>
      </c>
      <c r="Z58" s="4" t="s">
        <v>855</v>
      </c>
      <c r="AA58" s="4" t="s">
        <v>856</v>
      </c>
      <c r="AB58" s="6">
        <v>46223</v>
      </c>
      <c r="AC58" s="4" t="s">
        <v>857</v>
      </c>
      <c r="AD58" s="4" t="s">
        <v>858</v>
      </c>
    </row>
    <row r="59" spans="1:30" ht="99.75">
      <c r="A59" s="3" t="s">
        <v>890</v>
      </c>
      <c r="B59" s="4" t="s">
        <v>42</v>
      </c>
      <c r="C59" s="4" t="s">
        <v>859</v>
      </c>
      <c r="D59" s="4" t="s">
        <v>847</v>
      </c>
      <c r="E59" s="4" t="s">
        <v>80</v>
      </c>
      <c r="F59" s="4" t="s">
        <v>32</v>
      </c>
      <c r="G59" s="6">
        <v>46307</v>
      </c>
      <c r="H59" s="4" t="s">
        <v>33</v>
      </c>
      <c r="I59" s="4" t="s">
        <v>70</v>
      </c>
      <c r="J59" s="4" t="s">
        <v>35</v>
      </c>
      <c r="K59" s="4" t="str">
        <f t="shared" ca="1" si="1"/>
        <v>Abierta</v>
      </c>
      <c r="L59" s="8"/>
      <c r="M59" s="8">
        <v>2000</v>
      </c>
      <c r="N59" s="4" t="s">
        <v>36</v>
      </c>
      <c r="O59" s="4" t="s">
        <v>387</v>
      </c>
      <c r="P59" s="4" t="s">
        <v>52</v>
      </c>
      <c r="Q59" s="4" t="s">
        <v>53</v>
      </c>
      <c r="R59" s="4" t="s">
        <v>74</v>
      </c>
      <c r="S59" s="4" t="s">
        <v>187</v>
      </c>
      <c r="T59" s="4" t="s">
        <v>849</v>
      </c>
      <c r="U59" s="4" t="s">
        <v>860</v>
      </c>
      <c r="V59" s="4" t="s">
        <v>861</v>
      </c>
      <c r="W59" s="4" t="s">
        <v>862</v>
      </c>
      <c r="X59" s="4" t="s">
        <v>863</v>
      </c>
      <c r="Y59" s="4" t="s">
        <v>864</v>
      </c>
      <c r="Z59" s="4" t="s">
        <v>865</v>
      </c>
      <c r="AA59" s="4"/>
      <c r="AB59" s="6">
        <v>46223</v>
      </c>
      <c r="AC59" s="4" t="s">
        <v>857</v>
      </c>
      <c r="AD59" s="4" t="s">
        <v>866</v>
      </c>
    </row>
    <row r="60" spans="1:30" ht="85.5">
      <c r="A60" s="3" t="s">
        <v>891</v>
      </c>
      <c r="B60" s="4" t="s">
        <v>42</v>
      </c>
      <c r="C60" s="4" t="s">
        <v>867</v>
      </c>
      <c r="D60" s="4" t="s">
        <v>868</v>
      </c>
      <c r="E60" s="4" t="s">
        <v>31</v>
      </c>
      <c r="F60" s="4" t="s">
        <v>869</v>
      </c>
      <c r="G60" s="6"/>
      <c r="H60" s="4" t="s">
        <v>56</v>
      </c>
      <c r="I60" s="4" t="s">
        <v>75</v>
      </c>
      <c r="J60" s="4" t="s">
        <v>35</v>
      </c>
      <c r="K60" s="4" t="str">
        <f t="shared" ca="1" si="1"/>
        <v>Sin fecha</v>
      </c>
      <c r="L60" s="8">
        <v>150000</v>
      </c>
      <c r="M60" s="8">
        <v>1500000</v>
      </c>
      <c r="N60" s="4" t="s">
        <v>36</v>
      </c>
      <c r="O60" s="4" t="s">
        <v>83</v>
      </c>
      <c r="P60" s="4" t="s">
        <v>60</v>
      </c>
      <c r="Q60" s="4" t="s">
        <v>83</v>
      </c>
      <c r="R60" s="4" t="s">
        <v>46</v>
      </c>
      <c r="S60" s="4" t="s">
        <v>187</v>
      </c>
      <c r="T60" s="4" t="s">
        <v>40</v>
      </c>
      <c r="U60" s="4" t="s">
        <v>870</v>
      </c>
      <c r="V60" s="4" t="s">
        <v>871</v>
      </c>
      <c r="W60" s="4" t="s">
        <v>872</v>
      </c>
      <c r="X60" s="4" t="s">
        <v>873</v>
      </c>
      <c r="Y60" s="4" t="s">
        <v>874</v>
      </c>
      <c r="Z60" s="4" t="s">
        <v>875</v>
      </c>
      <c r="AA60" s="4"/>
      <c r="AB60" s="6">
        <v>46223</v>
      </c>
      <c r="AC60" s="4" t="s">
        <v>868</v>
      </c>
      <c r="AD60" s="4" t="s">
        <v>876</v>
      </c>
    </row>
    <row r="61" spans="1:30" ht="85.5">
      <c r="A61" s="3" t="s">
        <v>892</v>
      </c>
      <c r="B61" s="4" t="s">
        <v>42</v>
      </c>
      <c r="C61" s="4" t="s">
        <v>877</v>
      </c>
      <c r="D61" s="4" t="s">
        <v>878</v>
      </c>
      <c r="E61" s="4" t="s">
        <v>80</v>
      </c>
      <c r="F61" s="4" t="s">
        <v>32</v>
      </c>
      <c r="G61" s="6">
        <v>46063</v>
      </c>
      <c r="H61" s="4" t="s">
        <v>33</v>
      </c>
      <c r="I61" s="4" t="s">
        <v>75</v>
      </c>
      <c r="J61" s="4" t="s">
        <v>50</v>
      </c>
      <c r="K61" s="4" t="str">
        <f t="shared" ca="1" si="1"/>
        <v>Cerrada</v>
      </c>
      <c r="L61" s="8"/>
      <c r="M61" s="8"/>
      <c r="N61" s="4" t="s">
        <v>36</v>
      </c>
      <c r="O61" s="4" t="s">
        <v>83</v>
      </c>
      <c r="P61" s="4" t="s">
        <v>60</v>
      </c>
      <c r="Q61" s="4" t="s">
        <v>83</v>
      </c>
      <c r="R61" s="4" t="s">
        <v>74</v>
      </c>
      <c r="S61" s="4" t="s">
        <v>187</v>
      </c>
      <c r="T61" s="4" t="s">
        <v>879</v>
      </c>
      <c r="U61" s="4" t="s">
        <v>880</v>
      </c>
      <c r="V61" s="4" t="s">
        <v>881</v>
      </c>
      <c r="W61" s="4" t="s">
        <v>882</v>
      </c>
      <c r="X61" s="4" t="s">
        <v>883</v>
      </c>
      <c r="Y61" s="4"/>
      <c r="Z61" s="4" t="s">
        <v>884</v>
      </c>
      <c r="AA61" s="4" t="s">
        <v>885</v>
      </c>
      <c r="AB61" s="6">
        <v>46223</v>
      </c>
      <c r="AC61" s="4" t="s">
        <v>878</v>
      </c>
      <c r="AD61" s="4" t="s">
        <v>886</v>
      </c>
    </row>
    <row r="62" spans="1:30" ht="71.25">
      <c r="A62" s="3" t="s">
        <v>937</v>
      </c>
      <c r="B62" s="4" t="s">
        <v>42</v>
      </c>
      <c r="C62" s="4" t="s">
        <v>893</v>
      </c>
      <c r="D62" s="4" t="s">
        <v>894</v>
      </c>
      <c r="E62" s="4" t="s">
        <v>31</v>
      </c>
      <c r="F62" s="4" t="s">
        <v>32</v>
      </c>
      <c r="G62" s="6">
        <v>46351</v>
      </c>
      <c r="H62" s="4" t="s">
        <v>33</v>
      </c>
      <c r="I62" s="4" t="s">
        <v>70</v>
      </c>
      <c r="J62" s="4" t="s">
        <v>64</v>
      </c>
      <c r="K62" s="4" t="str">
        <f t="shared" ca="1" si="1"/>
        <v>Pendiente Apertura</v>
      </c>
      <c r="L62" s="8"/>
      <c r="M62" s="8">
        <v>5500</v>
      </c>
      <c r="N62" s="4" t="s">
        <v>36</v>
      </c>
      <c r="O62" s="4" t="s">
        <v>895</v>
      </c>
      <c r="P62" s="4" t="s">
        <v>52</v>
      </c>
      <c r="Q62" s="4" t="s">
        <v>896</v>
      </c>
      <c r="R62" s="4" t="s">
        <v>897</v>
      </c>
      <c r="S62" s="4" t="s">
        <v>898</v>
      </c>
      <c r="T62" s="4" t="s">
        <v>369</v>
      </c>
      <c r="U62" s="4" t="s">
        <v>899</v>
      </c>
      <c r="V62" s="4" t="s">
        <v>900</v>
      </c>
      <c r="W62" s="4" t="s">
        <v>901</v>
      </c>
      <c r="X62" s="4" t="s">
        <v>902</v>
      </c>
      <c r="Y62" s="4" t="s">
        <v>903</v>
      </c>
      <c r="Z62" s="4" t="s">
        <v>904</v>
      </c>
      <c r="AA62" s="4"/>
      <c r="AB62" s="6">
        <v>46223</v>
      </c>
      <c r="AC62" s="4" t="s">
        <v>905</v>
      </c>
      <c r="AD62" s="4" t="s">
        <v>944</v>
      </c>
    </row>
    <row r="63" spans="1:30" ht="71.25">
      <c r="A63" s="3" t="s">
        <v>938</v>
      </c>
      <c r="B63" s="4" t="s">
        <v>42</v>
      </c>
      <c r="C63" s="4" t="s">
        <v>906</v>
      </c>
      <c r="D63" s="4" t="s">
        <v>894</v>
      </c>
      <c r="E63" s="4" t="s">
        <v>31</v>
      </c>
      <c r="F63" s="4" t="s">
        <v>32</v>
      </c>
      <c r="G63" s="6">
        <v>46295</v>
      </c>
      <c r="H63" s="4" t="s">
        <v>33</v>
      </c>
      <c r="I63" s="4" t="s">
        <v>57</v>
      </c>
      <c r="J63" s="4" t="s">
        <v>64</v>
      </c>
      <c r="K63" s="4" t="str">
        <f t="shared" ca="1" si="1"/>
        <v>Pendiente Apertura</v>
      </c>
      <c r="L63" s="8"/>
      <c r="M63" s="8"/>
      <c r="N63" s="4" t="s">
        <v>36</v>
      </c>
      <c r="O63" s="4"/>
      <c r="P63" s="4" t="s">
        <v>189</v>
      </c>
      <c r="Q63" s="4" t="s">
        <v>907</v>
      </c>
      <c r="R63" s="4" t="s">
        <v>908</v>
      </c>
      <c r="S63" s="4" t="s">
        <v>187</v>
      </c>
      <c r="T63" s="4" t="s">
        <v>909</v>
      </c>
      <c r="U63" s="4" t="s">
        <v>910</v>
      </c>
      <c r="V63" s="4" t="s">
        <v>911</v>
      </c>
      <c r="W63" s="4" t="s">
        <v>912</v>
      </c>
      <c r="X63" s="4" t="s">
        <v>913</v>
      </c>
      <c r="Y63" s="4" t="s">
        <v>914</v>
      </c>
      <c r="Z63" s="4" t="s">
        <v>915</v>
      </c>
      <c r="AA63" s="4"/>
      <c r="AB63" s="6">
        <v>46223</v>
      </c>
      <c r="AC63" s="4" t="s">
        <v>916</v>
      </c>
      <c r="AD63" s="4" t="s">
        <v>943</v>
      </c>
    </row>
    <row r="64" spans="1:30" ht="71.25">
      <c r="A64" s="3" t="s">
        <v>939</v>
      </c>
      <c r="B64" s="4" t="s">
        <v>42</v>
      </c>
      <c r="C64" s="4" t="s">
        <v>917</v>
      </c>
      <c r="D64" s="4" t="s">
        <v>918</v>
      </c>
      <c r="E64" s="4" t="s">
        <v>31</v>
      </c>
      <c r="F64" s="4" t="s">
        <v>202</v>
      </c>
      <c r="G64" s="6">
        <v>46295</v>
      </c>
      <c r="H64" s="4" t="s">
        <v>33</v>
      </c>
      <c r="I64" s="4" t="s">
        <v>70</v>
      </c>
      <c r="J64" s="4" t="s">
        <v>35</v>
      </c>
      <c r="K64" s="4" t="str">
        <f t="shared" ca="1" si="1"/>
        <v>Abierta</v>
      </c>
      <c r="L64" s="8">
        <v>100</v>
      </c>
      <c r="M64" s="8">
        <v>1000</v>
      </c>
      <c r="N64" s="4" t="s">
        <v>59</v>
      </c>
      <c r="O64" s="4" t="s">
        <v>387</v>
      </c>
      <c r="P64" s="4" t="s">
        <v>189</v>
      </c>
      <c r="Q64" s="4" t="s">
        <v>919</v>
      </c>
      <c r="R64" s="4" t="s">
        <v>74</v>
      </c>
      <c r="S64" s="4" t="s">
        <v>187</v>
      </c>
      <c r="T64" s="4" t="s">
        <v>369</v>
      </c>
      <c r="U64" s="4" t="s">
        <v>920</v>
      </c>
      <c r="V64" s="4" t="s">
        <v>921</v>
      </c>
      <c r="W64" s="4" t="s">
        <v>922</v>
      </c>
      <c r="X64" s="4" t="s">
        <v>923</v>
      </c>
      <c r="Y64" s="4" t="s">
        <v>924</v>
      </c>
      <c r="Z64" s="4" t="s">
        <v>925</v>
      </c>
      <c r="AA64" s="4"/>
      <c r="AB64" s="6">
        <v>46223</v>
      </c>
      <c r="AC64" s="4" t="s">
        <v>926</v>
      </c>
      <c r="AD64" s="4" t="s">
        <v>942</v>
      </c>
    </row>
    <row r="65" spans="1:30" ht="71.25">
      <c r="A65" s="3" t="s">
        <v>940</v>
      </c>
      <c r="B65" s="4" t="s">
        <v>42</v>
      </c>
      <c r="C65" s="4" t="s">
        <v>927</v>
      </c>
      <c r="D65" s="4" t="s">
        <v>928</v>
      </c>
      <c r="E65" s="4" t="s">
        <v>31</v>
      </c>
      <c r="F65" s="4" t="s">
        <v>32</v>
      </c>
      <c r="G65" s="6">
        <v>46255</v>
      </c>
      <c r="H65" s="4" t="s">
        <v>33</v>
      </c>
      <c r="I65" s="4" t="s">
        <v>34</v>
      </c>
      <c r="J65" s="4" t="s">
        <v>35</v>
      </c>
      <c r="K65" s="4" t="str">
        <f t="shared" ca="1" si="1"/>
        <v>Abierta</v>
      </c>
      <c r="L65" s="8"/>
      <c r="M65" s="8">
        <v>50000</v>
      </c>
      <c r="N65" s="4" t="s">
        <v>36</v>
      </c>
      <c r="O65" s="4"/>
      <c r="P65" s="4" t="s">
        <v>189</v>
      </c>
      <c r="Q65" s="4" t="s">
        <v>929</v>
      </c>
      <c r="R65" s="4" t="s">
        <v>908</v>
      </c>
      <c r="S65" s="4" t="s">
        <v>187</v>
      </c>
      <c r="T65" s="4" t="s">
        <v>369</v>
      </c>
      <c r="U65" s="4" t="s">
        <v>930</v>
      </c>
      <c r="V65" s="4" t="s">
        <v>931</v>
      </c>
      <c r="W65" s="4" t="s">
        <v>932</v>
      </c>
      <c r="X65" s="4" t="s">
        <v>933</v>
      </c>
      <c r="Y65" s="4" t="s">
        <v>934</v>
      </c>
      <c r="Z65" s="4" t="s">
        <v>935</v>
      </c>
      <c r="AA65" s="4"/>
      <c r="AB65" s="6">
        <v>46223</v>
      </c>
      <c r="AC65" s="4" t="s">
        <v>936</v>
      </c>
      <c r="AD65" s="4" t="s">
        <v>941</v>
      </c>
    </row>
    <row r="66" spans="1:30" ht="85.5" customHeight="1">
      <c r="A66" s="3" t="s">
        <v>1015</v>
      </c>
      <c r="B66" s="4" t="s">
        <v>42</v>
      </c>
      <c r="C66" s="4" t="s">
        <v>945</v>
      </c>
      <c r="D66" s="4" t="s">
        <v>946</v>
      </c>
      <c r="E66" s="4" t="s">
        <v>31</v>
      </c>
      <c r="F66" s="4" t="s">
        <v>32</v>
      </c>
      <c r="G66" s="6">
        <v>46234</v>
      </c>
      <c r="H66" s="4" t="s">
        <v>33</v>
      </c>
      <c r="I66" s="4" t="s">
        <v>49</v>
      </c>
      <c r="J66" s="4" t="s">
        <v>35</v>
      </c>
      <c r="K66" s="4" t="str">
        <f t="shared" ca="1" si="1"/>
        <v>Próxima a vencer</v>
      </c>
      <c r="L66" s="8">
        <v>15000</v>
      </c>
      <c r="M66" s="8">
        <v>75000</v>
      </c>
      <c r="N66" s="4" t="s">
        <v>36</v>
      </c>
      <c r="O66" s="4" t="s">
        <v>188</v>
      </c>
      <c r="P66" s="4" t="s">
        <v>189</v>
      </c>
      <c r="Q66" s="4" t="s">
        <v>67</v>
      </c>
      <c r="R66" s="4" t="s">
        <v>947</v>
      </c>
      <c r="S66" s="4" t="s">
        <v>187</v>
      </c>
      <c r="T66" s="4" t="s">
        <v>40</v>
      </c>
      <c r="U66" s="4" t="s">
        <v>948</v>
      </c>
      <c r="V66" s="4" t="s">
        <v>949</v>
      </c>
      <c r="W66" s="4" t="s">
        <v>950</v>
      </c>
      <c r="X66" s="4" t="s">
        <v>951</v>
      </c>
      <c r="Y66" s="4" t="s">
        <v>952</v>
      </c>
      <c r="Z66" s="4" t="s">
        <v>953</v>
      </c>
      <c r="AA66" s="4"/>
      <c r="AB66" s="6">
        <v>46224</v>
      </c>
      <c r="AC66" s="4" t="s">
        <v>946</v>
      </c>
      <c r="AD66" s="4" t="s">
        <v>954</v>
      </c>
    </row>
    <row r="67" spans="1:30" ht="85.5" customHeight="1">
      <c r="A67" s="3" t="s">
        <v>1016</v>
      </c>
      <c r="B67" s="4" t="s">
        <v>42</v>
      </c>
      <c r="C67" s="4" t="s">
        <v>955</v>
      </c>
      <c r="D67" s="4" t="s">
        <v>956</v>
      </c>
      <c r="E67" s="4" t="s">
        <v>31</v>
      </c>
      <c r="F67" s="4" t="s">
        <v>957</v>
      </c>
      <c r="G67" s="6">
        <v>46346</v>
      </c>
      <c r="H67" s="4" t="s">
        <v>33</v>
      </c>
      <c r="I67" s="4" t="s">
        <v>34</v>
      </c>
      <c r="J67" s="4" t="s">
        <v>35</v>
      </c>
      <c r="K67" s="4" t="str">
        <f t="shared" ca="1" si="1"/>
        <v>Abierta</v>
      </c>
      <c r="L67" s="8"/>
      <c r="M67" s="8">
        <v>30000</v>
      </c>
      <c r="N67" s="4" t="s">
        <v>51</v>
      </c>
      <c r="O67" s="4"/>
      <c r="P67" s="4" t="s">
        <v>37</v>
      </c>
      <c r="Q67" s="4" t="s">
        <v>958</v>
      </c>
      <c r="R67" s="4" t="s">
        <v>959</v>
      </c>
      <c r="S67" s="4" t="s">
        <v>187</v>
      </c>
      <c r="T67" s="4" t="s">
        <v>40</v>
      </c>
      <c r="U67" s="4" t="s">
        <v>960</v>
      </c>
      <c r="V67" s="4" t="s">
        <v>961</v>
      </c>
      <c r="W67" s="4" t="s">
        <v>962</v>
      </c>
      <c r="X67" s="4" t="s">
        <v>963</v>
      </c>
      <c r="Y67" s="4" t="s">
        <v>964</v>
      </c>
      <c r="Z67" s="4" t="s">
        <v>965</v>
      </c>
      <c r="AA67" s="4" t="s">
        <v>966</v>
      </c>
      <c r="AB67" s="6">
        <v>46224</v>
      </c>
      <c r="AC67" s="4" t="s">
        <v>956</v>
      </c>
      <c r="AD67" s="4" t="s">
        <v>967</v>
      </c>
    </row>
    <row r="68" spans="1:30" ht="85.5" customHeight="1">
      <c r="A68" s="3" t="s">
        <v>1017</v>
      </c>
      <c r="B68" s="4" t="s">
        <v>42</v>
      </c>
      <c r="C68" s="4" t="s">
        <v>968</v>
      </c>
      <c r="D68" s="4" t="s">
        <v>969</v>
      </c>
      <c r="E68" s="4" t="s">
        <v>43</v>
      </c>
      <c r="F68" s="4" t="s">
        <v>135</v>
      </c>
      <c r="G68" s="6">
        <v>46233</v>
      </c>
      <c r="H68" s="4" t="s">
        <v>33</v>
      </c>
      <c r="I68" s="4" t="s">
        <v>84</v>
      </c>
      <c r="J68" s="4" t="s">
        <v>35</v>
      </c>
      <c r="K68" s="4" t="str">
        <f t="shared" ca="1" si="1"/>
        <v>Próxima a vencer</v>
      </c>
      <c r="L68" s="8">
        <v>75000</v>
      </c>
      <c r="M68" s="8">
        <v>200000</v>
      </c>
      <c r="N68" s="4" t="s">
        <v>65</v>
      </c>
      <c r="O68" s="4" t="s">
        <v>83</v>
      </c>
      <c r="P68" s="4" t="s">
        <v>60</v>
      </c>
      <c r="Q68" s="4" t="s">
        <v>970</v>
      </c>
      <c r="R68" s="4" t="s">
        <v>971</v>
      </c>
      <c r="S68" s="4" t="s">
        <v>135</v>
      </c>
      <c r="T68" s="4" t="s">
        <v>972</v>
      </c>
      <c r="U68" s="4" t="s">
        <v>973</v>
      </c>
      <c r="V68" s="4" t="s">
        <v>974</v>
      </c>
      <c r="W68" s="4" t="s">
        <v>975</v>
      </c>
      <c r="X68" s="4" t="s">
        <v>976</v>
      </c>
      <c r="Y68" s="4" t="s">
        <v>977</v>
      </c>
      <c r="Z68" s="4" t="s">
        <v>978</v>
      </c>
      <c r="AA68" s="4"/>
      <c r="AB68" s="6">
        <v>46224</v>
      </c>
      <c r="AC68" s="4" t="s">
        <v>969</v>
      </c>
      <c r="AD68" s="4" t="s">
        <v>1023</v>
      </c>
    </row>
    <row r="69" spans="1:30" ht="85.5" customHeight="1">
      <c r="A69" s="3" t="s">
        <v>1018</v>
      </c>
      <c r="B69" s="4" t="s">
        <v>42</v>
      </c>
      <c r="C69" s="4" t="s">
        <v>979</v>
      </c>
      <c r="D69" s="4" t="s">
        <v>980</v>
      </c>
      <c r="E69" s="4" t="s">
        <v>80</v>
      </c>
      <c r="F69" s="4" t="s">
        <v>32</v>
      </c>
      <c r="G69" s="6">
        <v>46113</v>
      </c>
      <c r="H69" s="4" t="s">
        <v>33</v>
      </c>
      <c r="I69" s="4" t="s">
        <v>34</v>
      </c>
      <c r="J69" s="4" t="s">
        <v>50</v>
      </c>
      <c r="K69" s="4" t="str">
        <f t="shared" ca="1" si="1"/>
        <v>Cerrada</v>
      </c>
      <c r="L69" s="8"/>
      <c r="M69" s="8">
        <v>10000</v>
      </c>
      <c r="N69" s="4" t="s">
        <v>36</v>
      </c>
      <c r="O69" s="4" t="s">
        <v>138</v>
      </c>
      <c r="P69" s="4" t="s">
        <v>189</v>
      </c>
      <c r="Q69" s="4" t="s">
        <v>38</v>
      </c>
      <c r="R69" s="4" t="s">
        <v>981</v>
      </c>
      <c r="S69" s="4" t="s">
        <v>187</v>
      </c>
      <c r="T69" s="4" t="s">
        <v>982</v>
      </c>
      <c r="U69" s="4" t="s">
        <v>983</v>
      </c>
      <c r="V69" s="4" t="s">
        <v>984</v>
      </c>
      <c r="W69" s="4" t="s">
        <v>985</v>
      </c>
      <c r="X69" s="4" t="s">
        <v>986</v>
      </c>
      <c r="Y69" s="4" t="s">
        <v>987</v>
      </c>
      <c r="Z69" s="4" t="s">
        <v>988</v>
      </c>
      <c r="AA69" s="4" t="s">
        <v>989</v>
      </c>
      <c r="AB69" s="6">
        <v>46224</v>
      </c>
      <c r="AC69" s="4" t="s">
        <v>990</v>
      </c>
      <c r="AD69" s="4" t="s">
        <v>991</v>
      </c>
    </row>
    <row r="70" spans="1:30" ht="85.5" customHeight="1">
      <c r="A70" s="3" t="s">
        <v>1019</v>
      </c>
      <c r="B70" s="4" t="s">
        <v>42</v>
      </c>
      <c r="C70" s="4" t="s">
        <v>992</v>
      </c>
      <c r="D70" s="4" t="s">
        <v>993</v>
      </c>
      <c r="E70" s="4" t="s">
        <v>46</v>
      </c>
      <c r="F70" s="4" t="s">
        <v>1021</v>
      </c>
      <c r="G70" s="6">
        <v>46082</v>
      </c>
      <c r="H70" s="4" t="s">
        <v>33</v>
      </c>
      <c r="I70" s="4" t="s">
        <v>70</v>
      </c>
      <c r="J70" s="4" t="s">
        <v>50</v>
      </c>
      <c r="K70" s="4" t="str">
        <f t="shared" ca="1" si="1"/>
        <v>Cerrada</v>
      </c>
      <c r="L70" s="8"/>
      <c r="M70" s="8">
        <v>7500</v>
      </c>
      <c r="N70" s="4" t="s">
        <v>71</v>
      </c>
      <c r="O70" s="4">
        <v>7</v>
      </c>
      <c r="P70" s="4" t="s">
        <v>189</v>
      </c>
      <c r="Q70" s="4" t="s">
        <v>38</v>
      </c>
      <c r="R70" s="4" t="s">
        <v>994</v>
      </c>
      <c r="S70" s="4" t="s">
        <v>995</v>
      </c>
      <c r="T70" s="4" t="s">
        <v>996</v>
      </c>
      <c r="U70" s="4" t="s">
        <v>997</v>
      </c>
      <c r="V70" s="4" t="s">
        <v>998</v>
      </c>
      <c r="W70" s="4" t="s">
        <v>999</v>
      </c>
      <c r="X70" s="4" t="s">
        <v>1000</v>
      </c>
      <c r="Y70" s="4" t="s">
        <v>1001</v>
      </c>
      <c r="Z70" s="4" t="s">
        <v>1002</v>
      </c>
      <c r="AA70" s="4" t="s">
        <v>1003</v>
      </c>
      <c r="AB70" s="6">
        <v>46224</v>
      </c>
      <c r="AC70" s="4" t="s">
        <v>993</v>
      </c>
      <c r="AD70" s="4" t="s">
        <v>1004</v>
      </c>
    </row>
    <row r="71" spans="1:30" ht="85.5" customHeight="1">
      <c r="A71" s="3" t="s">
        <v>1020</v>
      </c>
      <c r="B71" s="4" t="s">
        <v>42</v>
      </c>
      <c r="C71" s="4" t="s">
        <v>1005</v>
      </c>
      <c r="D71" s="4" t="s">
        <v>1006</v>
      </c>
      <c r="E71" s="4" t="s">
        <v>80</v>
      </c>
      <c r="F71" s="4" t="s">
        <v>32</v>
      </c>
      <c r="G71" s="6">
        <v>46174</v>
      </c>
      <c r="H71" s="4" t="s">
        <v>33</v>
      </c>
      <c r="I71" s="4" t="s">
        <v>34</v>
      </c>
      <c r="J71" s="4" t="s">
        <v>50</v>
      </c>
      <c r="K71" s="4" t="str">
        <f t="shared" ca="1" si="1"/>
        <v>Cerrada</v>
      </c>
      <c r="L71" s="8">
        <v>2000</v>
      </c>
      <c r="M71" s="8">
        <v>2000</v>
      </c>
      <c r="N71" s="4" t="s">
        <v>36</v>
      </c>
      <c r="O71" s="4"/>
      <c r="P71" s="4" t="s">
        <v>52</v>
      </c>
      <c r="Q71" s="4" t="s">
        <v>1007</v>
      </c>
      <c r="R71" s="4" t="s">
        <v>74</v>
      </c>
      <c r="S71" s="4" t="s">
        <v>1008</v>
      </c>
      <c r="T71" s="4" t="s">
        <v>635</v>
      </c>
      <c r="U71" s="4" t="s">
        <v>1009</v>
      </c>
      <c r="V71" s="4" t="s">
        <v>1010</v>
      </c>
      <c r="W71" s="4" t="s">
        <v>1011</v>
      </c>
      <c r="X71" s="4" t="s">
        <v>1012</v>
      </c>
      <c r="Y71" s="4" t="s">
        <v>1013</v>
      </c>
      <c r="Z71" s="4" t="s">
        <v>1014</v>
      </c>
      <c r="AA71" s="4"/>
      <c r="AB71" s="6">
        <v>46224</v>
      </c>
      <c r="AC71" s="4" t="s">
        <v>1006</v>
      </c>
      <c r="AD71" s="4" t="s">
        <v>1022</v>
      </c>
    </row>
    <row r="72" spans="1:30">
      <c r="A72" s="4" t="str">
        <f t="shared" ref="A66:A128" si="2">IF(C72="","","OP-"&amp;TEXT(ROW()-1,"0000"))</f>
        <v/>
      </c>
      <c r="B72" s="4"/>
      <c r="C72" s="4"/>
      <c r="D72" s="4"/>
      <c r="E72" s="4"/>
      <c r="F72" s="4"/>
      <c r="G72" s="6"/>
      <c r="H72" s="4"/>
      <c r="I72" s="4"/>
      <c r="J72" s="4"/>
      <c r="K72" s="4" t="str">
        <f t="shared" ca="1" si="1"/>
        <v>Sin fecha</v>
      </c>
      <c r="L72" s="8"/>
      <c r="M72" s="8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6"/>
      <c r="AC72" s="4"/>
      <c r="AD72" s="4"/>
    </row>
    <row r="73" spans="1:30">
      <c r="A73" s="4" t="str">
        <f t="shared" si="2"/>
        <v/>
      </c>
      <c r="B73" s="4"/>
      <c r="C73" s="4"/>
      <c r="D73" s="4"/>
      <c r="E73" s="4"/>
      <c r="F73" s="4"/>
      <c r="G73" s="6"/>
      <c r="H73" s="4"/>
      <c r="I73" s="4"/>
      <c r="J73" s="4"/>
      <c r="K73" s="4" t="str">
        <f t="shared" ca="1" si="1"/>
        <v>Sin fecha</v>
      </c>
      <c r="L73" s="8"/>
      <c r="M73" s="8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6"/>
      <c r="AC73" s="4"/>
      <c r="AD73" s="4"/>
    </row>
    <row r="74" spans="1:30">
      <c r="A74" s="4" t="str">
        <f t="shared" si="2"/>
        <v/>
      </c>
      <c r="B74" s="4"/>
      <c r="C74" s="4"/>
      <c r="D74" s="4"/>
      <c r="E74" s="4"/>
      <c r="F74" s="4"/>
      <c r="G74" s="6"/>
      <c r="H74" s="4"/>
      <c r="I74" s="4"/>
      <c r="J74" s="4"/>
      <c r="K74" s="4" t="str">
        <f t="shared" ca="1" si="1"/>
        <v>Sin fecha</v>
      </c>
      <c r="L74" s="8"/>
      <c r="M74" s="8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6"/>
      <c r="AC74" s="4"/>
      <c r="AD74" s="4"/>
    </row>
    <row r="75" spans="1:30">
      <c r="A75" s="4" t="str">
        <f t="shared" si="2"/>
        <v/>
      </c>
      <c r="B75" s="4"/>
      <c r="C75" s="4"/>
      <c r="D75" s="4"/>
      <c r="E75" s="4"/>
      <c r="F75" s="4"/>
      <c r="G75" s="6"/>
      <c r="H75" s="4"/>
      <c r="I75" s="4"/>
      <c r="J75" s="4"/>
      <c r="K75" s="4" t="str">
        <f t="shared" ca="1" si="1"/>
        <v>Sin fecha</v>
      </c>
      <c r="L75" s="8"/>
      <c r="M75" s="8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6"/>
      <c r="AC75" s="4"/>
      <c r="AD75" s="4"/>
    </row>
    <row r="76" spans="1:30">
      <c r="A76" s="4" t="str">
        <f t="shared" si="2"/>
        <v/>
      </c>
      <c r="B76" s="4"/>
      <c r="C76" s="4"/>
      <c r="D76" s="4"/>
      <c r="E76" s="4"/>
      <c r="F76" s="4"/>
      <c r="G76" s="6"/>
      <c r="H76" s="4"/>
      <c r="I76" s="4"/>
      <c r="J76" s="4"/>
      <c r="K76" s="4" t="str">
        <f t="shared" ca="1" si="1"/>
        <v>Sin fecha</v>
      </c>
      <c r="L76" s="8"/>
      <c r="M76" s="8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6"/>
      <c r="AC76" s="4"/>
      <c r="AD76" s="4"/>
    </row>
    <row r="77" spans="1:30">
      <c r="A77" s="4" t="str">
        <f t="shared" si="2"/>
        <v/>
      </c>
      <c r="B77" s="4"/>
      <c r="C77" s="4"/>
      <c r="D77" s="4"/>
      <c r="E77" s="4"/>
      <c r="F77" s="4"/>
      <c r="G77" s="6"/>
      <c r="H77" s="4"/>
      <c r="I77" s="4"/>
      <c r="J77" s="4"/>
      <c r="K77" s="4" t="str">
        <f t="shared" ca="1" si="1"/>
        <v>Sin fecha</v>
      </c>
      <c r="L77" s="8"/>
      <c r="M77" s="8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6"/>
      <c r="AC77" s="4"/>
      <c r="AD77" s="4"/>
    </row>
    <row r="78" spans="1:30">
      <c r="A78" s="4" t="str">
        <f t="shared" si="2"/>
        <v/>
      </c>
      <c r="B78" s="4"/>
      <c r="C78" s="4"/>
      <c r="D78" s="4"/>
      <c r="E78" s="4"/>
      <c r="F78" s="4"/>
      <c r="G78" s="6"/>
      <c r="H78" s="4"/>
      <c r="I78" s="4"/>
      <c r="J78" s="4"/>
      <c r="K78" s="4" t="str">
        <f t="shared" ca="1" si="1"/>
        <v>Sin fecha</v>
      </c>
      <c r="L78" s="8"/>
      <c r="M78" s="8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6"/>
      <c r="AC78" s="4"/>
      <c r="AD78" s="4"/>
    </row>
    <row r="79" spans="1:30">
      <c r="A79" s="4" t="str">
        <f t="shared" si="2"/>
        <v/>
      </c>
      <c r="B79" s="4"/>
      <c r="C79" s="4"/>
      <c r="D79" s="4"/>
      <c r="E79" s="4"/>
      <c r="F79" s="4"/>
      <c r="G79" s="6"/>
      <c r="H79" s="4"/>
      <c r="I79" s="4"/>
      <c r="J79" s="4"/>
      <c r="K79" s="4" t="str">
        <f t="shared" ca="1" si="1"/>
        <v>Sin fecha</v>
      </c>
      <c r="L79" s="8"/>
      <c r="M79" s="8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6"/>
      <c r="AC79" s="4"/>
      <c r="AD79" s="4"/>
    </row>
    <row r="80" spans="1:30">
      <c r="A80" s="4" t="str">
        <f t="shared" si="2"/>
        <v/>
      </c>
      <c r="B80" s="4"/>
      <c r="C80" s="4"/>
      <c r="D80" s="4"/>
      <c r="E80" s="4"/>
      <c r="F80" s="4"/>
      <c r="G80" s="6"/>
      <c r="H80" s="4"/>
      <c r="I80" s="4"/>
      <c r="J80" s="4"/>
      <c r="K80" s="4" t="str">
        <f t="shared" ca="1" si="1"/>
        <v>Sin fecha</v>
      </c>
      <c r="L80" s="8"/>
      <c r="M80" s="8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6"/>
      <c r="AC80" s="4"/>
      <c r="AD80" s="4"/>
    </row>
    <row r="81" spans="1:30">
      <c r="A81" s="4" t="str">
        <f t="shared" si="2"/>
        <v/>
      </c>
      <c r="B81" s="4"/>
      <c r="C81" s="4"/>
      <c r="D81" s="4"/>
      <c r="E81" s="4"/>
      <c r="F81" s="4"/>
      <c r="G81" s="6"/>
      <c r="H81" s="4"/>
      <c r="I81" s="4"/>
      <c r="J81" s="4"/>
      <c r="K81" s="4" t="str">
        <f t="shared" ref="K81:K118" ca="1" si="3">IF(J81="En revisión","Pendiente Apertura",IF(J81="Cerrada","Cerrada",IF(J81="Suspendida","Suspendida",IF(G81="","Sin fecha",IF(G81&lt;TODAY(),"Vencida",IF(G81-TODAY()&lt;=30,"Próxima a vencer","Abierta"))))))</f>
        <v>Sin fecha</v>
      </c>
      <c r="L81" s="8"/>
      <c r="M81" s="8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6"/>
      <c r="AC81" s="4"/>
      <c r="AD81" s="4"/>
    </row>
    <row r="82" spans="1:30">
      <c r="A82" s="4" t="str">
        <f t="shared" si="2"/>
        <v/>
      </c>
      <c r="B82" s="4"/>
      <c r="C82" s="4"/>
      <c r="D82" s="4"/>
      <c r="E82" s="4"/>
      <c r="F82" s="4"/>
      <c r="G82" s="6"/>
      <c r="H82" s="4"/>
      <c r="I82" s="4"/>
      <c r="J82" s="4"/>
      <c r="K82" s="4" t="str">
        <f t="shared" ca="1" si="3"/>
        <v>Sin fecha</v>
      </c>
      <c r="L82" s="8"/>
      <c r="M82" s="8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6"/>
      <c r="AC82" s="4"/>
      <c r="AD82" s="4"/>
    </row>
    <row r="83" spans="1:30">
      <c r="A83" s="4" t="str">
        <f t="shared" si="2"/>
        <v/>
      </c>
      <c r="B83" s="4"/>
      <c r="C83" s="4"/>
      <c r="D83" s="4"/>
      <c r="E83" s="4"/>
      <c r="F83" s="4"/>
      <c r="G83" s="6"/>
      <c r="H83" s="4"/>
      <c r="I83" s="4"/>
      <c r="J83" s="4"/>
      <c r="K83" s="4" t="str">
        <f t="shared" ca="1" si="3"/>
        <v>Sin fecha</v>
      </c>
      <c r="L83" s="8"/>
      <c r="M83" s="8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6"/>
      <c r="AC83" s="4"/>
      <c r="AD83" s="4"/>
    </row>
    <row r="84" spans="1:30">
      <c r="A84" s="4" t="str">
        <f t="shared" si="2"/>
        <v/>
      </c>
      <c r="B84" s="4"/>
      <c r="C84" s="4"/>
      <c r="D84" s="4"/>
      <c r="E84" s="4"/>
      <c r="F84" s="4"/>
      <c r="G84" s="6"/>
      <c r="H84" s="4"/>
      <c r="I84" s="4"/>
      <c r="J84" s="4"/>
      <c r="K84" s="4" t="str">
        <f t="shared" ca="1" si="3"/>
        <v>Sin fecha</v>
      </c>
      <c r="L84" s="8"/>
      <c r="M84" s="8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6"/>
      <c r="AC84" s="4"/>
      <c r="AD84" s="4"/>
    </row>
    <row r="85" spans="1:30">
      <c r="A85" s="4" t="str">
        <f t="shared" si="2"/>
        <v/>
      </c>
      <c r="B85" s="4"/>
      <c r="C85" s="4"/>
      <c r="D85" s="4"/>
      <c r="E85" s="4"/>
      <c r="F85" s="4"/>
      <c r="G85" s="6"/>
      <c r="H85" s="4"/>
      <c r="I85" s="4"/>
      <c r="J85" s="4"/>
      <c r="K85" s="4" t="str">
        <f t="shared" ca="1" si="3"/>
        <v>Sin fecha</v>
      </c>
      <c r="L85" s="8"/>
      <c r="M85" s="8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6"/>
      <c r="AC85" s="4"/>
      <c r="AD85" s="4"/>
    </row>
    <row r="86" spans="1:30">
      <c r="A86" s="4" t="str">
        <f t="shared" si="2"/>
        <v/>
      </c>
      <c r="B86" s="4"/>
      <c r="C86" s="4"/>
      <c r="D86" s="4"/>
      <c r="E86" s="4"/>
      <c r="F86" s="4"/>
      <c r="G86" s="6"/>
      <c r="H86" s="4"/>
      <c r="I86" s="4"/>
      <c r="J86" s="4"/>
      <c r="K86" s="4" t="str">
        <f t="shared" ca="1" si="3"/>
        <v>Sin fecha</v>
      </c>
      <c r="L86" s="8"/>
      <c r="M86" s="8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6"/>
      <c r="AC86" s="4"/>
      <c r="AD86" s="4"/>
    </row>
    <row r="87" spans="1:30">
      <c r="A87" s="4" t="str">
        <f t="shared" si="2"/>
        <v/>
      </c>
      <c r="B87" s="4"/>
      <c r="C87" s="4"/>
      <c r="D87" s="4"/>
      <c r="E87" s="4"/>
      <c r="F87" s="4"/>
      <c r="G87" s="6"/>
      <c r="H87" s="4"/>
      <c r="I87" s="4"/>
      <c r="J87" s="4"/>
      <c r="K87" s="4" t="str">
        <f t="shared" ca="1" si="3"/>
        <v>Sin fecha</v>
      </c>
      <c r="L87" s="8"/>
      <c r="M87" s="8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6"/>
      <c r="AC87" s="4"/>
      <c r="AD87" s="4"/>
    </row>
    <row r="88" spans="1:30">
      <c r="A88" s="4" t="str">
        <f t="shared" si="2"/>
        <v/>
      </c>
      <c r="B88" s="4"/>
      <c r="C88" s="4"/>
      <c r="D88" s="4"/>
      <c r="E88" s="4"/>
      <c r="F88" s="4"/>
      <c r="G88" s="6"/>
      <c r="H88" s="4"/>
      <c r="I88" s="4"/>
      <c r="J88" s="4"/>
      <c r="K88" s="4" t="str">
        <f t="shared" ca="1" si="3"/>
        <v>Sin fecha</v>
      </c>
      <c r="L88" s="8"/>
      <c r="M88" s="8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6"/>
      <c r="AC88" s="4"/>
      <c r="AD88" s="4"/>
    </row>
    <row r="89" spans="1:30">
      <c r="A89" s="4" t="str">
        <f t="shared" si="2"/>
        <v/>
      </c>
      <c r="B89" s="4"/>
      <c r="C89" s="4"/>
      <c r="D89" s="4"/>
      <c r="E89" s="4"/>
      <c r="F89" s="4"/>
      <c r="G89" s="6"/>
      <c r="H89" s="4"/>
      <c r="I89" s="4"/>
      <c r="J89" s="4"/>
      <c r="K89" s="4" t="str">
        <f t="shared" ca="1" si="3"/>
        <v>Sin fecha</v>
      </c>
      <c r="L89" s="8"/>
      <c r="M89" s="8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6"/>
      <c r="AC89" s="4"/>
      <c r="AD89" s="4"/>
    </row>
    <row r="90" spans="1:30">
      <c r="A90" s="4" t="str">
        <f t="shared" si="2"/>
        <v/>
      </c>
      <c r="B90" s="4"/>
      <c r="C90" s="4"/>
      <c r="D90" s="4"/>
      <c r="E90" s="4"/>
      <c r="F90" s="4"/>
      <c r="G90" s="6"/>
      <c r="H90" s="4"/>
      <c r="I90" s="4"/>
      <c r="J90" s="4"/>
      <c r="K90" s="4" t="str">
        <f t="shared" ca="1" si="3"/>
        <v>Sin fecha</v>
      </c>
      <c r="L90" s="8"/>
      <c r="M90" s="8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6"/>
      <c r="AC90" s="4"/>
      <c r="AD90" s="4"/>
    </row>
    <row r="91" spans="1:30">
      <c r="A91" s="4" t="str">
        <f t="shared" si="2"/>
        <v/>
      </c>
      <c r="B91" s="4"/>
      <c r="C91" s="4"/>
      <c r="D91" s="4"/>
      <c r="E91" s="4"/>
      <c r="F91" s="4"/>
      <c r="G91" s="6"/>
      <c r="H91" s="4"/>
      <c r="I91" s="4"/>
      <c r="J91" s="4"/>
      <c r="K91" s="4" t="str">
        <f t="shared" ca="1" si="3"/>
        <v>Sin fecha</v>
      </c>
      <c r="L91" s="8"/>
      <c r="M91" s="8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6"/>
      <c r="AC91" s="4"/>
      <c r="AD91" s="4"/>
    </row>
    <row r="92" spans="1:30">
      <c r="A92" s="4" t="str">
        <f t="shared" si="2"/>
        <v/>
      </c>
      <c r="B92" s="4"/>
      <c r="C92" s="4"/>
      <c r="D92" s="4"/>
      <c r="E92" s="4"/>
      <c r="F92" s="4"/>
      <c r="G92" s="6"/>
      <c r="H92" s="4"/>
      <c r="I92" s="4"/>
      <c r="J92" s="4"/>
      <c r="K92" s="4" t="str">
        <f t="shared" ca="1" si="3"/>
        <v>Sin fecha</v>
      </c>
      <c r="L92" s="8"/>
      <c r="M92" s="8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6"/>
      <c r="AC92" s="4"/>
      <c r="AD92" s="4"/>
    </row>
    <row r="93" spans="1:30">
      <c r="A93" s="4" t="str">
        <f t="shared" si="2"/>
        <v/>
      </c>
      <c r="B93" s="4"/>
      <c r="C93" s="4"/>
      <c r="D93" s="4"/>
      <c r="E93" s="4"/>
      <c r="F93" s="4"/>
      <c r="G93" s="6"/>
      <c r="H93" s="4"/>
      <c r="I93" s="4"/>
      <c r="J93" s="4"/>
      <c r="K93" s="4" t="str">
        <f t="shared" ca="1" si="3"/>
        <v>Sin fecha</v>
      </c>
      <c r="L93" s="8"/>
      <c r="M93" s="8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6"/>
      <c r="AC93" s="4"/>
      <c r="AD93" s="4"/>
    </row>
    <row r="94" spans="1:30">
      <c r="A94" s="4" t="str">
        <f t="shared" si="2"/>
        <v/>
      </c>
      <c r="B94" s="4"/>
      <c r="C94" s="4"/>
      <c r="D94" s="4"/>
      <c r="E94" s="4"/>
      <c r="F94" s="4"/>
      <c r="G94" s="6"/>
      <c r="H94" s="4"/>
      <c r="I94" s="4"/>
      <c r="J94" s="4"/>
      <c r="K94" s="4" t="str">
        <f t="shared" ca="1" si="3"/>
        <v>Sin fecha</v>
      </c>
      <c r="L94" s="8"/>
      <c r="M94" s="8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6"/>
      <c r="AC94" s="4"/>
      <c r="AD94" s="4"/>
    </row>
    <row r="95" spans="1:30">
      <c r="A95" s="4" t="str">
        <f t="shared" si="2"/>
        <v/>
      </c>
      <c r="B95" s="4"/>
      <c r="C95" s="4"/>
      <c r="D95" s="4"/>
      <c r="E95" s="4"/>
      <c r="F95" s="4"/>
      <c r="G95" s="6"/>
      <c r="H95" s="4"/>
      <c r="I95" s="4"/>
      <c r="J95" s="4"/>
      <c r="K95" s="4" t="str">
        <f t="shared" ca="1" si="3"/>
        <v>Sin fecha</v>
      </c>
      <c r="L95" s="8"/>
      <c r="M95" s="8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6"/>
      <c r="AC95" s="4"/>
      <c r="AD95" s="4"/>
    </row>
    <row r="96" spans="1:30">
      <c r="A96" s="4" t="str">
        <f t="shared" si="2"/>
        <v/>
      </c>
      <c r="B96" s="4"/>
      <c r="C96" s="4"/>
      <c r="D96" s="4"/>
      <c r="E96" s="4"/>
      <c r="F96" s="4"/>
      <c r="G96" s="6"/>
      <c r="H96" s="4"/>
      <c r="I96" s="4"/>
      <c r="J96" s="4"/>
      <c r="K96" s="4" t="str">
        <f t="shared" ca="1" si="3"/>
        <v>Sin fecha</v>
      </c>
      <c r="L96" s="8"/>
      <c r="M96" s="8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6"/>
      <c r="AC96" s="4"/>
      <c r="AD96" s="4"/>
    </row>
    <row r="97" spans="1:30">
      <c r="A97" s="4" t="str">
        <f t="shared" si="2"/>
        <v/>
      </c>
      <c r="B97" s="4"/>
      <c r="C97" s="4"/>
      <c r="D97" s="4"/>
      <c r="E97" s="4"/>
      <c r="F97" s="4"/>
      <c r="G97" s="6"/>
      <c r="H97" s="4"/>
      <c r="I97" s="4"/>
      <c r="J97" s="4"/>
      <c r="K97" s="4" t="str">
        <f t="shared" ca="1" si="3"/>
        <v>Sin fecha</v>
      </c>
      <c r="L97" s="8"/>
      <c r="M97" s="8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6"/>
      <c r="AC97" s="4"/>
      <c r="AD97" s="4"/>
    </row>
    <row r="98" spans="1:30">
      <c r="A98" s="4" t="str">
        <f t="shared" si="2"/>
        <v/>
      </c>
      <c r="B98" s="4"/>
      <c r="C98" s="4"/>
      <c r="D98" s="4"/>
      <c r="E98" s="4"/>
      <c r="F98" s="4"/>
      <c r="G98" s="6"/>
      <c r="H98" s="4"/>
      <c r="I98" s="4"/>
      <c r="J98" s="4"/>
      <c r="K98" s="4" t="str">
        <f t="shared" ca="1" si="3"/>
        <v>Sin fecha</v>
      </c>
      <c r="L98" s="8"/>
      <c r="M98" s="8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6"/>
      <c r="AC98" s="4"/>
      <c r="AD98" s="4"/>
    </row>
    <row r="99" spans="1:30">
      <c r="A99" s="4" t="str">
        <f t="shared" si="2"/>
        <v/>
      </c>
      <c r="B99" s="4"/>
      <c r="C99" s="4"/>
      <c r="D99" s="4"/>
      <c r="E99" s="4"/>
      <c r="F99" s="4"/>
      <c r="G99" s="6"/>
      <c r="H99" s="4"/>
      <c r="I99" s="4"/>
      <c r="J99" s="4"/>
      <c r="K99" s="4" t="str">
        <f t="shared" ca="1" si="3"/>
        <v>Sin fecha</v>
      </c>
      <c r="L99" s="8"/>
      <c r="M99" s="8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6"/>
      <c r="AC99" s="4"/>
      <c r="AD99" s="4"/>
    </row>
    <row r="100" spans="1:30">
      <c r="A100" s="4" t="str">
        <f t="shared" si="2"/>
        <v/>
      </c>
      <c r="B100" s="4"/>
      <c r="C100" s="4"/>
      <c r="D100" s="4"/>
      <c r="E100" s="4"/>
      <c r="F100" s="4"/>
      <c r="G100" s="6"/>
      <c r="H100" s="4"/>
      <c r="I100" s="4"/>
      <c r="J100" s="4"/>
      <c r="K100" s="4" t="str">
        <f t="shared" ca="1" si="3"/>
        <v>Sin fecha</v>
      </c>
      <c r="L100" s="8"/>
      <c r="M100" s="8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6"/>
      <c r="AC100" s="4"/>
      <c r="AD100" s="4"/>
    </row>
    <row r="101" spans="1:30">
      <c r="A101" s="4" t="str">
        <f t="shared" si="2"/>
        <v/>
      </c>
      <c r="B101" s="4"/>
      <c r="C101" s="4"/>
      <c r="D101" s="4"/>
      <c r="E101" s="4"/>
      <c r="F101" s="4"/>
      <c r="G101" s="6"/>
      <c r="H101" s="4"/>
      <c r="I101" s="4"/>
      <c r="J101" s="4"/>
      <c r="K101" s="4" t="str">
        <f t="shared" ca="1" si="3"/>
        <v>Sin fecha</v>
      </c>
      <c r="L101" s="8"/>
      <c r="M101" s="8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6"/>
      <c r="AC101" s="4"/>
      <c r="AD101" s="4"/>
    </row>
    <row r="102" spans="1:30">
      <c r="A102" s="4" t="str">
        <f t="shared" si="2"/>
        <v/>
      </c>
      <c r="B102" s="4"/>
      <c r="C102" s="4"/>
      <c r="D102" s="4"/>
      <c r="E102" s="4"/>
      <c r="F102" s="4"/>
      <c r="G102" s="6"/>
      <c r="H102" s="4"/>
      <c r="I102" s="4"/>
      <c r="J102" s="4"/>
      <c r="K102" s="4" t="str">
        <f t="shared" ca="1" si="3"/>
        <v>Sin fecha</v>
      </c>
      <c r="L102" s="8"/>
      <c r="M102" s="8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6"/>
      <c r="AC102" s="4"/>
      <c r="AD102" s="4"/>
    </row>
    <row r="103" spans="1:30">
      <c r="A103" s="4" t="str">
        <f t="shared" si="2"/>
        <v/>
      </c>
      <c r="B103" s="4"/>
      <c r="C103" s="4"/>
      <c r="D103" s="4"/>
      <c r="E103" s="4"/>
      <c r="F103" s="4"/>
      <c r="G103" s="6"/>
      <c r="H103" s="4"/>
      <c r="I103" s="4"/>
      <c r="J103" s="4"/>
      <c r="K103" s="4" t="str">
        <f t="shared" ca="1" si="3"/>
        <v>Sin fecha</v>
      </c>
      <c r="L103" s="8"/>
      <c r="M103" s="8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6"/>
      <c r="AC103" s="4"/>
      <c r="AD103" s="4"/>
    </row>
    <row r="104" spans="1:30">
      <c r="A104" s="4" t="str">
        <f t="shared" si="2"/>
        <v/>
      </c>
      <c r="B104" s="4"/>
      <c r="C104" s="4"/>
      <c r="D104" s="4"/>
      <c r="E104" s="4"/>
      <c r="F104" s="4"/>
      <c r="G104" s="6"/>
      <c r="H104" s="4"/>
      <c r="I104" s="4"/>
      <c r="J104" s="4"/>
      <c r="K104" s="4" t="str">
        <f t="shared" ca="1" si="3"/>
        <v>Sin fecha</v>
      </c>
      <c r="L104" s="8"/>
      <c r="M104" s="8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6"/>
      <c r="AC104" s="4"/>
      <c r="AD104" s="4"/>
    </row>
    <row r="105" spans="1:30">
      <c r="A105" s="4" t="str">
        <f t="shared" si="2"/>
        <v/>
      </c>
      <c r="B105" s="4"/>
      <c r="C105" s="4"/>
      <c r="D105" s="4"/>
      <c r="E105" s="4"/>
      <c r="F105" s="4"/>
      <c r="G105" s="6"/>
      <c r="H105" s="4"/>
      <c r="I105" s="4"/>
      <c r="J105" s="4"/>
      <c r="K105" s="4" t="str">
        <f t="shared" ca="1" si="3"/>
        <v>Sin fecha</v>
      </c>
      <c r="L105" s="8"/>
      <c r="M105" s="8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6"/>
      <c r="AC105" s="4"/>
      <c r="AD105" s="4"/>
    </row>
    <row r="106" spans="1:30">
      <c r="A106" s="4" t="str">
        <f t="shared" si="2"/>
        <v/>
      </c>
      <c r="B106" s="4"/>
      <c r="C106" s="4"/>
      <c r="D106" s="4"/>
      <c r="E106" s="4"/>
      <c r="F106" s="4"/>
      <c r="G106" s="6"/>
      <c r="H106" s="4"/>
      <c r="I106" s="4"/>
      <c r="J106" s="4"/>
      <c r="K106" s="4" t="str">
        <f t="shared" ca="1" si="3"/>
        <v>Sin fecha</v>
      </c>
      <c r="L106" s="8"/>
      <c r="M106" s="8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6"/>
      <c r="AC106" s="4"/>
      <c r="AD106" s="4"/>
    </row>
    <row r="107" spans="1:30">
      <c r="A107" s="4" t="str">
        <f t="shared" si="2"/>
        <v/>
      </c>
      <c r="B107" s="4"/>
      <c r="C107" s="4"/>
      <c r="D107" s="4"/>
      <c r="E107" s="4"/>
      <c r="F107" s="4"/>
      <c r="G107" s="6"/>
      <c r="H107" s="4"/>
      <c r="I107" s="4"/>
      <c r="J107" s="4"/>
      <c r="K107" s="4" t="str">
        <f t="shared" ca="1" si="3"/>
        <v>Sin fecha</v>
      </c>
      <c r="L107" s="8"/>
      <c r="M107" s="8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6"/>
      <c r="AC107" s="4"/>
      <c r="AD107" s="4"/>
    </row>
    <row r="108" spans="1:30">
      <c r="A108" s="4" t="str">
        <f t="shared" si="2"/>
        <v/>
      </c>
      <c r="B108" s="4"/>
      <c r="C108" s="4"/>
      <c r="D108" s="4"/>
      <c r="E108" s="4"/>
      <c r="F108" s="4"/>
      <c r="G108" s="6"/>
      <c r="H108" s="4"/>
      <c r="I108" s="4"/>
      <c r="J108" s="4"/>
      <c r="K108" s="4" t="str">
        <f t="shared" ca="1" si="3"/>
        <v>Sin fecha</v>
      </c>
      <c r="L108" s="8"/>
      <c r="M108" s="8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6"/>
      <c r="AC108" s="4"/>
      <c r="AD108" s="4"/>
    </row>
    <row r="109" spans="1:30">
      <c r="A109" s="4" t="str">
        <f t="shared" si="2"/>
        <v/>
      </c>
      <c r="B109" s="4"/>
      <c r="C109" s="4"/>
      <c r="D109" s="4"/>
      <c r="E109" s="4"/>
      <c r="F109" s="4"/>
      <c r="G109" s="6"/>
      <c r="H109" s="4"/>
      <c r="I109" s="4"/>
      <c r="J109" s="4"/>
      <c r="K109" s="4" t="str">
        <f t="shared" ca="1" si="3"/>
        <v>Sin fecha</v>
      </c>
      <c r="L109" s="8"/>
      <c r="M109" s="8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6"/>
      <c r="AC109" s="4"/>
      <c r="AD109" s="4"/>
    </row>
    <row r="110" spans="1:30">
      <c r="A110" s="4" t="str">
        <f t="shared" si="2"/>
        <v/>
      </c>
      <c r="B110" s="4"/>
      <c r="C110" s="4"/>
      <c r="D110" s="4"/>
      <c r="E110" s="4"/>
      <c r="F110" s="4"/>
      <c r="G110" s="6"/>
      <c r="H110" s="4"/>
      <c r="I110" s="4"/>
      <c r="J110" s="4"/>
      <c r="K110" s="4" t="str">
        <f t="shared" ca="1" si="3"/>
        <v>Sin fecha</v>
      </c>
      <c r="L110" s="8"/>
      <c r="M110" s="8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6"/>
      <c r="AC110" s="4"/>
      <c r="AD110" s="4"/>
    </row>
    <row r="111" spans="1:30">
      <c r="A111" s="4" t="str">
        <f t="shared" si="2"/>
        <v/>
      </c>
      <c r="B111" s="4"/>
      <c r="C111" s="4"/>
      <c r="D111" s="4"/>
      <c r="E111" s="4"/>
      <c r="F111" s="4"/>
      <c r="G111" s="6"/>
      <c r="H111" s="4"/>
      <c r="I111" s="4"/>
      <c r="J111" s="4"/>
      <c r="K111" s="4" t="str">
        <f t="shared" ca="1" si="3"/>
        <v>Sin fecha</v>
      </c>
      <c r="L111" s="8"/>
      <c r="M111" s="8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6"/>
      <c r="AC111" s="4"/>
      <c r="AD111" s="4"/>
    </row>
    <row r="112" spans="1:30">
      <c r="A112" s="4" t="str">
        <f t="shared" si="2"/>
        <v/>
      </c>
      <c r="B112" s="4"/>
      <c r="C112" s="4"/>
      <c r="D112" s="4"/>
      <c r="E112" s="4"/>
      <c r="F112" s="4"/>
      <c r="G112" s="6"/>
      <c r="H112" s="4"/>
      <c r="I112" s="4"/>
      <c r="J112" s="4"/>
      <c r="K112" s="4" t="str">
        <f t="shared" ca="1" si="3"/>
        <v>Sin fecha</v>
      </c>
      <c r="L112" s="8"/>
      <c r="M112" s="8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6"/>
      <c r="AC112" s="4"/>
      <c r="AD112" s="4"/>
    </row>
    <row r="113" spans="1:30">
      <c r="A113" s="4" t="str">
        <f t="shared" si="2"/>
        <v/>
      </c>
      <c r="B113" s="4"/>
      <c r="C113" s="4"/>
      <c r="D113" s="4"/>
      <c r="E113" s="4"/>
      <c r="F113" s="4"/>
      <c r="G113" s="6"/>
      <c r="H113" s="4"/>
      <c r="I113" s="4"/>
      <c r="J113" s="4"/>
      <c r="K113" s="4" t="str">
        <f t="shared" ca="1" si="3"/>
        <v>Sin fecha</v>
      </c>
      <c r="L113" s="8"/>
      <c r="M113" s="8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6"/>
      <c r="AC113" s="4"/>
      <c r="AD113" s="4"/>
    </row>
    <row r="114" spans="1:30">
      <c r="A114" s="4" t="str">
        <f t="shared" si="2"/>
        <v/>
      </c>
      <c r="B114" s="4"/>
      <c r="C114" s="4"/>
      <c r="D114" s="4"/>
      <c r="E114" s="4"/>
      <c r="F114" s="4"/>
      <c r="G114" s="6"/>
      <c r="H114" s="4"/>
      <c r="I114" s="4"/>
      <c r="J114" s="4"/>
      <c r="K114" s="4" t="str">
        <f t="shared" ca="1" si="3"/>
        <v>Sin fecha</v>
      </c>
      <c r="L114" s="8"/>
      <c r="M114" s="8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6"/>
      <c r="AC114" s="4"/>
      <c r="AD114" s="4"/>
    </row>
    <row r="115" spans="1:30">
      <c r="A115" s="4" t="str">
        <f t="shared" si="2"/>
        <v/>
      </c>
      <c r="B115" s="4"/>
      <c r="C115" s="4"/>
      <c r="D115" s="4"/>
      <c r="E115" s="4"/>
      <c r="F115" s="4"/>
      <c r="G115" s="6"/>
      <c r="H115" s="4"/>
      <c r="I115" s="4"/>
      <c r="J115" s="4"/>
      <c r="K115" s="4" t="str">
        <f t="shared" ca="1" si="3"/>
        <v>Sin fecha</v>
      </c>
      <c r="L115" s="8"/>
      <c r="M115" s="8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6"/>
      <c r="AC115" s="4"/>
      <c r="AD115" s="4"/>
    </row>
    <row r="116" spans="1:30">
      <c r="A116" s="4" t="str">
        <f t="shared" si="2"/>
        <v/>
      </c>
      <c r="B116" s="4"/>
      <c r="C116" s="4"/>
      <c r="D116" s="4"/>
      <c r="E116" s="4"/>
      <c r="F116" s="4"/>
      <c r="G116" s="6"/>
      <c r="H116" s="4"/>
      <c r="I116" s="4"/>
      <c r="J116" s="4"/>
      <c r="K116" s="4" t="str">
        <f t="shared" ca="1" si="3"/>
        <v>Sin fecha</v>
      </c>
      <c r="L116" s="8"/>
      <c r="M116" s="8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6"/>
      <c r="AC116" s="4"/>
      <c r="AD116" s="4"/>
    </row>
    <row r="117" spans="1:30">
      <c r="A117" s="4" t="str">
        <f t="shared" si="2"/>
        <v/>
      </c>
      <c r="B117" s="4"/>
      <c r="C117" s="4"/>
      <c r="D117" s="4"/>
      <c r="E117" s="4"/>
      <c r="F117" s="4"/>
      <c r="G117" s="6"/>
      <c r="H117" s="4"/>
      <c r="I117" s="4"/>
      <c r="J117" s="4"/>
      <c r="K117" s="4" t="str">
        <f t="shared" ca="1" si="3"/>
        <v>Sin fecha</v>
      </c>
      <c r="L117" s="8"/>
      <c r="M117" s="8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6"/>
      <c r="AC117" s="4"/>
      <c r="AD117" s="4"/>
    </row>
    <row r="118" spans="1:30">
      <c r="A118" s="4" t="str">
        <f t="shared" si="2"/>
        <v/>
      </c>
      <c r="B118" s="4"/>
      <c r="C118" s="4"/>
      <c r="D118" s="4"/>
      <c r="E118" s="4"/>
      <c r="F118" s="4"/>
      <c r="G118" s="6"/>
      <c r="H118" s="4"/>
      <c r="I118" s="4"/>
      <c r="J118" s="4"/>
      <c r="K118" s="4" t="str">
        <f t="shared" ca="1" si="3"/>
        <v>Sin fecha</v>
      </c>
      <c r="L118" s="8"/>
      <c r="M118" s="8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6"/>
      <c r="AC118" s="4"/>
      <c r="AD118" s="4"/>
    </row>
    <row r="119" spans="1:30">
      <c r="A119" s="4" t="str">
        <f t="shared" si="2"/>
        <v/>
      </c>
      <c r="B119" s="4"/>
      <c r="C119" s="4"/>
      <c r="D119" s="4"/>
      <c r="E119" s="4"/>
      <c r="F119" s="4"/>
      <c r="G119" s="6"/>
      <c r="H119" s="4"/>
      <c r="I119" s="4"/>
      <c r="J119" s="4"/>
      <c r="K119" s="4" t="str">
        <f t="shared" ref="K119:K127" ca="1" si="4">IF(J119="Cerrada","Cerrada",IF(J119="Suspendida","Suspendida",IF(G119="","Sin fecha",IF(G119&lt;TODAY(),"Vencida",IF(G119-TODAY()&lt;=30,"Próxima a vencer","Abierta")))))</f>
        <v>Sin fecha</v>
      </c>
      <c r="L119" s="8"/>
      <c r="M119" s="8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6"/>
      <c r="AC119" s="4"/>
      <c r="AD119" s="4"/>
    </row>
    <row r="120" spans="1:30">
      <c r="A120" s="4" t="str">
        <f t="shared" si="2"/>
        <v/>
      </c>
      <c r="B120" s="4"/>
      <c r="C120" s="4"/>
      <c r="D120" s="4"/>
      <c r="E120" s="4"/>
      <c r="F120" s="4"/>
      <c r="G120" s="6"/>
      <c r="H120" s="4"/>
      <c r="I120" s="4"/>
      <c r="J120" s="4"/>
      <c r="K120" s="4" t="str">
        <f t="shared" ca="1" si="4"/>
        <v>Sin fecha</v>
      </c>
      <c r="L120" s="8"/>
      <c r="M120" s="8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6"/>
      <c r="AC120" s="4"/>
      <c r="AD120" s="4"/>
    </row>
    <row r="121" spans="1:30">
      <c r="A121" s="4" t="str">
        <f t="shared" si="2"/>
        <v/>
      </c>
      <c r="B121" s="4"/>
      <c r="C121" s="4"/>
      <c r="D121" s="4"/>
      <c r="E121" s="4"/>
      <c r="F121" s="4"/>
      <c r="G121" s="6"/>
      <c r="H121" s="4"/>
      <c r="I121" s="4"/>
      <c r="J121" s="4"/>
      <c r="K121" s="4" t="str">
        <f t="shared" ca="1" si="4"/>
        <v>Sin fecha</v>
      </c>
      <c r="L121" s="8"/>
      <c r="M121" s="8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6"/>
      <c r="AC121" s="4"/>
      <c r="AD121" s="4"/>
    </row>
    <row r="122" spans="1:30">
      <c r="A122" s="4" t="str">
        <f t="shared" si="2"/>
        <v/>
      </c>
      <c r="B122" s="4"/>
      <c r="C122" s="4"/>
      <c r="D122" s="4"/>
      <c r="E122" s="4"/>
      <c r="F122" s="4"/>
      <c r="G122" s="6"/>
      <c r="H122" s="4"/>
      <c r="I122" s="4"/>
      <c r="J122" s="4"/>
      <c r="K122" s="4" t="str">
        <f t="shared" ca="1" si="4"/>
        <v>Sin fecha</v>
      </c>
      <c r="L122" s="8"/>
      <c r="M122" s="8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6"/>
      <c r="AC122" s="4"/>
      <c r="AD122" s="4"/>
    </row>
    <row r="123" spans="1:30">
      <c r="A123" s="4" t="str">
        <f t="shared" si="2"/>
        <v/>
      </c>
      <c r="B123" s="4"/>
      <c r="C123" s="4"/>
      <c r="D123" s="4"/>
      <c r="E123" s="4"/>
      <c r="F123" s="4"/>
      <c r="G123" s="6"/>
      <c r="H123" s="4"/>
      <c r="I123" s="4"/>
      <c r="J123" s="4"/>
      <c r="K123" s="4" t="str">
        <f t="shared" ca="1" si="4"/>
        <v>Sin fecha</v>
      </c>
      <c r="L123" s="8"/>
      <c r="M123" s="8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6"/>
      <c r="AC123" s="4"/>
      <c r="AD123" s="4"/>
    </row>
    <row r="124" spans="1:30">
      <c r="A124" s="4" t="str">
        <f t="shared" si="2"/>
        <v/>
      </c>
      <c r="B124" s="4"/>
      <c r="C124" s="4"/>
      <c r="D124" s="4"/>
      <c r="E124" s="4"/>
      <c r="F124" s="4"/>
      <c r="G124" s="6"/>
      <c r="H124" s="4"/>
      <c r="I124" s="4"/>
      <c r="J124" s="4"/>
      <c r="K124" s="4" t="str">
        <f t="shared" ca="1" si="4"/>
        <v>Sin fecha</v>
      </c>
      <c r="L124" s="8"/>
      <c r="M124" s="8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6"/>
      <c r="AC124" s="4"/>
      <c r="AD124" s="4"/>
    </row>
    <row r="125" spans="1:30">
      <c r="A125" s="4" t="str">
        <f t="shared" si="2"/>
        <v/>
      </c>
      <c r="B125" s="4"/>
      <c r="C125" s="4"/>
      <c r="D125" s="4"/>
      <c r="E125" s="4"/>
      <c r="F125" s="4"/>
      <c r="G125" s="6"/>
      <c r="H125" s="4"/>
      <c r="I125" s="4"/>
      <c r="J125" s="4"/>
      <c r="K125" s="4" t="str">
        <f t="shared" ca="1" si="4"/>
        <v>Sin fecha</v>
      </c>
      <c r="L125" s="8"/>
      <c r="M125" s="8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6"/>
      <c r="AC125" s="4"/>
      <c r="AD125" s="4"/>
    </row>
    <row r="126" spans="1:30">
      <c r="A126" s="4" t="str">
        <f t="shared" si="2"/>
        <v/>
      </c>
      <c r="B126" s="4"/>
      <c r="C126" s="4"/>
      <c r="D126" s="4"/>
      <c r="E126" s="4"/>
      <c r="F126" s="4"/>
      <c r="G126" s="6"/>
      <c r="H126" s="4"/>
      <c r="I126" s="4"/>
      <c r="J126" s="4"/>
      <c r="K126" s="4" t="str">
        <f t="shared" ca="1" si="4"/>
        <v>Sin fecha</v>
      </c>
      <c r="L126" s="8"/>
      <c r="M126" s="8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6"/>
      <c r="AC126" s="4"/>
      <c r="AD126" s="4"/>
    </row>
    <row r="127" spans="1:30">
      <c r="A127" s="4" t="str">
        <f t="shared" si="2"/>
        <v/>
      </c>
      <c r="B127" s="4"/>
      <c r="C127" s="4"/>
      <c r="D127" s="4"/>
      <c r="E127" s="4"/>
      <c r="F127" s="4"/>
      <c r="G127" s="6"/>
      <c r="H127" s="4"/>
      <c r="I127" s="4"/>
      <c r="J127" s="4"/>
      <c r="K127" s="4" t="str">
        <f t="shared" ca="1" si="4"/>
        <v>Sin fecha</v>
      </c>
      <c r="L127" s="8"/>
      <c r="M127" s="8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6"/>
      <c r="AC127" s="4"/>
      <c r="AD127" s="4"/>
    </row>
    <row r="128" spans="1:30">
      <c r="A128" s="4" t="str">
        <f t="shared" si="2"/>
        <v/>
      </c>
      <c r="B128" s="4"/>
      <c r="C128" s="4"/>
      <c r="D128" s="4"/>
      <c r="E128" s="4"/>
      <c r="F128" s="4"/>
      <c r="G128" s="6"/>
      <c r="H128" s="4"/>
      <c r="I128" s="4"/>
      <c r="J128" s="4"/>
      <c r="K128" s="4" t="str">
        <f t="shared" ref="K128:K191" ca="1" si="5">IF(J128="Cerrada","Cerrada",IF(J128="Suspendida","Suspendida",IF(G128="","Sin fecha",IF(G128&lt;TODAY(),"Vencida",IF(G128-TODAY()&lt;=30,"Próxima a vencer","Abierta")))))</f>
        <v>Sin fecha</v>
      </c>
      <c r="L128" s="8"/>
      <c r="M128" s="8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6"/>
      <c r="AC128" s="4"/>
      <c r="AD128" s="4"/>
    </row>
    <row r="129" spans="1:30">
      <c r="A129" s="4" t="str">
        <f t="shared" ref="A129:A192" si="6">IF(C129="","","OP-"&amp;TEXT(ROW()-1,"0000"))</f>
        <v/>
      </c>
      <c r="B129" s="4"/>
      <c r="C129" s="4"/>
      <c r="D129" s="4"/>
      <c r="E129" s="4"/>
      <c r="F129" s="4"/>
      <c r="G129" s="6"/>
      <c r="H129" s="4"/>
      <c r="I129" s="4"/>
      <c r="J129" s="4"/>
      <c r="K129" s="4" t="str">
        <f t="shared" ca="1" si="5"/>
        <v>Sin fecha</v>
      </c>
      <c r="L129" s="8"/>
      <c r="M129" s="8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6"/>
      <c r="AC129" s="4"/>
      <c r="AD129" s="4"/>
    </row>
    <row r="130" spans="1:30">
      <c r="A130" s="4" t="str">
        <f t="shared" si="6"/>
        <v/>
      </c>
      <c r="B130" s="4"/>
      <c r="C130" s="4"/>
      <c r="D130" s="4"/>
      <c r="E130" s="4"/>
      <c r="F130" s="4"/>
      <c r="G130" s="6"/>
      <c r="H130" s="4"/>
      <c r="I130" s="4"/>
      <c r="J130" s="4"/>
      <c r="K130" s="4" t="str">
        <f t="shared" ca="1" si="5"/>
        <v>Sin fecha</v>
      </c>
      <c r="L130" s="8"/>
      <c r="M130" s="8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6"/>
      <c r="AC130" s="4"/>
      <c r="AD130" s="4"/>
    </row>
    <row r="131" spans="1:30">
      <c r="A131" s="4" t="str">
        <f t="shared" si="6"/>
        <v/>
      </c>
      <c r="B131" s="4"/>
      <c r="C131" s="4"/>
      <c r="D131" s="4"/>
      <c r="E131" s="4"/>
      <c r="F131" s="4"/>
      <c r="G131" s="6"/>
      <c r="H131" s="4"/>
      <c r="I131" s="4"/>
      <c r="J131" s="4"/>
      <c r="K131" s="4" t="str">
        <f t="shared" ca="1" si="5"/>
        <v>Sin fecha</v>
      </c>
      <c r="L131" s="8"/>
      <c r="M131" s="8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6"/>
      <c r="AC131" s="4"/>
      <c r="AD131" s="4"/>
    </row>
    <row r="132" spans="1:30">
      <c r="A132" s="4" t="str">
        <f t="shared" si="6"/>
        <v/>
      </c>
      <c r="B132" s="4"/>
      <c r="C132" s="4"/>
      <c r="D132" s="4"/>
      <c r="E132" s="4"/>
      <c r="F132" s="4"/>
      <c r="G132" s="6"/>
      <c r="H132" s="4"/>
      <c r="I132" s="4"/>
      <c r="J132" s="4"/>
      <c r="K132" s="4" t="str">
        <f t="shared" ca="1" si="5"/>
        <v>Sin fecha</v>
      </c>
      <c r="L132" s="8"/>
      <c r="M132" s="8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6"/>
      <c r="AC132" s="4"/>
      <c r="AD132" s="4"/>
    </row>
    <row r="133" spans="1:30">
      <c r="A133" s="4" t="str">
        <f t="shared" si="6"/>
        <v/>
      </c>
      <c r="B133" s="4"/>
      <c r="C133" s="4"/>
      <c r="D133" s="4"/>
      <c r="E133" s="4"/>
      <c r="F133" s="4"/>
      <c r="G133" s="6"/>
      <c r="H133" s="4"/>
      <c r="I133" s="4"/>
      <c r="J133" s="4"/>
      <c r="K133" s="4" t="str">
        <f t="shared" ca="1" si="5"/>
        <v>Sin fecha</v>
      </c>
      <c r="L133" s="8"/>
      <c r="M133" s="8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6"/>
      <c r="AC133" s="4"/>
      <c r="AD133" s="4"/>
    </row>
    <row r="134" spans="1:30">
      <c r="A134" s="4" t="str">
        <f t="shared" si="6"/>
        <v/>
      </c>
      <c r="B134" s="4"/>
      <c r="C134" s="4"/>
      <c r="D134" s="4"/>
      <c r="E134" s="4"/>
      <c r="F134" s="4"/>
      <c r="G134" s="6"/>
      <c r="H134" s="4"/>
      <c r="I134" s="4"/>
      <c r="J134" s="4"/>
      <c r="K134" s="4" t="str">
        <f t="shared" ca="1" si="5"/>
        <v>Sin fecha</v>
      </c>
      <c r="L134" s="8"/>
      <c r="M134" s="8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6"/>
      <c r="AC134" s="4"/>
      <c r="AD134" s="4"/>
    </row>
    <row r="135" spans="1:30">
      <c r="A135" s="4" t="str">
        <f t="shared" si="6"/>
        <v/>
      </c>
      <c r="B135" s="4"/>
      <c r="C135" s="4"/>
      <c r="D135" s="4"/>
      <c r="E135" s="4"/>
      <c r="F135" s="4"/>
      <c r="G135" s="6"/>
      <c r="H135" s="4"/>
      <c r="I135" s="4"/>
      <c r="J135" s="4"/>
      <c r="K135" s="4" t="str">
        <f t="shared" ca="1" si="5"/>
        <v>Sin fecha</v>
      </c>
      <c r="L135" s="8"/>
      <c r="M135" s="8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6"/>
      <c r="AC135" s="4"/>
      <c r="AD135" s="4"/>
    </row>
    <row r="136" spans="1:30">
      <c r="A136" s="4" t="str">
        <f t="shared" si="6"/>
        <v/>
      </c>
      <c r="B136" s="4"/>
      <c r="C136" s="4"/>
      <c r="D136" s="4"/>
      <c r="E136" s="4"/>
      <c r="F136" s="4"/>
      <c r="G136" s="6"/>
      <c r="H136" s="4"/>
      <c r="I136" s="4"/>
      <c r="J136" s="4"/>
      <c r="K136" s="4" t="str">
        <f t="shared" ca="1" si="5"/>
        <v>Sin fecha</v>
      </c>
      <c r="L136" s="8"/>
      <c r="M136" s="8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6"/>
      <c r="AC136" s="4"/>
      <c r="AD136" s="4"/>
    </row>
    <row r="137" spans="1:30">
      <c r="A137" s="4" t="str">
        <f t="shared" si="6"/>
        <v/>
      </c>
      <c r="B137" s="4"/>
      <c r="C137" s="4"/>
      <c r="D137" s="4"/>
      <c r="E137" s="4"/>
      <c r="F137" s="4"/>
      <c r="G137" s="6"/>
      <c r="H137" s="4"/>
      <c r="I137" s="4"/>
      <c r="J137" s="4"/>
      <c r="K137" s="4" t="str">
        <f t="shared" ca="1" si="5"/>
        <v>Sin fecha</v>
      </c>
      <c r="L137" s="8"/>
      <c r="M137" s="8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6"/>
      <c r="AC137" s="4"/>
      <c r="AD137" s="4"/>
    </row>
    <row r="138" spans="1:30">
      <c r="A138" s="4" t="str">
        <f t="shared" si="6"/>
        <v/>
      </c>
      <c r="B138" s="4"/>
      <c r="C138" s="4"/>
      <c r="D138" s="4"/>
      <c r="E138" s="4"/>
      <c r="F138" s="4"/>
      <c r="G138" s="6"/>
      <c r="H138" s="4"/>
      <c r="I138" s="4"/>
      <c r="J138" s="4"/>
      <c r="K138" s="4" t="str">
        <f t="shared" ca="1" si="5"/>
        <v>Sin fecha</v>
      </c>
      <c r="L138" s="8"/>
      <c r="M138" s="8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6"/>
      <c r="AC138" s="4"/>
      <c r="AD138" s="4"/>
    </row>
    <row r="139" spans="1:30">
      <c r="A139" s="4" t="str">
        <f t="shared" si="6"/>
        <v/>
      </c>
      <c r="B139" s="4"/>
      <c r="C139" s="4"/>
      <c r="D139" s="4"/>
      <c r="E139" s="4"/>
      <c r="F139" s="4"/>
      <c r="G139" s="6"/>
      <c r="H139" s="4"/>
      <c r="I139" s="4"/>
      <c r="J139" s="4"/>
      <c r="K139" s="4" t="str">
        <f t="shared" ca="1" si="5"/>
        <v>Sin fecha</v>
      </c>
      <c r="L139" s="8"/>
      <c r="M139" s="8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6"/>
      <c r="AC139" s="4"/>
      <c r="AD139" s="4"/>
    </row>
    <row r="140" spans="1:30">
      <c r="A140" s="4" t="str">
        <f t="shared" si="6"/>
        <v/>
      </c>
      <c r="B140" s="4"/>
      <c r="C140" s="4"/>
      <c r="D140" s="4"/>
      <c r="E140" s="4"/>
      <c r="F140" s="4"/>
      <c r="G140" s="6"/>
      <c r="H140" s="4"/>
      <c r="I140" s="4"/>
      <c r="J140" s="4"/>
      <c r="K140" s="4" t="str">
        <f t="shared" ca="1" si="5"/>
        <v>Sin fecha</v>
      </c>
      <c r="L140" s="8"/>
      <c r="M140" s="8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6"/>
      <c r="AC140" s="4"/>
      <c r="AD140" s="4"/>
    </row>
    <row r="141" spans="1:30">
      <c r="A141" s="4" t="str">
        <f t="shared" si="6"/>
        <v/>
      </c>
      <c r="B141" s="4"/>
      <c r="C141" s="4"/>
      <c r="D141" s="4"/>
      <c r="E141" s="4"/>
      <c r="F141" s="4"/>
      <c r="G141" s="6"/>
      <c r="H141" s="4"/>
      <c r="I141" s="4"/>
      <c r="J141" s="4"/>
      <c r="K141" s="4" t="str">
        <f t="shared" ca="1" si="5"/>
        <v>Sin fecha</v>
      </c>
      <c r="L141" s="8"/>
      <c r="M141" s="8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6"/>
      <c r="AC141" s="4"/>
      <c r="AD141" s="4"/>
    </row>
    <row r="142" spans="1:30">
      <c r="A142" s="4" t="str">
        <f t="shared" si="6"/>
        <v/>
      </c>
      <c r="B142" s="4"/>
      <c r="C142" s="4"/>
      <c r="D142" s="4"/>
      <c r="E142" s="4"/>
      <c r="F142" s="4"/>
      <c r="G142" s="6"/>
      <c r="H142" s="4"/>
      <c r="I142" s="4"/>
      <c r="J142" s="4"/>
      <c r="K142" s="4" t="str">
        <f t="shared" ca="1" si="5"/>
        <v>Sin fecha</v>
      </c>
      <c r="L142" s="8"/>
      <c r="M142" s="8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6"/>
      <c r="AC142" s="4"/>
      <c r="AD142" s="4"/>
    </row>
    <row r="143" spans="1:30">
      <c r="A143" s="4" t="str">
        <f t="shared" si="6"/>
        <v/>
      </c>
      <c r="B143" s="4"/>
      <c r="C143" s="4"/>
      <c r="D143" s="4"/>
      <c r="E143" s="4"/>
      <c r="F143" s="4"/>
      <c r="G143" s="6"/>
      <c r="H143" s="4"/>
      <c r="I143" s="4"/>
      <c r="J143" s="4"/>
      <c r="K143" s="4" t="str">
        <f t="shared" ca="1" si="5"/>
        <v>Sin fecha</v>
      </c>
      <c r="L143" s="8"/>
      <c r="M143" s="8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6"/>
      <c r="AC143" s="4"/>
      <c r="AD143" s="4"/>
    </row>
    <row r="144" spans="1:30">
      <c r="A144" s="4" t="str">
        <f t="shared" si="6"/>
        <v/>
      </c>
      <c r="B144" s="4"/>
      <c r="C144" s="4"/>
      <c r="D144" s="4"/>
      <c r="E144" s="4"/>
      <c r="F144" s="4"/>
      <c r="G144" s="6"/>
      <c r="H144" s="4"/>
      <c r="I144" s="4"/>
      <c r="J144" s="4"/>
      <c r="K144" s="4" t="str">
        <f t="shared" ca="1" si="5"/>
        <v>Sin fecha</v>
      </c>
      <c r="L144" s="8"/>
      <c r="M144" s="8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6"/>
      <c r="AC144" s="4"/>
      <c r="AD144" s="4"/>
    </row>
    <row r="145" spans="1:30">
      <c r="A145" s="4" t="str">
        <f t="shared" si="6"/>
        <v/>
      </c>
      <c r="B145" s="4"/>
      <c r="C145" s="4"/>
      <c r="D145" s="4"/>
      <c r="E145" s="4"/>
      <c r="F145" s="4"/>
      <c r="G145" s="6"/>
      <c r="H145" s="4"/>
      <c r="I145" s="4"/>
      <c r="J145" s="4"/>
      <c r="K145" s="4" t="str">
        <f t="shared" ca="1" si="5"/>
        <v>Sin fecha</v>
      </c>
      <c r="L145" s="8"/>
      <c r="M145" s="8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6"/>
      <c r="AC145" s="4"/>
      <c r="AD145" s="4"/>
    </row>
    <row r="146" spans="1:30">
      <c r="A146" s="4" t="str">
        <f t="shared" si="6"/>
        <v/>
      </c>
      <c r="B146" s="4"/>
      <c r="C146" s="4"/>
      <c r="D146" s="4"/>
      <c r="E146" s="4"/>
      <c r="F146" s="4"/>
      <c r="G146" s="6"/>
      <c r="H146" s="4"/>
      <c r="I146" s="4"/>
      <c r="J146" s="4"/>
      <c r="K146" s="4" t="str">
        <f t="shared" ca="1" si="5"/>
        <v>Sin fecha</v>
      </c>
      <c r="L146" s="8"/>
      <c r="M146" s="8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6"/>
      <c r="AC146" s="4"/>
      <c r="AD146" s="4"/>
    </row>
    <row r="147" spans="1:30">
      <c r="A147" s="4" t="str">
        <f t="shared" si="6"/>
        <v/>
      </c>
      <c r="B147" s="4"/>
      <c r="C147" s="4"/>
      <c r="D147" s="4"/>
      <c r="E147" s="4"/>
      <c r="F147" s="4"/>
      <c r="G147" s="6"/>
      <c r="H147" s="4"/>
      <c r="I147" s="4"/>
      <c r="J147" s="4"/>
      <c r="K147" s="4" t="str">
        <f t="shared" ca="1" si="5"/>
        <v>Sin fecha</v>
      </c>
      <c r="L147" s="8"/>
      <c r="M147" s="8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6"/>
      <c r="AC147" s="4"/>
      <c r="AD147" s="4"/>
    </row>
    <row r="148" spans="1:30">
      <c r="A148" s="4" t="str">
        <f t="shared" si="6"/>
        <v/>
      </c>
      <c r="B148" s="4"/>
      <c r="C148" s="4"/>
      <c r="D148" s="4"/>
      <c r="E148" s="4"/>
      <c r="F148" s="4"/>
      <c r="G148" s="6"/>
      <c r="H148" s="4"/>
      <c r="I148" s="4"/>
      <c r="J148" s="4"/>
      <c r="K148" s="4" t="str">
        <f t="shared" ca="1" si="5"/>
        <v>Sin fecha</v>
      </c>
      <c r="L148" s="8"/>
      <c r="M148" s="8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6"/>
      <c r="AC148" s="4"/>
      <c r="AD148" s="4"/>
    </row>
    <row r="149" spans="1:30">
      <c r="A149" s="4" t="str">
        <f t="shared" si="6"/>
        <v/>
      </c>
      <c r="B149" s="4"/>
      <c r="C149" s="4"/>
      <c r="D149" s="4"/>
      <c r="E149" s="4"/>
      <c r="F149" s="4"/>
      <c r="G149" s="6"/>
      <c r="H149" s="4"/>
      <c r="I149" s="4"/>
      <c r="J149" s="4"/>
      <c r="K149" s="4" t="str">
        <f t="shared" ca="1" si="5"/>
        <v>Sin fecha</v>
      </c>
      <c r="L149" s="8"/>
      <c r="M149" s="8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6"/>
      <c r="AC149" s="4"/>
      <c r="AD149" s="4"/>
    </row>
    <row r="150" spans="1:30">
      <c r="A150" s="4" t="str">
        <f t="shared" si="6"/>
        <v/>
      </c>
      <c r="B150" s="4"/>
      <c r="C150" s="4"/>
      <c r="D150" s="4"/>
      <c r="E150" s="4"/>
      <c r="F150" s="4"/>
      <c r="G150" s="6"/>
      <c r="H150" s="4"/>
      <c r="I150" s="4"/>
      <c r="J150" s="4"/>
      <c r="K150" s="4" t="str">
        <f t="shared" ca="1" si="5"/>
        <v>Sin fecha</v>
      </c>
      <c r="L150" s="8"/>
      <c r="M150" s="8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6"/>
      <c r="AC150" s="4"/>
      <c r="AD150" s="4"/>
    </row>
    <row r="151" spans="1:30">
      <c r="A151" s="4" t="str">
        <f t="shared" si="6"/>
        <v/>
      </c>
      <c r="B151" s="4"/>
      <c r="C151" s="4"/>
      <c r="D151" s="4"/>
      <c r="E151" s="4"/>
      <c r="F151" s="4"/>
      <c r="G151" s="6"/>
      <c r="H151" s="4"/>
      <c r="I151" s="4"/>
      <c r="J151" s="4"/>
      <c r="K151" s="4" t="str">
        <f t="shared" ca="1" si="5"/>
        <v>Sin fecha</v>
      </c>
      <c r="L151" s="8"/>
      <c r="M151" s="8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6"/>
      <c r="AC151" s="4"/>
      <c r="AD151" s="4"/>
    </row>
    <row r="152" spans="1:30">
      <c r="A152" s="4" t="str">
        <f t="shared" si="6"/>
        <v/>
      </c>
      <c r="B152" s="4"/>
      <c r="C152" s="4"/>
      <c r="D152" s="4"/>
      <c r="E152" s="4"/>
      <c r="F152" s="4"/>
      <c r="G152" s="6"/>
      <c r="H152" s="4"/>
      <c r="I152" s="4"/>
      <c r="J152" s="4"/>
      <c r="K152" s="4" t="str">
        <f t="shared" ca="1" si="5"/>
        <v>Sin fecha</v>
      </c>
      <c r="L152" s="8"/>
      <c r="M152" s="8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6"/>
      <c r="AC152" s="4"/>
      <c r="AD152" s="4"/>
    </row>
    <row r="153" spans="1:30">
      <c r="A153" s="4" t="str">
        <f t="shared" si="6"/>
        <v/>
      </c>
      <c r="B153" s="4"/>
      <c r="C153" s="4"/>
      <c r="D153" s="4"/>
      <c r="E153" s="4"/>
      <c r="F153" s="4"/>
      <c r="G153" s="6"/>
      <c r="H153" s="4"/>
      <c r="I153" s="4"/>
      <c r="J153" s="4"/>
      <c r="K153" s="4" t="str">
        <f t="shared" ca="1" si="5"/>
        <v>Sin fecha</v>
      </c>
      <c r="L153" s="8"/>
      <c r="M153" s="8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6"/>
      <c r="AC153" s="4"/>
      <c r="AD153" s="4"/>
    </row>
    <row r="154" spans="1:30">
      <c r="A154" s="4" t="str">
        <f t="shared" si="6"/>
        <v/>
      </c>
      <c r="B154" s="4"/>
      <c r="C154" s="4"/>
      <c r="D154" s="4"/>
      <c r="E154" s="4"/>
      <c r="F154" s="4"/>
      <c r="G154" s="6"/>
      <c r="H154" s="4"/>
      <c r="I154" s="4"/>
      <c r="J154" s="4"/>
      <c r="K154" s="4" t="str">
        <f t="shared" ca="1" si="5"/>
        <v>Sin fecha</v>
      </c>
      <c r="L154" s="8"/>
      <c r="M154" s="8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6"/>
      <c r="AC154" s="4"/>
      <c r="AD154" s="4"/>
    </row>
    <row r="155" spans="1:30">
      <c r="A155" s="4" t="str">
        <f t="shared" si="6"/>
        <v/>
      </c>
      <c r="B155" s="4"/>
      <c r="C155" s="4"/>
      <c r="D155" s="4"/>
      <c r="E155" s="4"/>
      <c r="F155" s="4"/>
      <c r="G155" s="6"/>
      <c r="H155" s="4"/>
      <c r="I155" s="4"/>
      <c r="J155" s="4"/>
      <c r="K155" s="4" t="str">
        <f t="shared" ca="1" si="5"/>
        <v>Sin fecha</v>
      </c>
      <c r="L155" s="8"/>
      <c r="M155" s="8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6"/>
      <c r="AC155" s="4"/>
      <c r="AD155" s="4"/>
    </row>
    <row r="156" spans="1:30">
      <c r="A156" s="4" t="str">
        <f t="shared" si="6"/>
        <v/>
      </c>
      <c r="B156" s="4"/>
      <c r="C156" s="4"/>
      <c r="D156" s="4"/>
      <c r="E156" s="4"/>
      <c r="F156" s="4"/>
      <c r="G156" s="6"/>
      <c r="H156" s="4"/>
      <c r="I156" s="4"/>
      <c r="J156" s="4"/>
      <c r="K156" s="4" t="str">
        <f t="shared" ca="1" si="5"/>
        <v>Sin fecha</v>
      </c>
      <c r="L156" s="8"/>
      <c r="M156" s="8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6"/>
      <c r="AC156" s="4"/>
      <c r="AD156" s="4"/>
    </row>
    <row r="157" spans="1:30">
      <c r="A157" s="4" t="str">
        <f t="shared" si="6"/>
        <v/>
      </c>
      <c r="B157" s="4"/>
      <c r="C157" s="4"/>
      <c r="D157" s="4"/>
      <c r="E157" s="4"/>
      <c r="F157" s="4"/>
      <c r="G157" s="6"/>
      <c r="H157" s="4"/>
      <c r="I157" s="4"/>
      <c r="J157" s="4"/>
      <c r="K157" s="4" t="str">
        <f t="shared" ca="1" si="5"/>
        <v>Sin fecha</v>
      </c>
      <c r="L157" s="8"/>
      <c r="M157" s="8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6"/>
      <c r="AC157" s="4"/>
      <c r="AD157" s="4"/>
    </row>
    <row r="158" spans="1:30">
      <c r="A158" s="4" t="str">
        <f t="shared" si="6"/>
        <v/>
      </c>
      <c r="B158" s="4"/>
      <c r="C158" s="4"/>
      <c r="D158" s="4"/>
      <c r="E158" s="4"/>
      <c r="F158" s="4"/>
      <c r="G158" s="6"/>
      <c r="H158" s="4"/>
      <c r="I158" s="4"/>
      <c r="J158" s="4"/>
      <c r="K158" s="4" t="str">
        <f t="shared" ca="1" si="5"/>
        <v>Sin fecha</v>
      </c>
      <c r="L158" s="8"/>
      <c r="M158" s="8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6"/>
      <c r="AC158" s="4"/>
      <c r="AD158" s="4"/>
    </row>
    <row r="159" spans="1:30">
      <c r="A159" s="4" t="str">
        <f t="shared" si="6"/>
        <v/>
      </c>
      <c r="B159" s="4"/>
      <c r="C159" s="4"/>
      <c r="D159" s="4"/>
      <c r="E159" s="4"/>
      <c r="F159" s="4"/>
      <c r="G159" s="6"/>
      <c r="H159" s="4"/>
      <c r="I159" s="4"/>
      <c r="J159" s="4"/>
      <c r="K159" s="4" t="str">
        <f t="shared" ca="1" si="5"/>
        <v>Sin fecha</v>
      </c>
      <c r="L159" s="8"/>
      <c r="M159" s="8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6"/>
      <c r="AC159" s="4"/>
      <c r="AD159" s="4"/>
    </row>
    <row r="160" spans="1:30">
      <c r="A160" s="4" t="str">
        <f t="shared" si="6"/>
        <v/>
      </c>
      <c r="B160" s="4"/>
      <c r="C160" s="4"/>
      <c r="D160" s="4"/>
      <c r="E160" s="4"/>
      <c r="F160" s="4"/>
      <c r="G160" s="6"/>
      <c r="H160" s="4"/>
      <c r="I160" s="4"/>
      <c r="J160" s="4"/>
      <c r="K160" s="4" t="str">
        <f t="shared" ca="1" si="5"/>
        <v>Sin fecha</v>
      </c>
      <c r="L160" s="8"/>
      <c r="M160" s="8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6"/>
      <c r="AC160" s="4"/>
      <c r="AD160" s="4"/>
    </row>
    <row r="161" spans="1:30">
      <c r="A161" s="4" t="str">
        <f t="shared" si="6"/>
        <v/>
      </c>
      <c r="B161" s="4"/>
      <c r="C161" s="4"/>
      <c r="D161" s="4"/>
      <c r="E161" s="4"/>
      <c r="F161" s="4"/>
      <c r="G161" s="6"/>
      <c r="H161" s="4"/>
      <c r="I161" s="4"/>
      <c r="J161" s="4"/>
      <c r="K161" s="4" t="str">
        <f t="shared" ca="1" si="5"/>
        <v>Sin fecha</v>
      </c>
      <c r="L161" s="8"/>
      <c r="M161" s="8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6"/>
      <c r="AC161" s="4"/>
      <c r="AD161" s="4"/>
    </row>
    <row r="162" spans="1:30">
      <c r="A162" s="4" t="str">
        <f t="shared" si="6"/>
        <v/>
      </c>
      <c r="B162" s="4"/>
      <c r="C162" s="4"/>
      <c r="D162" s="4"/>
      <c r="E162" s="4"/>
      <c r="F162" s="4"/>
      <c r="G162" s="6"/>
      <c r="H162" s="4"/>
      <c r="I162" s="4"/>
      <c r="J162" s="4"/>
      <c r="K162" s="4" t="str">
        <f t="shared" ca="1" si="5"/>
        <v>Sin fecha</v>
      </c>
      <c r="L162" s="8"/>
      <c r="M162" s="8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6"/>
      <c r="AC162" s="4"/>
      <c r="AD162" s="4"/>
    </row>
    <row r="163" spans="1:30">
      <c r="A163" s="4" t="str">
        <f t="shared" si="6"/>
        <v/>
      </c>
      <c r="B163" s="4"/>
      <c r="C163" s="4"/>
      <c r="D163" s="4"/>
      <c r="E163" s="4"/>
      <c r="F163" s="4"/>
      <c r="G163" s="6"/>
      <c r="H163" s="4"/>
      <c r="I163" s="4"/>
      <c r="J163" s="4"/>
      <c r="K163" s="4" t="str">
        <f t="shared" ca="1" si="5"/>
        <v>Sin fecha</v>
      </c>
      <c r="L163" s="8"/>
      <c r="M163" s="8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6"/>
      <c r="AC163" s="4"/>
      <c r="AD163" s="4"/>
    </row>
    <row r="164" spans="1:30">
      <c r="A164" s="4" t="str">
        <f t="shared" si="6"/>
        <v/>
      </c>
      <c r="B164" s="4"/>
      <c r="C164" s="4"/>
      <c r="D164" s="4"/>
      <c r="E164" s="4"/>
      <c r="F164" s="4"/>
      <c r="G164" s="6"/>
      <c r="H164" s="4"/>
      <c r="I164" s="4"/>
      <c r="J164" s="4"/>
      <c r="K164" s="4" t="str">
        <f t="shared" ca="1" si="5"/>
        <v>Sin fecha</v>
      </c>
      <c r="L164" s="8"/>
      <c r="M164" s="8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6"/>
      <c r="AC164" s="4"/>
      <c r="AD164" s="4"/>
    </row>
    <row r="165" spans="1:30">
      <c r="A165" s="4" t="str">
        <f t="shared" si="6"/>
        <v/>
      </c>
      <c r="B165" s="4"/>
      <c r="C165" s="4"/>
      <c r="D165" s="4"/>
      <c r="E165" s="4"/>
      <c r="F165" s="4"/>
      <c r="G165" s="6"/>
      <c r="H165" s="4"/>
      <c r="I165" s="4"/>
      <c r="J165" s="4"/>
      <c r="K165" s="4" t="str">
        <f t="shared" ca="1" si="5"/>
        <v>Sin fecha</v>
      </c>
      <c r="L165" s="8"/>
      <c r="M165" s="8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6"/>
      <c r="AC165" s="4"/>
      <c r="AD165" s="4"/>
    </row>
    <row r="166" spans="1:30">
      <c r="A166" s="4" t="str">
        <f t="shared" si="6"/>
        <v/>
      </c>
      <c r="B166" s="4"/>
      <c r="C166" s="4"/>
      <c r="D166" s="4"/>
      <c r="E166" s="4"/>
      <c r="F166" s="4"/>
      <c r="G166" s="6"/>
      <c r="H166" s="4"/>
      <c r="I166" s="4"/>
      <c r="J166" s="4"/>
      <c r="K166" s="4" t="str">
        <f t="shared" ca="1" si="5"/>
        <v>Sin fecha</v>
      </c>
      <c r="L166" s="8"/>
      <c r="M166" s="8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6"/>
      <c r="AC166" s="4"/>
      <c r="AD166" s="4"/>
    </row>
    <row r="167" spans="1:30">
      <c r="A167" s="4" t="str">
        <f t="shared" si="6"/>
        <v/>
      </c>
      <c r="B167" s="4"/>
      <c r="C167" s="4"/>
      <c r="D167" s="4"/>
      <c r="E167" s="4"/>
      <c r="F167" s="4"/>
      <c r="G167" s="6"/>
      <c r="H167" s="4"/>
      <c r="I167" s="4"/>
      <c r="J167" s="4"/>
      <c r="K167" s="4" t="str">
        <f t="shared" ca="1" si="5"/>
        <v>Sin fecha</v>
      </c>
      <c r="L167" s="8"/>
      <c r="M167" s="8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6"/>
      <c r="AC167" s="4"/>
      <c r="AD167" s="4"/>
    </row>
    <row r="168" spans="1:30">
      <c r="A168" s="4" t="str">
        <f t="shared" si="6"/>
        <v/>
      </c>
      <c r="B168" s="4"/>
      <c r="C168" s="4"/>
      <c r="D168" s="4"/>
      <c r="E168" s="4"/>
      <c r="F168" s="4"/>
      <c r="G168" s="6"/>
      <c r="H168" s="4"/>
      <c r="I168" s="4"/>
      <c r="J168" s="4"/>
      <c r="K168" s="4" t="str">
        <f t="shared" ca="1" si="5"/>
        <v>Sin fecha</v>
      </c>
      <c r="L168" s="8"/>
      <c r="M168" s="8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6"/>
      <c r="AC168" s="4"/>
      <c r="AD168" s="4"/>
    </row>
    <row r="169" spans="1:30">
      <c r="A169" s="4" t="str">
        <f t="shared" si="6"/>
        <v/>
      </c>
      <c r="B169" s="4"/>
      <c r="C169" s="4"/>
      <c r="D169" s="4"/>
      <c r="E169" s="4"/>
      <c r="F169" s="4"/>
      <c r="G169" s="6"/>
      <c r="H169" s="4"/>
      <c r="I169" s="4"/>
      <c r="J169" s="4"/>
      <c r="K169" s="4" t="str">
        <f t="shared" ca="1" si="5"/>
        <v>Sin fecha</v>
      </c>
      <c r="L169" s="8"/>
      <c r="M169" s="8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6"/>
      <c r="AC169" s="4"/>
      <c r="AD169" s="4"/>
    </row>
    <row r="170" spans="1:30">
      <c r="A170" s="4" t="str">
        <f t="shared" si="6"/>
        <v/>
      </c>
      <c r="B170" s="4"/>
      <c r="C170" s="4"/>
      <c r="D170" s="4"/>
      <c r="E170" s="4"/>
      <c r="F170" s="4"/>
      <c r="G170" s="6"/>
      <c r="H170" s="4"/>
      <c r="I170" s="4"/>
      <c r="J170" s="4"/>
      <c r="K170" s="4" t="str">
        <f t="shared" ca="1" si="5"/>
        <v>Sin fecha</v>
      </c>
      <c r="L170" s="8"/>
      <c r="M170" s="8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6"/>
      <c r="AC170" s="4"/>
      <c r="AD170" s="4"/>
    </row>
    <row r="171" spans="1:30">
      <c r="A171" s="4" t="str">
        <f t="shared" si="6"/>
        <v/>
      </c>
      <c r="B171" s="4"/>
      <c r="C171" s="4"/>
      <c r="D171" s="4"/>
      <c r="E171" s="4"/>
      <c r="F171" s="4"/>
      <c r="G171" s="6"/>
      <c r="H171" s="4"/>
      <c r="I171" s="4"/>
      <c r="J171" s="4"/>
      <c r="K171" s="4" t="str">
        <f t="shared" ca="1" si="5"/>
        <v>Sin fecha</v>
      </c>
      <c r="L171" s="8"/>
      <c r="M171" s="8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6"/>
      <c r="AC171" s="4"/>
      <c r="AD171" s="4"/>
    </row>
    <row r="172" spans="1:30">
      <c r="A172" s="4" t="str">
        <f t="shared" si="6"/>
        <v/>
      </c>
      <c r="B172" s="4"/>
      <c r="C172" s="4"/>
      <c r="D172" s="4"/>
      <c r="E172" s="4"/>
      <c r="F172" s="4"/>
      <c r="G172" s="6"/>
      <c r="H172" s="4"/>
      <c r="I172" s="4"/>
      <c r="J172" s="4"/>
      <c r="K172" s="4" t="str">
        <f t="shared" ca="1" si="5"/>
        <v>Sin fecha</v>
      </c>
      <c r="L172" s="8"/>
      <c r="M172" s="8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6"/>
      <c r="AC172" s="4"/>
      <c r="AD172" s="4"/>
    </row>
    <row r="173" spans="1:30">
      <c r="A173" s="4" t="str">
        <f t="shared" si="6"/>
        <v/>
      </c>
      <c r="B173" s="4"/>
      <c r="C173" s="4"/>
      <c r="D173" s="4"/>
      <c r="E173" s="4"/>
      <c r="F173" s="4"/>
      <c r="G173" s="6"/>
      <c r="H173" s="4"/>
      <c r="I173" s="4"/>
      <c r="J173" s="4"/>
      <c r="K173" s="4" t="str">
        <f t="shared" ca="1" si="5"/>
        <v>Sin fecha</v>
      </c>
      <c r="L173" s="8"/>
      <c r="M173" s="8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6"/>
      <c r="AC173" s="4"/>
      <c r="AD173" s="4"/>
    </row>
    <row r="174" spans="1:30">
      <c r="A174" s="4" t="str">
        <f t="shared" si="6"/>
        <v/>
      </c>
      <c r="B174" s="4"/>
      <c r="C174" s="4"/>
      <c r="D174" s="4"/>
      <c r="E174" s="4"/>
      <c r="F174" s="4"/>
      <c r="G174" s="6"/>
      <c r="H174" s="4"/>
      <c r="I174" s="4"/>
      <c r="J174" s="4"/>
      <c r="K174" s="4" t="str">
        <f t="shared" ca="1" si="5"/>
        <v>Sin fecha</v>
      </c>
      <c r="L174" s="8"/>
      <c r="M174" s="8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6"/>
      <c r="AC174" s="4"/>
      <c r="AD174" s="4"/>
    </row>
    <row r="175" spans="1:30">
      <c r="A175" s="4" t="str">
        <f t="shared" si="6"/>
        <v/>
      </c>
      <c r="B175" s="4"/>
      <c r="C175" s="4"/>
      <c r="D175" s="4"/>
      <c r="E175" s="4"/>
      <c r="F175" s="4"/>
      <c r="G175" s="6"/>
      <c r="H175" s="4"/>
      <c r="I175" s="4"/>
      <c r="J175" s="4"/>
      <c r="K175" s="4" t="str">
        <f t="shared" ca="1" si="5"/>
        <v>Sin fecha</v>
      </c>
      <c r="L175" s="8"/>
      <c r="M175" s="8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6"/>
      <c r="AC175" s="4"/>
      <c r="AD175" s="4"/>
    </row>
    <row r="176" spans="1:30">
      <c r="A176" s="4" t="str">
        <f t="shared" si="6"/>
        <v/>
      </c>
      <c r="B176" s="4"/>
      <c r="C176" s="4"/>
      <c r="D176" s="4"/>
      <c r="E176" s="4"/>
      <c r="F176" s="4"/>
      <c r="G176" s="6"/>
      <c r="H176" s="4"/>
      <c r="I176" s="4"/>
      <c r="J176" s="4"/>
      <c r="K176" s="4" t="str">
        <f t="shared" ca="1" si="5"/>
        <v>Sin fecha</v>
      </c>
      <c r="L176" s="8"/>
      <c r="M176" s="8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6"/>
      <c r="AC176" s="4"/>
      <c r="AD176" s="4"/>
    </row>
    <row r="177" spans="1:30">
      <c r="A177" s="4" t="str">
        <f t="shared" si="6"/>
        <v/>
      </c>
      <c r="B177" s="4"/>
      <c r="C177" s="4"/>
      <c r="D177" s="4"/>
      <c r="E177" s="4"/>
      <c r="F177" s="4"/>
      <c r="G177" s="6"/>
      <c r="H177" s="4"/>
      <c r="I177" s="4"/>
      <c r="J177" s="4"/>
      <c r="K177" s="4" t="str">
        <f t="shared" ca="1" si="5"/>
        <v>Sin fecha</v>
      </c>
      <c r="L177" s="8"/>
      <c r="M177" s="8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6"/>
      <c r="AC177" s="4"/>
      <c r="AD177" s="4"/>
    </row>
    <row r="178" spans="1:30">
      <c r="A178" s="4" t="str">
        <f t="shared" si="6"/>
        <v/>
      </c>
      <c r="B178" s="4"/>
      <c r="C178" s="4"/>
      <c r="D178" s="4"/>
      <c r="E178" s="4"/>
      <c r="F178" s="4"/>
      <c r="G178" s="6"/>
      <c r="H178" s="4"/>
      <c r="I178" s="4"/>
      <c r="J178" s="4"/>
      <c r="K178" s="4" t="str">
        <f t="shared" ca="1" si="5"/>
        <v>Sin fecha</v>
      </c>
      <c r="L178" s="8"/>
      <c r="M178" s="8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6"/>
      <c r="AC178" s="4"/>
      <c r="AD178" s="4"/>
    </row>
    <row r="179" spans="1:30">
      <c r="A179" s="4" t="str">
        <f t="shared" si="6"/>
        <v/>
      </c>
      <c r="B179" s="4"/>
      <c r="C179" s="4"/>
      <c r="D179" s="4"/>
      <c r="E179" s="4"/>
      <c r="F179" s="4"/>
      <c r="G179" s="6"/>
      <c r="H179" s="4"/>
      <c r="I179" s="4"/>
      <c r="J179" s="4"/>
      <c r="K179" s="4" t="str">
        <f t="shared" ca="1" si="5"/>
        <v>Sin fecha</v>
      </c>
      <c r="L179" s="8"/>
      <c r="M179" s="8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6"/>
      <c r="AC179" s="4"/>
      <c r="AD179" s="4"/>
    </row>
    <row r="180" spans="1:30">
      <c r="A180" s="4" t="str">
        <f t="shared" si="6"/>
        <v/>
      </c>
      <c r="B180" s="4"/>
      <c r="C180" s="4"/>
      <c r="D180" s="4"/>
      <c r="E180" s="4"/>
      <c r="F180" s="4"/>
      <c r="G180" s="6"/>
      <c r="H180" s="4"/>
      <c r="I180" s="4"/>
      <c r="J180" s="4"/>
      <c r="K180" s="4" t="str">
        <f t="shared" ca="1" si="5"/>
        <v>Sin fecha</v>
      </c>
      <c r="L180" s="8"/>
      <c r="M180" s="8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6"/>
      <c r="AC180" s="4"/>
      <c r="AD180" s="4"/>
    </row>
    <row r="181" spans="1:30">
      <c r="A181" s="4" t="str">
        <f t="shared" si="6"/>
        <v/>
      </c>
      <c r="B181" s="4"/>
      <c r="C181" s="4"/>
      <c r="D181" s="4"/>
      <c r="E181" s="4"/>
      <c r="F181" s="4"/>
      <c r="G181" s="6"/>
      <c r="H181" s="4"/>
      <c r="I181" s="4"/>
      <c r="J181" s="4"/>
      <c r="K181" s="4" t="str">
        <f t="shared" ca="1" si="5"/>
        <v>Sin fecha</v>
      </c>
      <c r="L181" s="8"/>
      <c r="M181" s="8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6"/>
      <c r="AC181" s="4"/>
      <c r="AD181" s="4"/>
    </row>
    <row r="182" spans="1:30">
      <c r="A182" s="4" t="str">
        <f t="shared" si="6"/>
        <v/>
      </c>
      <c r="B182" s="4"/>
      <c r="C182" s="4"/>
      <c r="D182" s="4"/>
      <c r="E182" s="4"/>
      <c r="F182" s="4"/>
      <c r="G182" s="6"/>
      <c r="H182" s="4"/>
      <c r="I182" s="4"/>
      <c r="J182" s="4"/>
      <c r="K182" s="4" t="str">
        <f t="shared" ca="1" si="5"/>
        <v>Sin fecha</v>
      </c>
      <c r="L182" s="8"/>
      <c r="M182" s="8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6"/>
      <c r="AC182" s="4"/>
      <c r="AD182" s="4"/>
    </row>
    <row r="183" spans="1:30">
      <c r="A183" s="4" t="str">
        <f t="shared" si="6"/>
        <v/>
      </c>
      <c r="B183" s="4"/>
      <c r="C183" s="4"/>
      <c r="D183" s="4"/>
      <c r="E183" s="4"/>
      <c r="F183" s="4"/>
      <c r="G183" s="6"/>
      <c r="H183" s="4"/>
      <c r="I183" s="4"/>
      <c r="J183" s="4"/>
      <c r="K183" s="4" t="str">
        <f t="shared" ca="1" si="5"/>
        <v>Sin fecha</v>
      </c>
      <c r="L183" s="8"/>
      <c r="M183" s="8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6"/>
      <c r="AC183" s="4"/>
      <c r="AD183" s="4"/>
    </row>
    <row r="184" spans="1:30">
      <c r="A184" s="4" t="str">
        <f t="shared" si="6"/>
        <v/>
      </c>
      <c r="B184" s="4"/>
      <c r="C184" s="4"/>
      <c r="D184" s="4"/>
      <c r="E184" s="4"/>
      <c r="F184" s="4"/>
      <c r="G184" s="6"/>
      <c r="H184" s="4"/>
      <c r="I184" s="4"/>
      <c r="J184" s="4"/>
      <c r="K184" s="4" t="str">
        <f t="shared" ca="1" si="5"/>
        <v>Sin fecha</v>
      </c>
      <c r="L184" s="8"/>
      <c r="M184" s="8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6"/>
      <c r="AC184" s="4"/>
      <c r="AD184" s="4"/>
    </row>
    <row r="185" spans="1:30">
      <c r="A185" s="4" t="str">
        <f t="shared" si="6"/>
        <v/>
      </c>
      <c r="B185" s="4"/>
      <c r="C185" s="4"/>
      <c r="D185" s="4"/>
      <c r="E185" s="4"/>
      <c r="F185" s="4"/>
      <c r="G185" s="6"/>
      <c r="H185" s="4"/>
      <c r="I185" s="4"/>
      <c r="J185" s="4"/>
      <c r="K185" s="4" t="str">
        <f t="shared" ca="1" si="5"/>
        <v>Sin fecha</v>
      </c>
      <c r="L185" s="8"/>
      <c r="M185" s="8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6"/>
      <c r="AC185" s="4"/>
      <c r="AD185" s="4"/>
    </row>
    <row r="186" spans="1:30">
      <c r="A186" s="4" t="str">
        <f t="shared" si="6"/>
        <v/>
      </c>
      <c r="B186" s="4"/>
      <c r="C186" s="4"/>
      <c r="D186" s="4"/>
      <c r="E186" s="4"/>
      <c r="F186" s="4"/>
      <c r="G186" s="6"/>
      <c r="H186" s="4"/>
      <c r="I186" s="4"/>
      <c r="J186" s="4"/>
      <c r="K186" s="4" t="str">
        <f t="shared" ca="1" si="5"/>
        <v>Sin fecha</v>
      </c>
      <c r="L186" s="8"/>
      <c r="M186" s="8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6"/>
      <c r="AC186" s="4"/>
      <c r="AD186" s="4"/>
    </row>
    <row r="187" spans="1:30">
      <c r="A187" s="4" t="str">
        <f t="shared" si="6"/>
        <v/>
      </c>
      <c r="B187" s="4"/>
      <c r="C187" s="4"/>
      <c r="D187" s="4"/>
      <c r="E187" s="4"/>
      <c r="F187" s="4"/>
      <c r="G187" s="6"/>
      <c r="H187" s="4"/>
      <c r="I187" s="4"/>
      <c r="J187" s="4"/>
      <c r="K187" s="4" t="str">
        <f t="shared" ca="1" si="5"/>
        <v>Sin fecha</v>
      </c>
      <c r="L187" s="8"/>
      <c r="M187" s="8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6"/>
      <c r="AC187" s="4"/>
      <c r="AD187" s="4"/>
    </row>
    <row r="188" spans="1:30">
      <c r="A188" s="4" t="str">
        <f t="shared" si="6"/>
        <v/>
      </c>
      <c r="B188" s="4"/>
      <c r="C188" s="4"/>
      <c r="D188" s="4"/>
      <c r="E188" s="4"/>
      <c r="F188" s="4"/>
      <c r="G188" s="6"/>
      <c r="H188" s="4"/>
      <c r="I188" s="4"/>
      <c r="J188" s="4"/>
      <c r="K188" s="4" t="str">
        <f t="shared" ca="1" si="5"/>
        <v>Sin fecha</v>
      </c>
      <c r="L188" s="8"/>
      <c r="M188" s="8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6"/>
      <c r="AC188" s="4"/>
      <c r="AD188" s="4"/>
    </row>
    <row r="189" spans="1:30">
      <c r="A189" s="4" t="str">
        <f t="shared" si="6"/>
        <v/>
      </c>
      <c r="B189" s="4"/>
      <c r="C189" s="4"/>
      <c r="D189" s="4"/>
      <c r="E189" s="4"/>
      <c r="F189" s="4"/>
      <c r="G189" s="6"/>
      <c r="H189" s="4"/>
      <c r="I189" s="4"/>
      <c r="J189" s="4"/>
      <c r="K189" s="4" t="str">
        <f t="shared" ca="1" si="5"/>
        <v>Sin fecha</v>
      </c>
      <c r="L189" s="8"/>
      <c r="M189" s="8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6"/>
      <c r="AC189" s="4"/>
      <c r="AD189" s="4"/>
    </row>
    <row r="190" spans="1:30">
      <c r="A190" s="4" t="str">
        <f t="shared" si="6"/>
        <v/>
      </c>
      <c r="B190" s="4"/>
      <c r="C190" s="4"/>
      <c r="D190" s="4"/>
      <c r="E190" s="4"/>
      <c r="F190" s="4"/>
      <c r="G190" s="6"/>
      <c r="H190" s="4"/>
      <c r="I190" s="4"/>
      <c r="J190" s="4"/>
      <c r="K190" s="4" t="str">
        <f t="shared" ca="1" si="5"/>
        <v>Sin fecha</v>
      </c>
      <c r="L190" s="8"/>
      <c r="M190" s="8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6"/>
      <c r="AC190" s="4"/>
      <c r="AD190" s="4"/>
    </row>
    <row r="191" spans="1:30">
      <c r="A191" s="4" t="str">
        <f t="shared" si="6"/>
        <v/>
      </c>
      <c r="B191" s="4"/>
      <c r="C191" s="4"/>
      <c r="D191" s="4"/>
      <c r="E191" s="4"/>
      <c r="F191" s="4"/>
      <c r="G191" s="6"/>
      <c r="H191" s="4"/>
      <c r="I191" s="4"/>
      <c r="J191" s="4"/>
      <c r="K191" s="4" t="str">
        <f t="shared" ca="1" si="5"/>
        <v>Sin fecha</v>
      </c>
      <c r="L191" s="8"/>
      <c r="M191" s="8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6"/>
      <c r="AC191" s="4"/>
      <c r="AD191" s="4"/>
    </row>
    <row r="192" spans="1:30">
      <c r="A192" s="4" t="str">
        <f t="shared" si="6"/>
        <v/>
      </c>
      <c r="B192" s="4"/>
      <c r="C192" s="4"/>
      <c r="D192" s="4"/>
      <c r="E192" s="4"/>
      <c r="F192" s="4"/>
      <c r="G192" s="6"/>
      <c r="H192" s="4"/>
      <c r="I192" s="4"/>
      <c r="J192" s="4"/>
      <c r="K192" s="4" t="str">
        <f t="shared" ref="K192:K255" ca="1" si="7">IF(J192="Cerrada","Cerrada",IF(J192="Suspendida","Suspendida",IF(G192="","Sin fecha",IF(G192&lt;TODAY(),"Vencida",IF(G192-TODAY()&lt;=30,"Próxima a vencer","Abierta")))))</f>
        <v>Sin fecha</v>
      </c>
      <c r="L192" s="8"/>
      <c r="M192" s="8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6"/>
      <c r="AC192" s="4"/>
      <c r="AD192" s="4"/>
    </row>
    <row r="193" spans="1:30">
      <c r="A193" s="4" t="str">
        <f t="shared" ref="A193:A256" si="8">IF(C193="","","OP-"&amp;TEXT(ROW()-1,"0000"))</f>
        <v/>
      </c>
      <c r="B193" s="4"/>
      <c r="C193" s="4"/>
      <c r="D193" s="4"/>
      <c r="E193" s="4"/>
      <c r="F193" s="4"/>
      <c r="G193" s="6"/>
      <c r="H193" s="4"/>
      <c r="I193" s="4"/>
      <c r="J193" s="4"/>
      <c r="K193" s="4" t="str">
        <f t="shared" ca="1" si="7"/>
        <v>Sin fecha</v>
      </c>
      <c r="L193" s="8"/>
      <c r="M193" s="8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6"/>
      <c r="AC193" s="4"/>
      <c r="AD193" s="4"/>
    </row>
    <row r="194" spans="1:30">
      <c r="A194" s="4" t="str">
        <f t="shared" si="8"/>
        <v/>
      </c>
      <c r="B194" s="4"/>
      <c r="C194" s="4"/>
      <c r="D194" s="4"/>
      <c r="E194" s="4"/>
      <c r="F194" s="4"/>
      <c r="G194" s="6"/>
      <c r="H194" s="4"/>
      <c r="I194" s="4"/>
      <c r="J194" s="4"/>
      <c r="K194" s="4" t="str">
        <f t="shared" ca="1" si="7"/>
        <v>Sin fecha</v>
      </c>
      <c r="L194" s="8"/>
      <c r="M194" s="8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6"/>
      <c r="AC194" s="4"/>
      <c r="AD194" s="4"/>
    </row>
    <row r="195" spans="1:30">
      <c r="A195" s="4" t="str">
        <f t="shared" si="8"/>
        <v/>
      </c>
      <c r="B195" s="4"/>
      <c r="C195" s="4"/>
      <c r="D195" s="4"/>
      <c r="E195" s="4"/>
      <c r="F195" s="4"/>
      <c r="G195" s="6"/>
      <c r="H195" s="4"/>
      <c r="I195" s="4"/>
      <c r="J195" s="4"/>
      <c r="K195" s="4" t="str">
        <f t="shared" ca="1" si="7"/>
        <v>Sin fecha</v>
      </c>
      <c r="L195" s="8"/>
      <c r="M195" s="8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6"/>
      <c r="AC195" s="4"/>
      <c r="AD195" s="4"/>
    </row>
    <row r="196" spans="1:30">
      <c r="A196" s="4" t="str">
        <f t="shared" si="8"/>
        <v/>
      </c>
      <c r="B196" s="4"/>
      <c r="C196" s="4"/>
      <c r="D196" s="4"/>
      <c r="E196" s="4"/>
      <c r="F196" s="4"/>
      <c r="G196" s="6"/>
      <c r="H196" s="4"/>
      <c r="I196" s="4"/>
      <c r="J196" s="4"/>
      <c r="K196" s="4" t="str">
        <f t="shared" ca="1" si="7"/>
        <v>Sin fecha</v>
      </c>
      <c r="L196" s="8"/>
      <c r="M196" s="8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6"/>
      <c r="AC196" s="4"/>
      <c r="AD196" s="4"/>
    </row>
    <row r="197" spans="1:30">
      <c r="A197" s="4" t="str">
        <f t="shared" si="8"/>
        <v/>
      </c>
      <c r="B197" s="4"/>
      <c r="C197" s="4"/>
      <c r="D197" s="4"/>
      <c r="E197" s="4"/>
      <c r="F197" s="4"/>
      <c r="G197" s="6"/>
      <c r="H197" s="4"/>
      <c r="I197" s="4"/>
      <c r="J197" s="4"/>
      <c r="K197" s="4" t="str">
        <f t="shared" ca="1" si="7"/>
        <v>Sin fecha</v>
      </c>
      <c r="L197" s="8"/>
      <c r="M197" s="8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6"/>
      <c r="AC197" s="4"/>
      <c r="AD197" s="4"/>
    </row>
    <row r="198" spans="1:30">
      <c r="A198" s="4" t="str">
        <f t="shared" si="8"/>
        <v/>
      </c>
      <c r="B198" s="4"/>
      <c r="C198" s="4"/>
      <c r="D198" s="4"/>
      <c r="E198" s="4"/>
      <c r="F198" s="4"/>
      <c r="G198" s="6"/>
      <c r="H198" s="4"/>
      <c r="I198" s="4"/>
      <c r="J198" s="4"/>
      <c r="K198" s="4" t="str">
        <f t="shared" ca="1" si="7"/>
        <v>Sin fecha</v>
      </c>
      <c r="L198" s="8"/>
      <c r="M198" s="8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6"/>
      <c r="AC198" s="4"/>
      <c r="AD198" s="4"/>
    </row>
    <row r="199" spans="1:30">
      <c r="A199" s="4" t="str">
        <f t="shared" si="8"/>
        <v/>
      </c>
      <c r="B199" s="4"/>
      <c r="C199" s="4"/>
      <c r="D199" s="4"/>
      <c r="E199" s="4"/>
      <c r="F199" s="4"/>
      <c r="G199" s="6"/>
      <c r="H199" s="4"/>
      <c r="I199" s="4"/>
      <c r="J199" s="4"/>
      <c r="K199" s="4" t="str">
        <f t="shared" ca="1" si="7"/>
        <v>Sin fecha</v>
      </c>
      <c r="L199" s="8"/>
      <c r="M199" s="8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6"/>
      <c r="AC199" s="4"/>
      <c r="AD199" s="4"/>
    </row>
    <row r="200" spans="1:30">
      <c r="A200" s="4" t="str">
        <f t="shared" si="8"/>
        <v/>
      </c>
      <c r="B200" s="4"/>
      <c r="C200" s="4"/>
      <c r="D200" s="4"/>
      <c r="E200" s="4"/>
      <c r="F200" s="4"/>
      <c r="G200" s="6"/>
      <c r="H200" s="4"/>
      <c r="I200" s="4"/>
      <c r="J200" s="4"/>
      <c r="K200" s="4" t="str">
        <f t="shared" ca="1" si="7"/>
        <v>Sin fecha</v>
      </c>
      <c r="L200" s="8"/>
      <c r="M200" s="8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6"/>
      <c r="AC200" s="4"/>
      <c r="AD200" s="4"/>
    </row>
    <row r="201" spans="1:30">
      <c r="A201" s="4" t="str">
        <f t="shared" si="8"/>
        <v/>
      </c>
      <c r="B201" s="4"/>
      <c r="C201" s="4"/>
      <c r="D201" s="4"/>
      <c r="E201" s="4"/>
      <c r="F201" s="4"/>
      <c r="G201" s="6"/>
      <c r="H201" s="4"/>
      <c r="I201" s="4"/>
      <c r="J201" s="4"/>
      <c r="K201" s="4" t="str">
        <f t="shared" ca="1" si="7"/>
        <v>Sin fecha</v>
      </c>
      <c r="L201" s="8"/>
      <c r="M201" s="8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6"/>
      <c r="AC201" s="4"/>
      <c r="AD201" s="4"/>
    </row>
    <row r="202" spans="1:30">
      <c r="A202" s="4" t="str">
        <f t="shared" si="8"/>
        <v/>
      </c>
      <c r="B202" s="4"/>
      <c r="C202" s="4"/>
      <c r="D202" s="4"/>
      <c r="E202" s="4"/>
      <c r="F202" s="4"/>
      <c r="G202" s="6"/>
      <c r="H202" s="4"/>
      <c r="I202" s="4"/>
      <c r="J202" s="4"/>
      <c r="K202" s="4" t="str">
        <f t="shared" ca="1" si="7"/>
        <v>Sin fecha</v>
      </c>
      <c r="L202" s="8"/>
      <c r="M202" s="8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6"/>
      <c r="AC202" s="4"/>
      <c r="AD202" s="4"/>
    </row>
    <row r="203" spans="1:30">
      <c r="A203" s="4" t="str">
        <f t="shared" si="8"/>
        <v/>
      </c>
      <c r="B203" s="4"/>
      <c r="C203" s="4"/>
      <c r="D203" s="4"/>
      <c r="E203" s="4"/>
      <c r="F203" s="4"/>
      <c r="G203" s="6"/>
      <c r="H203" s="4"/>
      <c r="I203" s="4"/>
      <c r="J203" s="4"/>
      <c r="K203" s="4" t="str">
        <f t="shared" ca="1" si="7"/>
        <v>Sin fecha</v>
      </c>
      <c r="L203" s="8"/>
      <c r="M203" s="8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6"/>
      <c r="AC203" s="4"/>
      <c r="AD203" s="4"/>
    </row>
    <row r="204" spans="1:30">
      <c r="A204" s="4" t="str">
        <f t="shared" si="8"/>
        <v/>
      </c>
      <c r="B204" s="4"/>
      <c r="C204" s="4"/>
      <c r="D204" s="4"/>
      <c r="E204" s="4"/>
      <c r="F204" s="4"/>
      <c r="G204" s="6"/>
      <c r="H204" s="4"/>
      <c r="I204" s="4"/>
      <c r="J204" s="4"/>
      <c r="K204" s="4" t="str">
        <f t="shared" ca="1" si="7"/>
        <v>Sin fecha</v>
      </c>
      <c r="L204" s="8"/>
      <c r="M204" s="8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6"/>
      <c r="AC204" s="4"/>
      <c r="AD204" s="4"/>
    </row>
    <row r="205" spans="1:30">
      <c r="A205" s="4" t="str">
        <f t="shared" si="8"/>
        <v/>
      </c>
      <c r="B205" s="4"/>
      <c r="C205" s="4"/>
      <c r="D205" s="4"/>
      <c r="E205" s="4"/>
      <c r="F205" s="4"/>
      <c r="G205" s="6"/>
      <c r="H205" s="4"/>
      <c r="I205" s="4"/>
      <c r="J205" s="4"/>
      <c r="K205" s="4" t="str">
        <f t="shared" ca="1" si="7"/>
        <v>Sin fecha</v>
      </c>
      <c r="L205" s="8"/>
      <c r="M205" s="8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6"/>
      <c r="AC205" s="4"/>
      <c r="AD205" s="4"/>
    </row>
    <row r="206" spans="1:30">
      <c r="A206" s="4" t="str">
        <f t="shared" si="8"/>
        <v/>
      </c>
      <c r="B206" s="4"/>
      <c r="C206" s="4"/>
      <c r="D206" s="4"/>
      <c r="E206" s="4"/>
      <c r="F206" s="4"/>
      <c r="G206" s="6"/>
      <c r="H206" s="4"/>
      <c r="I206" s="4"/>
      <c r="J206" s="4"/>
      <c r="K206" s="4" t="str">
        <f t="shared" ca="1" si="7"/>
        <v>Sin fecha</v>
      </c>
      <c r="L206" s="8"/>
      <c r="M206" s="8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6"/>
      <c r="AC206" s="4"/>
      <c r="AD206" s="4"/>
    </row>
    <row r="207" spans="1:30">
      <c r="A207" s="4" t="str">
        <f t="shared" si="8"/>
        <v/>
      </c>
      <c r="B207" s="4"/>
      <c r="C207" s="4"/>
      <c r="D207" s="4"/>
      <c r="E207" s="4"/>
      <c r="F207" s="4"/>
      <c r="G207" s="6"/>
      <c r="H207" s="4"/>
      <c r="I207" s="4"/>
      <c r="J207" s="4"/>
      <c r="K207" s="4" t="str">
        <f t="shared" ca="1" si="7"/>
        <v>Sin fecha</v>
      </c>
      <c r="L207" s="8"/>
      <c r="M207" s="8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6"/>
      <c r="AC207" s="4"/>
      <c r="AD207" s="4"/>
    </row>
    <row r="208" spans="1:30">
      <c r="A208" s="4" t="str">
        <f t="shared" si="8"/>
        <v/>
      </c>
      <c r="B208" s="4"/>
      <c r="C208" s="4"/>
      <c r="D208" s="4"/>
      <c r="E208" s="4"/>
      <c r="F208" s="4"/>
      <c r="G208" s="6"/>
      <c r="H208" s="4"/>
      <c r="I208" s="4"/>
      <c r="J208" s="4"/>
      <c r="K208" s="4" t="str">
        <f t="shared" ca="1" si="7"/>
        <v>Sin fecha</v>
      </c>
      <c r="L208" s="8"/>
      <c r="M208" s="8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6"/>
      <c r="AC208" s="4"/>
      <c r="AD208" s="4"/>
    </row>
    <row r="209" spans="1:30">
      <c r="A209" s="4" t="str">
        <f t="shared" si="8"/>
        <v/>
      </c>
      <c r="B209" s="4"/>
      <c r="C209" s="4"/>
      <c r="D209" s="4"/>
      <c r="E209" s="4"/>
      <c r="F209" s="4"/>
      <c r="G209" s="6"/>
      <c r="H209" s="4"/>
      <c r="I209" s="4"/>
      <c r="J209" s="4"/>
      <c r="K209" s="4" t="str">
        <f t="shared" ca="1" si="7"/>
        <v>Sin fecha</v>
      </c>
      <c r="L209" s="8"/>
      <c r="M209" s="8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6"/>
      <c r="AC209" s="4"/>
      <c r="AD209" s="4"/>
    </row>
    <row r="210" spans="1:30">
      <c r="A210" s="4" t="str">
        <f t="shared" si="8"/>
        <v/>
      </c>
      <c r="B210" s="4"/>
      <c r="C210" s="4"/>
      <c r="D210" s="4"/>
      <c r="E210" s="4"/>
      <c r="F210" s="4"/>
      <c r="G210" s="6"/>
      <c r="H210" s="4"/>
      <c r="I210" s="4"/>
      <c r="J210" s="4"/>
      <c r="K210" s="4" t="str">
        <f t="shared" ca="1" si="7"/>
        <v>Sin fecha</v>
      </c>
      <c r="L210" s="8"/>
      <c r="M210" s="8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6"/>
      <c r="AC210" s="4"/>
      <c r="AD210" s="4"/>
    </row>
    <row r="211" spans="1:30">
      <c r="A211" s="4" t="str">
        <f t="shared" si="8"/>
        <v/>
      </c>
      <c r="B211" s="4"/>
      <c r="C211" s="4"/>
      <c r="D211" s="4"/>
      <c r="E211" s="4"/>
      <c r="F211" s="4"/>
      <c r="G211" s="6"/>
      <c r="H211" s="4"/>
      <c r="I211" s="4"/>
      <c r="J211" s="4"/>
      <c r="K211" s="4" t="str">
        <f t="shared" ca="1" si="7"/>
        <v>Sin fecha</v>
      </c>
      <c r="L211" s="8"/>
      <c r="M211" s="8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6"/>
      <c r="AC211" s="4"/>
      <c r="AD211" s="4"/>
    </row>
    <row r="212" spans="1:30">
      <c r="A212" s="4" t="str">
        <f t="shared" si="8"/>
        <v/>
      </c>
      <c r="B212" s="4"/>
      <c r="C212" s="4"/>
      <c r="D212" s="4"/>
      <c r="E212" s="4"/>
      <c r="F212" s="4"/>
      <c r="G212" s="6"/>
      <c r="H212" s="4"/>
      <c r="I212" s="4"/>
      <c r="J212" s="4"/>
      <c r="K212" s="4" t="str">
        <f t="shared" ca="1" si="7"/>
        <v>Sin fecha</v>
      </c>
      <c r="L212" s="8"/>
      <c r="M212" s="8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6"/>
      <c r="AC212" s="4"/>
      <c r="AD212" s="4"/>
    </row>
    <row r="213" spans="1:30">
      <c r="A213" s="4" t="str">
        <f t="shared" si="8"/>
        <v/>
      </c>
      <c r="B213" s="4"/>
      <c r="C213" s="4"/>
      <c r="D213" s="4"/>
      <c r="E213" s="4"/>
      <c r="F213" s="4"/>
      <c r="G213" s="6"/>
      <c r="H213" s="4"/>
      <c r="I213" s="4"/>
      <c r="J213" s="4"/>
      <c r="K213" s="4" t="str">
        <f t="shared" ca="1" si="7"/>
        <v>Sin fecha</v>
      </c>
      <c r="L213" s="8"/>
      <c r="M213" s="8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6"/>
      <c r="AC213" s="4"/>
      <c r="AD213" s="4"/>
    </row>
    <row r="214" spans="1:30">
      <c r="A214" s="4" t="str">
        <f t="shared" si="8"/>
        <v/>
      </c>
      <c r="B214" s="4"/>
      <c r="C214" s="4"/>
      <c r="D214" s="4"/>
      <c r="E214" s="4"/>
      <c r="F214" s="4"/>
      <c r="G214" s="6"/>
      <c r="H214" s="4"/>
      <c r="I214" s="4"/>
      <c r="J214" s="4"/>
      <c r="K214" s="4" t="str">
        <f t="shared" ca="1" si="7"/>
        <v>Sin fecha</v>
      </c>
      <c r="L214" s="8"/>
      <c r="M214" s="8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6"/>
      <c r="AC214" s="4"/>
      <c r="AD214" s="4"/>
    </row>
    <row r="215" spans="1:30">
      <c r="A215" s="4" t="str">
        <f t="shared" si="8"/>
        <v/>
      </c>
      <c r="B215" s="4"/>
      <c r="C215" s="4"/>
      <c r="D215" s="4"/>
      <c r="E215" s="4"/>
      <c r="F215" s="4"/>
      <c r="G215" s="6"/>
      <c r="H215" s="4"/>
      <c r="I215" s="4"/>
      <c r="J215" s="4"/>
      <c r="K215" s="4" t="str">
        <f t="shared" ca="1" si="7"/>
        <v>Sin fecha</v>
      </c>
      <c r="L215" s="8"/>
      <c r="M215" s="8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6"/>
      <c r="AC215" s="4"/>
      <c r="AD215" s="4"/>
    </row>
    <row r="216" spans="1:30">
      <c r="A216" s="4" t="str">
        <f t="shared" si="8"/>
        <v/>
      </c>
      <c r="B216" s="4"/>
      <c r="C216" s="4"/>
      <c r="D216" s="4"/>
      <c r="E216" s="4"/>
      <c r="F216" s="4"/>
      <c r="G216" s="6"/>
      <c r="H216" s="4"/>
      <c r="I216" s="4"/>
      <c r="J216" s="4"/>
      <c r="K216" s="4" t="str">
        <f t="shared" ca="1" si="7"/>
        <v>Sin fecha</v>
      </c>
      <c r="L216" s="8"/>
      <c r="M216" s="8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6"/>
      <c r="AC216" s="4"/>
      <c r="AD216" s="4"/>
    </row>
    <row r="217" spans="1:30">
      <c r="A217" s="4" t="str">
        <f t="shared" si="8"/>
        <v/>
      </c>
      <c r="B217" s="4"/>
      <c r="C217" s="4"/>
      <c r="D217" s="4"/>
      <c r="E217" s="4"/>
      <c r="F217" s="4"/>
      <c r="G217" s="6"/>
      <c r="H217" s="4"/>
      <c r="I217" s="4"/>
      <c r="J217" s="4"/>
      <c r="K217" s="4" t="str">
        <f t="shared" ca="1" si="7"/>
        <v>Sin fecha</v>
      </c>
      <c r="L217" s="8"/>
      <c r="M217" s="8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6"/>
      <c r="AC217" s="4"/>
      <c r="AD217" s="4"/>
    </row>
    <row r="218" spans="1:30">
      <c r="A218" s="4" t="str">
        <f t="shared" si="8"/>
        <v/>
      </c>
      <c r="B218" s="4"/>
      <c r="C218" s="4"/>
      <c r="D218" s="4"/>
      <c r="E218" s="4"/>
      <c r="F218" s="4"/>
      <c r="G218" s="6"/>
      <c r="H218" s="4"/>
      <c r="I218" s="4"/>
      <c r="J218" s="4"/>
      <c r="K218" s="4" t="str">
        <f t="shared" ca="1" si="7"/>
        <v>Sin fecha</v>
      </c>
      <c r="L218" s="8"/>
      <c r="M218" s="8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6"/>
      <c r="AC218" s="4"/>
      <c r="AD218" s="4"/>
    </row>
    <row r="219" spans="1:30">
      <c r="A219" s="4" t="str">
        <f t="shared" si="8"/>
        <v/>
      </c>
      <c r="B219" s="4"/>
      <c r="C219" s="4"/>
      <c r="D219" s="4"/>
      <c r="E219" s="4"/>
      <c r="F219" s="4"/>
      <c r="G219" s="6"/>
      <c r="H219" s="4"/>
      <c r="I219" s="4"/>
      <c r="J219" s="4"/>
      <c r="K219" s="4" t="str">
        <f t="shared" ca="1" si="7"/>
        <v>Sin fecha</v>
      </c>
      <c r="L219" s="8"/>
      <c r="M219" s="8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6"/>
      <c r="AC219" s="4"/>
      <c r="AD219" s="4"/>
    </row>
    <row r="220" spans="1:30">
      <c r="A220" s="4" t="str">
        <f t="shared" si="8"/>
        <v/>
      </c>
      <c r="B220" s="4"/>
      <c r="C220" s="4"/>
      <c r="D220" s="4"/>
      <c r="E220" s="4"/>
      <c r="F220" s="4"/>
      <c r="G220" s="6"/>
      <c r="H220" s="4"/>
      <c r="I220" s="4"/>
      <c r="J220" s="4"/>
      <c r="K220" s="4" t="str">
        <f t="shared" ca="1" si="7"/>
        <v>Sin fecha</v>
      </c>
      <c r="L220" s="8"/>
      <c r="M220" s="8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6"/>
      <c r="AC220" s="4"/>
      <c r="AD220" s="4"/>
    </row>
    <row r="221" spans="1:30">
      <c r="A221" s="4" t="str">
        <f t="shared" si="8"/>
        <v/>
      </c>
      <c r="B221" s="4"/>
      <c r="C221" s="4"/>
      <c r="D221" s="4"/>
      <c r="E221" s="4"/>
      <c r="F221" s="4"/>
      <c r="G221" s="6"/>
      <c r="H221" s="4"/>
      <c r="I221" s="4"/>
      <c r="J221" s="4"/>
      <c r="K221" s="4" t="str">
        <f t="shared" ca="1" si="7"/>
        <v>Sin fecha</v>
      </c>
      <c r="L221" s="8"/>
      <c r="M221" s="8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6"/>
      <c r="AC221" s="4"/>
      <c r="AD221" s="4"/>
    </row>
    <row r="222" spans="1:30">
      <c r="A222" s="4" t="str">
        <f t="shared" si="8"/>
        <v/>
      </c>
      <c r="B222" s="4"/>
      <c r="C222" s="4"/>
      <c r="D222" s="4"/>
      <c r="E222" s="4"/>
      <c r="F222" s="4"/>
      <c r="G222" s="6"/>
      <c r="H222" s="4"/>
      <c r="I222" s="4"/>
      <c r="J222" s="4"/>
      <c r="K222" s="4" t="str">
        <f t="shared" ca="1" si="7"/>
        <v>Sin fecha</v>
      </c>
      <c r="L222" s="8"/>
      <c r="M222" s="8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6"/>
      <c r="AC222" s="4"/>
      <c r="AD222" s="4"/>
    </row>
    <row r="223" spans="1:30">
      <c r="A223" s="4" t="str">
        <f t="shared" si="8"/>
        <v/>
      </c>
      <c r="B223" s="4"/>
      <c r="C223" s="4"/>
      <c r="D223" s="4"/>
      <c r="E223" s="4"/>
      <c r="F223" s="4"/>
      <c r="G223" s="6"/>
      <c r="H223" s="4"/>
      <c r="I223" s="4"/>
      <c r="J223" s="4"/>
      <c r="K223" s="4" t="str">
        <f t="shared" ca="1" si="7"/>
        <v>Sin fecha</v>
      </c>
      <c r="L223" s="8"/>
      <c r="M223" s="8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6"/>
      <c r="AC223" s="4"/>
      <c r="AD223" s="4"/>
    </row>
    <row r="224" spans="1:30">
      <c r="A224" s="4" t="str">
        <f t="shared" si="8"/>
        <v/>
      </c>
      <c r="B224" s="4"/>
      <c r="C224" s="4"/>
      <c r="D224" s="4"/>
      <c r="E224" s="4"/>
      <c r="F224" s="4"/>
      <c r="G224" s="6"/>
      <c r="H224" s="4"/>
      <c r="I224" s="4"/>
      <c r="J224" s="4"/>
      <c r="K224" s="4" t="str">
        <f t="shared" ca="1" si="7"/>
        <v>Sin fecha</v>
      </c>
      <c r="L224" s="8"/>
      <c r="M224" s="8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6"/>
      <c r="AC224" s="4"/>
      <c r="AD224" s="4"/>
    </row>
    <row r="225" spans="1:30">
      <c r="A225" s="4" t="str">
        <f t="shared" si="8"/>
        <v/>
      </c>
      <c r="B225" s="4"/>
      <c r="C225" s="4"/>
      <c r="D225" s="4"/>
      <c r="E225" s="4"/>
      <c r="F225" s="4"/>
      <c r="G225" s="6"/>
      <c r="H225" s="4"/>
      <c r="I225" s="4"/>
      <c r="J225" s="4"/>
      <c r="K225" s="4" t="str">
        <f t="shared" ca="1" si="7"/>
        <v>Sin fecha</v>
      </c>
      <c r="L225" s="8"/>
      <c r="M225" s="8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6"/>
      <c r="AC225" s="4"/>
      <c r="AD225" s="4"/>
    </row>
    <row r="226" spans="1:30">
      <c r="A226" s="4" t="str">
        <f t="shared" si="8"/>
        <v/>
      </c>
      <c r="B226" s="4"/>
      <c r="C226" s="4"/>
      <c r="D226" s="4"/>
      <c r="E226" s="4"/>
      <c r="F226" s="4"/>
      <c r="G226" s="6"/>
      <c r="H226" s="4"/>
      <c r="I226" s="4"/>
      <c r="J226" s="4"/>
      <c r="K226" s="4" t="str">
        <f t="shared" ca="1" si="7"/>
        <v>Sin fecha</v>
      </c>
      <c r="L226" s="8"/>
      <c r="M226" s="8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6"/>
      <c r="AC226" s="4"/>
      <c r="AD226" s="4"/>
    </row>
    <row r="227" spans="1:30">
      <c r="A227" s="4" t="str">
        <f t="shared" si="8"/>
        <v/>
      </c>
      <c r="B227" s="4"/>
      <c r="C227" s="4"/>
      <c r="D227" s="4"/>
      <c r="E227" s="4"/>
      <c r="F227" s="4"/>
      <c r="G227" s="6"/>
      <c r="H227" s="4"/>
      <c r="I227" s="4"/>
      <c r="J227" s="4"/>
      <c r="K227" s="4" t="str">
        <f t="shared" ca="1" si="7"/>
        <v>Sin fecha</v>
      </c>
      <c r="L227" s="8"/>
      <c r="M227" s="8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6"/>
      <c r="AC227" s="4"/>
      <c r="AD227" s="4"/>
    </row>
    <row r="228" spans="1:30">
      <c r="A228" s="4" t="str">
        <f t="shared" si="8"/>
        <v/>
      </c>
      <c r="B228" s="4"/>
      <c r="C228" s="4"/>
      <c r="D228" s="4"/>
      <c r="E228" s="4"/>
      <c r="F228" s="4"/>
      <c r="G228" s="6"/>
      <c r="H228" s="4"/>
      <c r="I228" s="4"/>
      <c r="J228" s="4"/>
      <c r="K228" s="4" t="str">
        <f t="shared" ca="1" si="7"/>
        <v>Sin fecha</v>
      </c>
      <c r="L228" s="8"/>
      <c r="M228" s="8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6"/>
      <c r="AC228" s="4"/>
      <c r="AD228" s="4"/>
    </row>
    <row r="229" spans="1:30">
      <c r="A229" s="4" t="str">
        <f t="shared" si="8"/>
        <v/>
      </c>
      <c r="B229" s="4"/>
      <c r="C229" s="4"/>
      <c r="D229" s="4"/>
      <c r="E229" s="4"/>
      <c r="F229" s="4"/>
      <c r="G229" s="6"/>
      <c r="H229" s="4"/>
      <c r="I229" s="4"/>
      <c r="J229" s="4"/>
      <c r="K229" s="4" t="str">
        <f t="shared" ca="1" si="7"/>
        <v>Sin fecha</v>
      </c>
      <c r="L229" s="8"/>
      <c r="M229" s="8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6"/>
      <c r="AC229" s="4"/>
      <c r="AD229" s="4"/>
    </row>
    <row r="230" spans="1:30">
      <c r="A230" s="4" t="str">
        <f t="shared" si="8"/>
        <v/>
      </c>
      <c r="B230" s="4"/>
      <c r="C230" s="4"/>
      <c r="D230" s="4"/>
      <c r="E230" s="4"/>
      <c r="F230" s="4"/>
      <c r="G230" s="6"/>
      <c r="H230" s="4"/>
      <c r="I230" s="4"/>
      <c r="J230" s="4"/>
      <c r="K230" s="4" t="str">
        <f t="shared" ca="1" si="7"/>
        <v>Sin fecha</v>
      </c>
      <c r="L230" s="8"/>
      <c r="M230" s="8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6"/>
      <c r="AC230" s="4"/>
      <c r="AD230" s="4"/>
    </row>
    <row r="231" spans="1:30">
      <c r="A231" s="4" t="str">
        <f t="shared" si="8"/>
        <v/>
      </c>
      <c r="B231" s="4"/>
      <c r="C231" s="4"/>
      <c r="D231" s="4"/>
      <c r="E231" s="4"/>
      <c r="F231" s="4"/>
      <c r="G231" s="6"/>
      <c r="H231" s="4"/>
      <c r="I231" s="4"/>
      <c r="J231" s="4"/>
      <c r="K231" s="4" t="str">
        <f t="shared" ca="1" si="7"/>
        <v>Sin fecha</v>
      </c>
      <c r="L231" s="8"/>
      <c r="M231" s="8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6"/>
      <c r="AC231" s="4"/>
      <c r="AD231" s="4"/>
    </row>
    <row r="232" spans="1:30">
      <c r="A232" s="4" t="str">
        <f t="shared" si="8"/>
        <v/>
      </c>
      <c r="B232" s="4"/>
      <c r="C232" s="4"/>
      <c r="D232" s="4"/>
      <c r="E232" s="4"/>
      <c r="F232" s="4"/>
      <c r="G232" s="6"/>
      <c r="H232" s="4"/>
      <c r="I232" s="4"/>
      <c r="J232" s="4"/>
      <c r="K232" s="4" t="str">
        <f t="shared" ca="1" si="7"/>
        <v>Sin fecha</v>
      </c>
      <c r="L232" s="8"/>
      <c r="M232" s="8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6"/>
      <c r="AC232" s="4"/>
      <c r="AD232" s="4"/>
    </row>
    <row r="233" spans="1:30">
      <c r="A233" s="4" t="str">
        <f t="shared" si="8"/>
        <v/>
      </c>
      <c r="B233" s="4"/>
      <c r="C233" s="4"/>
      <c r="D233" s="4"/>
      <c r="E233" s="4"/>
      <c r="F233" s="4"/>
      <c r="G233" s="6"/>
      <c r="H233" s="4"/>
      <c r="I233" s="4"/>
      <c r="J233" s="4"/>
      <c r="K233" s="4" t="str">
        <f t="shared" ca="1" si="7"/>
        <v>Sin fecha</v>
      </c>
      <c r="L233" s="8"/>
      <c r="M233" s="8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6"/>
      <c r="AC233" s="4"/>
      <c r="AD233" s="4"/>
    </row>
    <row r="234" spans="1:30">
      <c r="A234" s="4" t="str">
        <f t="shared" si="8"/>
        <v/>
      </c>
      <c r="B234" s="4"/>
      <c r="C234" s="4"/>
      <c r="D234" s="4"/>
      <c r="E234" s="4"/>
      <c r="F234" s="4"/>
      <c r="G234" s="6"/>
      <c r="H234" s="4"/>
      <c r="I234" s="4"/>
      <c r="J234" s="4"/>
      <c r="K234" s="4" t="str">
        <f t="shared" ca="1" si="7"/>
        <v>Sin fecha</v>
      </c>
      <c r="L234" s="8"/>
      <c r="M234" s="8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6"/>
      <c r="AC234" s="4"/>
      <c r="AD234" s="4"/>
    </row>
    <row r="235" spans="1:30">
      <c r="A235" s="4" t="str">
        <f t="shared" si="8"/>
        <v/>
      </c>
      <c r="B235" s="4"/>
      <c r="C235" s="4"/>
      <c r="D235" s="4"/>
      <c r="E235" s="4"/>
      <c r="F235" s="4"/>
      <c r="G235" s="6"/>
      <c r="H235" s="4"/>
      <c r="I235" s="4"/>
      <c r="J235" s="4"/>
      <c r="K235" s="4" t="str">
        <f t="shared" ca="1" si="7"/>
        <v>Sin fecha</v>
      </c>
      <c r="L235" s="8"/>
      <c r="M235" s="8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6"/>
      <c r="AC235" s="4"/>
      <c r="AD235" s="4"/>
    </row>
    <row r="236" spans="1:30">
      <c r="A236" s="4" t="str">
        <f t="shared" si="8"/>
        <v/>
      </c>
      <c r="B236" s="4"/>
      <c r="C236" s="4"/>
      <c r="D236" s="4"/>
      <c r="E236" s="4"/>
      <c r="F236" s="4"/>
      <c r="G236" s="6"/>
      <c r="H236" s="4"/>
      <c r="I236" s="4"/>
      <c r="J236" s="4"/>
      <c r="K236" s="4" t="str">
        <f t="shared" ca="1" si="7"/>
        <v>Sin fecha</v>
      </c>
      <c r="L236" s="8"/>
      <c r="M236" s="8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6"/>
      <c r="AC236" s="4"/>
      <c r="AD236" s="4"/>
    </row>
    <row r="237" spans="1:30">
      <c r="A237" s="4" t="str">
        <f t="shared" si="8"/>
        <v/>
      </c>
      <c r="B237" s="4"/>
      <c r="C237" s="4"/>
      <c r="D237" s="4"/>
      <c r="E237" s="4"/>
      <c r="F237" s="4"/>
      <c r="G237" s="6"/>
      <c r="H237" s="4"/>
      <c r="I237" s="4"/>
      <c r="J237" s="4"/>
      <c r="K237" s="4" t="str">
        <f t="shared" ca="1" si="7"/>
        <v>Sin fecha</v>
      </c>
      <c r="L237" s="8"/>
      <c r="M237" s="8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6"/>
      <c r="AC237" s="4"/>
      <c r="AD237" s="4"/>
    </row>
    <row r="238" spans="1:30">
      <c r="A238" s="4" t="str">
        <f t="shared" si="8"/>
        <v/>
      </c>
      <c r="B238" s="4"/>
      <c r="C238" s="4"/>
      <c r="D238" s="4"/>
      <c r="E238" s="4"/>
      <c r="F238" s="4"/>
      <c r="G238" s="6"/>
      <c r="H238" s="4"/>
      <c r="I238" s="4"/>
      <c r="J238" s="4"/>
      <c r="K238" s="4" t="str">
        <f t="shared" ca="1" si="7"/>
        <v>Sin fecha</v>
      </c>
      <c r="L238" s="8"/>
      <c r="M238" s="8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6"/>
      <c r="AC238" s="4"/>
      <c r="AD238" s="4"/>
    </row>
    <row r="239" spans="1:30">
      <c r="A239" s="4" t="str">
        <f t="shared" si="8"/>
        <v/>
      </c>
      <c r="B239" s="4"/>
      <c r="C239" s="4"/>
      <c r="D239" s="4"/>
      <c r="E239" s="4"/>
      <c r="F239" s="4"/>
      <c r="G239" s="6"/>
      <c r="H239" s="4"/>
      <c r="I239" s="4"/>
      <c r="J239" s="4"/>
      <c r="K239" s="4" t="str">
        <f t="shared" ca="1" si="7"/>
        <v>Sin fecha</v>
      </c>
      <c r="L239" s="8"/>
      <c r="M239" s="8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6"/>
      <c r="AC239" s="4"/>
      <c r="AD239" s="4"/>
    </row>
    <row r="240" spans="1:30">
      <c r="A240" s="4" t="str">
        <f t="shared" si="8"/>
        <v/>
      </c>
      <c r="B240" s="4"/>
      <c r="C240" s="4"/>
      <c r="D240" s="4"/>
      <c r="E240" s="4"/>
      <c r="F240" s="4"/>
      <c r="G240" s="6"/>
      <c r="H240" s="4"/>
      <c r="I240" s="4"/>
      <c r="J240" s="4"/>
      <c r="K240" s="4" t="str">
        <f t="shared" ca="1" si="7"/>
        <v>Sin fecha</v>
      </c>
      <c r="L240" s="8"/>
      <c r="M240" s="8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6"/>
      <c r="AC240" s="4"/>
      <c r="AD240" s="4"/>
    </row>
    <row r="241" spans="1:30">
      <c r="A241" s="4" t="str">
        <f t="shared" si="8"/>
        <v/>
      </c>
      <c r="B241" s="4"/>
      <c r="C241" s="4"/>
      <c r="D241" s="4"/>
      <c r="E241" s="4"/>
      <c r="F241" s="4"/>
      <c r="G241" s="6"/>
      <c r="H241" s="4"/>
      <c r="I241" s="4"/>
      <c r="J241" s="4"/>
      <c r="K241" s="4" t="str">
        <f t="shared" ca="1" si="7"/>
        <v>Sin fecha</v>
      </c>
      <c r="L241" s="8"/>
      <c r="M241" s="8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6"/>
      <c r="AC241" s="4"/>
      <c r="AD241" s="4"/>
    </row>
    <row r="242" spans="1:30">
      <c r="A242" s="4" t="str">
        <f t="shared" si="8"/>
        <v/>
      </c>
      <c r="B242" s="4"/>
      <c r="C242" s="4"/>
      <c r="D242" s="4"/>
      <c r="E242" s="4"/>
      <c r="F242" s="4"/>
      <c r="G242" s="6"/>
      <c r="H242" s="4"/>
      <c r="I242" s="4"/>
      <c r="J242" s="4"/>
      <c r="K242" s="4" t="str">
        <f t="shared" ca="1" si="7"/>
        <v>Sin fecha</v>
      </c>
      <c r="L242" s="8"/>
      <c r="M242" s="8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6"/>
      <c r="AC242" s="4"/>
      <c r="AD242" s="4"/>
    </row>
    <row r="243" spans="1:30">
      <c r="A243" s="4" t="str">
        <f t="shared" si="8"/>
        <v/>
      </c>
      <c r="B243" s="4"/>
      <c r="C243" s="4"/>
      <c r="D243" s="4"/>
      <c r="E243" s="4"/>
      <c r="F243" s="4"/>
      <c r="G243" s="6"/>
      <c r="H243" s="4"/>
      <c r="I243" s="4"/>
      <c r="J243" s="4"/>
      <c r="K243" s="4" t="str">
        <f t="shared" ca="1" si="7"/>
        <v>Sin fecha</v>
      </c>
      <c r="L243" s="8"/>
      <c r="M243" s="8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6"/>
      <c r="AC243" s="4"/>
      <c r="AD243" s="4"/>
    </row>
    <row r="244" spans="1:30">
      <c r="A244" s="4" t="str">
        <f t="shared" si="8"/>
        <v/>
      </c>
      <c r="B244" s="4"/>
      <c r="C244" s="4"/>
      <c r="D244" s="4"/>
      <c r="E244" s="4"/>
      <c r="F244" s="4"/>
      <c r="G244" s="6"/>
      <c r="H244" s="4"/>
      <c r="I244" s="4"/>
      <c r="J244" s="4"/>
      <c r="K244" s="4" t="str">
        <f t="shared" ca="1" si="7"/>
        <v>Sin fecha</v>
      </c>
      <c r="L244" s="8"/>
      <c r="M244" s="8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6"/>
      <c r="AC244" s="4"/>
      <c r="AD244" s="4"/>
    </row>
    <row r="245" spans="1:30">
      <c r="A245" s="4" t="str">
        <f t="shared" si="8"/>
        <v/>
      </c>
      <c r="B245" s="4"/>
      <c r="C245" s="4"/>
      <c r="D245" s="4"/>
      <c r="E245" s="4"/>
      <c r="F245" s="4"/>
      <c r="G245" s="6"/>
      <c r="H245" s="4"/>
      <c r="I245" s="4"/>
      <c r="J245" s="4"/>
      <c r="K245" s="4" t="str">
        <f t="shared" ca="1" si="7"/>
        <v>Sin fecha</v>
      </c>
      <c r="L245" s="8"/>
      <c r="M245" s="8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6"/>
      <c r="AC245" s="4"/>
      <c r="AD245" s="4"/>
    </row>
    <row r="246" spans="1:30">
      <c r="A246" s="4" t="str">
        <f t="shared" si="8"/>
        <v/>
      </c>
      <c r="B246" s="4"/>
      <c r="C246" s="4"/>
      <c r="D246" s="4"/>
      <c r="E246" s="4"/>
      <c r="F246" s="4"/>
      <c r="G246" s="6"/>
      <c r="H246" s="4"/>
      <c r="I246" s="4"/>
      <c r="J246" s="4"/>
      <c r="K246" s="4" t="str">
        <f t="shared" ca="1" si="7"/>
        <v>Sin fecha</v>
      </c>
      <c r="L246" s="8"/>
      <c r="M246" s="8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6"/>
      <c r="AC246" s="4"/>
      <c r="AD246" s="4"/>
    </row>
    <row r="247" spans="1:30">
      <c r="A247" s="4" t="str">
        <f t="shared" si="8"/>
        <v/>
      </c>
      <c r="B247" s="4"/>
      <c r="C247" s="4"/>
      <c r="D247" s="4"/>
      <c r="E247" s="4"/>
      <c r="F247" s="4"/>
      <c r="G247" s="6"/>
      <c r="H247" s="4"/>
      <c r="I247" s="4"/>
      <c r="J247" s="4"/>
      <c r="K247" s="4" t="str">
        <f t="shared" ca="1" si="7"/>
        <v>Sin fecha</v>
      </c>
      <c r="L247" s="8"/>
      <c r="M247" s="8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6"/>
      <c r="AC247" s="4"/>
      <c r="AD247" s="4"/>
    </row>
    <row r="248" spans="1:30">
      <c r="A248" s="4" t="str">
        <f t="shared" si="8"/>
        <v/>
      </c>
      <c r="B248" s="4"/>
      <c r="C248" s="4"/>
      <c r="D248" s="4"/>
      <c r="E248" s="4"/>
      <c r="F248" s="4"/>
      <c r="G248" s="6"/>
      <c r="H248" s="4"/>
      <c r="I248" s="4"/>
      <c r="J248" s="4"/>
      <c r="K248" s="4" t="str">
        <f t="shared" ca="1" si="7"/>
        <v>Sin fecha</v>
      </c>
      <c r="L248" s="8"/>
      <c r="M248" s="8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6"/>
      <c r="AC248" s="4"/>
      <c r="AD248" s="4"/>
    </row>
    <row r="249" spans="1:30">
      <c r="A249" s="4" t="str">
        <f t="shared" si="8"/>
        <v/>
      </c>
      <c r="B249" s="4"/>
      <c r="C249" s="4"/>
      <c r="D249" s="4"/>
      <c r="E249" s="4"/>
      <c r="F249" s="4"/>
      <c r="G249" s="6"/>
      <c r="H249" s="4"/>
      <c r="I249" s="4"/>
      <c r="J249" s="4"/>
      <c r="K249" s="4" t="str">
        <f t="shared" ca="1" si="7"/>
        <v>Sin fecha</v>
      </c>
      <c r="L249" s="8"/>
      <c r="M249" s="8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6"/>
      <c r="AC249" s="4"/>
      <c r="AD249" s="4"/>
    </row>
    <row r="250" spans="1:30">
      <c r="A250" s="4" t="str">
        <f t="shared" si="8"/>
        <v/>
      </c>
      <c r="B250" s="4"/>
      <c r="C250" s="4"/>
      <c r="D250" s="4"/>
      <c r="E250" s="4"/>
      <c r="F250" s="4"/>
      <c r="G250" s="6"/>
      <c r="H250" s="4"/>
      <c r="I250" s="4"/>
      <c r="J250" s="4"/>
      <c r="K250" s="4" t="str">
        <f t="shared" ca="1" si="7"/>
        <v>Sin fecha</v>
      </c>
      <c r="L250" s="8"/>
      <c r="M250" s="8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6"/>
      <c r="AC250" s="4"/>
      <c r="AD250" s="4"/>
    </row>
    <row r="251" spans="1:30">
      <c r="A251" s="4" t="str">
        <f t="shared" si="8"/>
        <v/>
      </c>
      <c r="B251" s="4"/>
      <c r="C251" s="4"/>
      <c r="D251" s="4"/>
      <c r="E251" s="4"/>
      <c r="F251" s="4"/>
      <c r="G251" s="6"/>
      <c r="H251" s="4"/>
      <c r="I251" s="4"/>
      <c r="J251" s="4"/>
      <c r="K251" s="4" t="str">
        <f t="shared" ca="1" si="7"/>
        <v>Sin fecha</v>
      </c>
      <c r="L251" s="8"/>
      <c r="M251" s="8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6"/>
      <c r="AC251" s="4"/>
      <c r="AD251" s="4"/>
    </row>
    <row r="252" spans="1:30">
      <c r="A252" s="4" t="str">
        <f t="shared" si="8"/>
        <v/>
      </c>
      <c r="B252" s="4"/>
      <c r="C252" s="4"/>
      <c r="D252" s="4"/>
      <c r="E252" s="4"/>
      <c r="F252" s="4"/>
      <c r="G252" s="6"/>
      <c r="H252" s="4"/>
      <c r="I252" s="4"/>
      <c r="J252" s="4"/>
      <c r="K252" s="4" t="str">
        <f t="shared" ca="1" si="7"/>
        <v>Sin fecha</v>
      </c>
      <c r="L252" s="8"/>
      <c r="M252" s="8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6"/>
      <c r="AC252" s="4"/>
      <c r="AD252" s="4"/>
    </row>
    <row r="253" spans="1:30">
      <c r="A253" s="4" t="str">
        <f t="shared" si="8"/>
        <v/>
      </c>
      <c r="B253" s="4"/>
      <c r="C253" s="4"/>
      <c r="D253" s="4"/>
      <c r="E253" s="4"/>
      <c r="F253" s="4"/>
      <c r="G253" s="6"/>
      <c r="H253" s="4"/>
      <c r="I253" s="4"/>
      <c r="J253" s="4"/>
      <c r="K253" s="4" t="str">
        <f t="shared" ca="1" si="7"/>
        <v>Sin fecha</v>
      </c>
      <c r="L253" s="8"/>
      <c r="M253" s="8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6"/>
      <c r="AC253" s="4"/>
      <c r="AD253" s="4"/>
    </row>
    <row r="254" spans="1:30">
      <c r="A254" s="4" t="str">
        <f t="shared" si="8"/>
        <v/>
      </c>
      <c r="B254" s="4"/>
      <c r="C254" s="4"/>
      <c r="D254" s="4"/>
      <c r="E254" s="4"/>
      <c r="F254" s="4"/>
      <c r="G254" s="6"/>
      <c r="H254" s="4"/>
      <c r="I254" s="4"/>
      <c r="J254" s="4"/>
      <c r="K254" s="4" t="str">
        <f t="shared" ca="1" si="7"/>
        <v>Sin fecha</v>
      </c>
      <c r="L254" s="8"/>
      <c r="M254" s="8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6"/>
      <c r="AC254" s="4"/>
      <c r="AD254" s="4"/>
    </row>
    <row r="255" spans="1:30">
      <c r="A255" s="4" t="str">
        <f t="shared" si="8"/>
        <v/>
      </c>
      <c r="B255" s="4"/>
      <c r="C255" s="4"/>
      <c r="D255" s="4"/>
      <c r="E255" s="4"/>
      <c r="F255" s="4"/>
      <c r="G255" s="6"/>
      <c r="H255" s="4"/>
      <c r="I255" s="4"/>
      <c r="J255" s="4"/>
      <c r="K255" s="4" t="str">
        <f t="shared" ca="1" si="7"/>
        <v>Sin fecha</v>
      </c>
      <c r="L255" s="8"/>
      <c r="M255" s="8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6"/>
      <c r="AC255" s="4"/>
      <c r="AD255" s="4"/>
    </row>
    <row r="256" spans="1:30">
      <c r="A256" s="4" t="str">
        <f t="shared" si="8"/>
        <v/>
      </c>
      <c r="B256" s="4"/>
      <c r="C256" s="4"/>
      <c r="D256" s="4"/>
      <c r="E256" s="4"/>
      <c r="F256" s="4"/>
      <c r="G256" s="6"/>
      <c r="H256" s="4"/>
      <c r="I256" s="4"/>
      <c r="J256" s="4"/>
      <c r="K256" s="4" t="str">
        <f t="shared" ref="K256:K319" ca="1" si="9">IF(J256="Cerrada","Cerrada",IF(J256="Suspendida","Suspendida",IF(G256="","Sin fecha",IF(G256&lt;TODAY(),"Vencida",IF(G256-TODAY()&lt;=30,"Próxima a vencer","Abierta")))))</f>
        <v>Sin fecha</v>
      </c>
      <c r="L256" s="8"/>
      <c r="M256" s="8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6"/>
      <c r="AC256" s="4"/>
      <c r="AD256" s="4"/>
    </row>
    <row r="257" spans="1:30">
      <c r="A257" s="4" t="str">
        <f t="shared" ref="A257:A320" si="10">IF(C257="","","OP-"&amp;TEXT(ROW()-1,"0000"))</f>
        <v/>
      </c>
      <c r="B257" s="4"/>
      <c r="C257" s="4"/>
      <c r="D257" s="4"/>
      <c r="E257" s="4"/>
      <c r="F257" s="4"/>
      <c r="G257" s="6"/>
      <c r="H257" s="4"/>
      <c r="I257" s="4"/>
      <c r="J257" s="4"/>
      <c r="K257" s="4" t="str">
        <f t="shared" ca="1" si="9"/>
        <v>Sin fecha</v>
      </c>
      <c r="L257" s="8"/>
      <c r="M257" s="8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6"/>
      <c r="AC257" s="4"/>
      <c r="AD257" s="4"/>
    </row>
    <row r="258" spans="1:30">
      <c r="A258" s="4" t="str">
        <f t="shared" si="10"/>
        <v/>
      </c>
      <c r="B258" s="4"/>
      <c r="C258" s="4"/>
      <c r="D258" s="4"/>
      <c r="E258" s="4"/>
      <c r="F258" s="4"/>
      <c r="G258" s="6"/>
      <c r="H258" s="4"/>
      <c r="I258" s="4"/>
      <c r="J258" s="4"/>
      <c r="K258" s="4" t="str">
        <f t="shared" ca="1" si="9"/>
        <v>Sin fecha</v>
      </c>
      <c r="L258" s="8"/>
      <c r="M258" s="8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6"/>
      <c r="AC258" s="4"/>
      <c r="AD258" s="4"/>
    </row>
    <row r="259" spans="1:30">
      <c r="A259" s="4" t="str">
        <f t="shared" si="10"/>
        <v/>
      </c>
      <c r="B259" s="4"/>
      <c r="C259" s="4"/>
      <c r="D259" s="4"/>
      <c r="E259" s="4"/>
      <c r="F259" s="4"/>
      <c r="G259" s="6"/>
      <c r="H259" s="4"/>
      <c r="I259" s="4"/>
      <c r="J259" s="4"/>
      <c r="K259" s="4" t="str">
        <f t="shared" ca="1" si="9"/>
        <v>Sin fecha</v>
      </c>
      <c r="L259" s="8"/>
      <c r="M259" s="8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6"/>
      <c r="AC259" s="4"/>
      <c r="AD259" s="4"/>
    </row>
    <row r="260" spans="1:30">
      <c r="A260" s="4" t="str">
        <f t="shared" si="10"/>
        <v/>
      </c>
      <c r="B260" s="4"/>
      <c r="C260" s="4"/>
      <c r="D260" s="4"/>
      <c r="E260" s="4"/>
      <c r="F260" s="4"/>
      <c r="G260" s="6"/>
      <c r="H260" s="4"/>
      <c r="I260" s="4"/>
      <c r="J260" s="4"/>
      <c r="K260" s="4" t="str">
        <f t="shared" ca="1" si="9"/>
        <v>Sin fecha</v>
      </c>
      <c r="L260" s="8"/>
      <c r="M260" s="8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6"/>
      <c r="AC260" s="4"/>
      <c r="AD260" s="4"/>
    </row>
    <row r="261" spans="1:30">
      <c r="A261" s="4" t="str">
        <f t="shared" si="10"/>
        <v/>
      </c>
      <c r="B261" s="4"/>
      <c r="C261" s="4"/>
      <c r="D261" s="4"/>
      <c r="E261" s="4"/>
      <c r="F261" s="4"/>
      <c r="G261" s="6"/>
      <c r="H261" s="4"/>
      <c r="I261" s="4"/>
      <c r="J261" s="4"/>
      <c r="K261" s="4" t="str">
        <f t="shared" ca="1" si="9"/>
        <v>Sin fecha</v>
      </c>
      <c r="L261" s="8"/>
      <c r="M261" s="8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6"/>
      <c r="AC261" s="4"/>
      <c r="AD261" s="4"/>
    </row>
    <row r="262" spans="1:30">
      <c r="A262" s="4" t="str">
        <f t="shared" si="10"/>
        <v/>
      </c>
      <c r="B262" s="4"/>
      <c r="C262" s="4"/>
      <c r="D262" s="4"/>
      <c r="E262" s="4"/>
      <c r="F262" s="4"/>
      <c r="G262" s="6"/>
      <c r="H262" s="4"/>
      <c r="I262" s="4"/>
      <c r="J262" s="4"/>
      <c r="K262" s="4" t="str">
        <f t="shared" ca="1" si="9"/>
        <v>Sin fecha</v>
      </c>
      <c r="L262" s="8"/>
      <c r="M262" s="8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6"/>
      <c r="AC262" s="4"/>
      <c r="AD262" s="4"/>
    </row>
    <row r="263" spans="1:30">
      <c r="A263" s="4" t="str">
        <f t="shared" si="10"/>
        <v/>
      </c>
      <c r="B263" s="4"/>
      <c r="C263" s="4"/>
      <c r="D263" s="4"/>
      <c r="E263" s="4"/>
      <c r="F263" s="4"/>
      <c r="G263" s="6"/>
      <c r="H263" s="4"/>
      <c r="I263" s="4"/>
      <c r="J263" s="4"/>
      <c r="K263" s="4" t="str">
        <f t="shared" ca="1" si="9"/>
        <v>Sin fecha</v>
      </c>
      <c r="L263" s="8"/>
      <c r="M263" s="8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6"/>
      <c r="AC263" s="4"/>
      <c r="AD263" s="4"/>
    </row>
    <row r="264" spans="1:30">
      <c r="A264" s="4" t="str">
        <f t="shared" si="10"/>
        <v/>
      </c>
      <c r="B264" s="4"/>
      <c r="C264" s="4"/>
      <c r="D264" s="4"/>
      <c r="E264" s="4"/>
      <c r="F264" s="4"/>
      <c r="G264" s="6"/>
      <c r="H264" s="4"/>
      <c r="I264" s="4"/>
      <c r="J264" s="4"/>
      <c r="K264" s="4" t="str">
        <f t="shared" ca="1" si="9"/>
        <v>Sin fecha</v>
      </c>
      <c r="L264" s="8"/>
      <c r="M264" s="8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6"/>
      <c r="AC264" s="4"/>
      <c r="AD264" s="4"/>
    </row>
    <row r="265" spans="1:30">
      <c r="A265" s="4" t="str">
        <f t="shared" si="10"/>
        <v/>
      </c>
      <c r="B265" s="4"/>
      <c r="C265" s="4"/>
      <c r="D265" s="4"/>
      <c r="E265" s="4"/>
      <c r="F265" s="4"/>
      <c r="G265" s="6"/>
      <c r="H265" s="4"/>
      <c r="I265" s="4"/>
      <c r="J265" s="4"/>
      <c r="K265" s="4" t="str">
        <f t="shared" ca="1" si="9"/>
        <v>Sin fecha</v>
      </c>
      <c r="L265" s="8"/>
      <c r="M265" s="8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6"/>
      <c r="AC265" s="4"/>
      <c r="AD265" s="4"/>
    </row>
    <row r="266" spans="1:30">
      <c r="A266" s="4" t="str">
        <f t="shared" si="10"/>
        <v/>
      </c>
      <c r="B266" s="4"/>
      <c r="C266" s="4"/>
      <c r="D266" s="4"/>
      <c r="E266" s="4"/>
      <c r="F266" s="4"/>
      <c r="G266" s="6"/>
      <c r="H266" s="4"/>
      <c r="I266" s="4"/>
      <c r="J266" s="4"/>
      <c r="K266" s="4" t="str">
        <f t="shared" ca="1" si="9"/>
        <v>Sin fecha</v>
      </c>
      <c r="L266" s="8"/>
      <c r="M266" s="8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6"/>
      <c r="AC266" s="4"/>
      <c r="AD266" s="4"/>
    </row>
    <row r="267" spans="1:30">
      <c r="A267" s="4" t="str">
        <f t="shared" si="10"/>
        <v/>
      </c>
      <c r="B267" s="4"/>
      <c r="C267" s="4"/>
      <c r="D267" s="4"/>
      <c r="E267" s="4"/>
      <c r="F267" s="4"/>
      <c r="G267" s="6"/>
      <c r="H267" s="4"/>
      <c r="I267" s="4"/>
      <c r="J267" s="4"/>
      <c r="K267" s="4" t="str">
        <f t="shared" ca="1" si="9"/>
        <v>Sin fecha</v>
      </c>
      <c r="L267" s="8"/>
      <c r="M267" s="8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6"/>
      <c r="AC267" s="4"/>
      <c r="AD267" s="4"/>
    </row>
    <row r="268" spans="1:30">
      <c r="A268" s="4" t="str">
        <f t="shared" si="10"/>
        <v/>
      </c>
      <c r="B268" s="4"/>
      <c r="C268" s="4"/>
      <c r="D268" s="4"/>
      <c r="E268" s="4"/>
      <c r="F268" s="4"/>
      <c r="G268" s="6"/>
      <c r="H268" s="4"/>
      <c r="I268" s="4"/>
      <c r="J268" s="4"/>
      <c r="K268" s="4" t="str">
        <f t="shared" ca="1" si="9"/>
        <v>Sin fecha</v>
      </c>
      <c r="L268" s="8"/>
      <c r="M268" s="8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6"/>
      <c r="AC268" s="4"/>
      <c r="AD268" s="4"/>
    </row>
    <row r="269" spans="1:30">
      <c r="A269" s="4" t="str">
        <f t="shared" si="10"/>
        <v/>
      </c>
      <c r="B269" s="4"/>
      <c r="C269" s="4"/>
      <c r="D269" s="4"/>
      <c r="E269" s="4"/>
      <c r="F269" s="4"/>
      <c r="G269" s="6"/>
      <c r="H269" s="4"/>
      <c r="I269" s="4"/>
      <c r="J269" s="4"/>
      <c r="K269" s="4" t="str">
        <f t="shared" ca="1" si="9"/>
        <v>Sin fecha</v>
      </c>
      <c r="L269" s="8"/>
      <c r="M269" s="8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6"/>
      <c r="AC269" s="4"/>
      <c r="AD269" s="4"/>
    </row>
    <row r="270" spans="1:30">
      <c r="A270" s="4" t="str">
        <f t="shared" si="10"/>
        <v/>
      </c>
      <c r="B270" s="4"/>
      <c r="C270" s="4"/>
      <c r="D270" s="4"/>
      <c r="E270" s="4"/>
      <c r="F270" s="4"/>
      <c r="G270" s="6"/>
      <c r="H270" s="4"/>
      <c r="I270" s="4"/>
      <c r="J270" s="4"/>
      <c r="K270" s="4" t="str">
        <f t="shared" ca="1" si="9"/>
        <v>Sin fecha</v>
      </c>
      <c r="L270" s="8"/>
      <c r="M270" s="8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6"/>
      <c r="AC270" s="4"/>
      <c r="AD270" s="4"/>
    </row>
    <row r="271" spans="1:30">
      <c r="A271" s="4" t="str">
        <f t="shared" si="10"/>
        <v/>
      </c>
      <c r="B271" s="4"/>
      <c r="C271" s="4"/>
      <c r="D271" s="4"/>
      <c r="E271" s="4"/>
      <c r="F271" s="4"/>
      <c r="G271" s="6"/>
      <c r="H271" s="4"/>
      <c r="I271" s="4"/>
      <c r="J271" s="4"/>
      <c r="K271" s="4" t="str">
        <f t="shared" ca="1" si="9"/>
        <v>Sin fecha</v>
      </c>
      <c r="L271" s="8"/>
      <c r="M271" s="8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6"/>
      <c r="AC271" s="4"/>
      <c r="AD271" s="4"/>
    </row>
    <row r="272" spans="1:30">
      <c r="A272" s="4" t="str">
        <f t="shared" si="10"/>
        <v/>
      </c>
      <c r="B272" s="4"/>
      <c r="C272" s="4"/>
      <c r="D272" s="4"/>
      <c r="E272" s="4"/>
      <c r="F272" s="4"/>
      <c r="G272" s="6"/>
      <c r="H272" s="4"/>
      <c r="I272" s="4"/>
      <c r="J272" s="4"/>
      <c r="K272" s="4" t="str">
        <f t="shared" ca="1" si="9"/>
        <v>Sin fecha</v>
      </c>
      <c r="L272" s="8"/>
      <c r="M272" s="8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6"/>
      <c r="AC272" s="4"/>
      <c r="AD272" s="4"/>
    </row>
    <row r="273" spans="1:30">
      <c r="A273" s="4" t="str">
        <f t="shared" si="10"/>
        <v/>
      </c>
      <c r="B273" s="4"/>
      <c r="C273" s="4"/>
      <c r="D273" s="4"/>
      <c r="E273" s="4"/>
      <c r="F273" s="4"/>
      <c r="G273" s="6"/>
      <c r="H273" s="4"/>
      <c r="I273" s="4"/>
      <c r="J273" s="4"/>
      <c r="K273" s="4" t="str">
        <f t="shared" ca="1" si="9"/>
        <v>Sin fecha</v>
      </c>
      <c r="L273" s="8"/>
      <c r="M273" s="8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6"/>
      <c r="AC273" s="4"/>
      <c r="AD273" s="4"/>
    </row>
    <row r="274" spans="1:30">
      <c r="A274" s="4" t="str">
        <f t="shared" si="10"/>
        <v/>
      </c>
      <c r="B274" s="4"/>
      <c r="C274" s="4"/>
      <c r="D274" s="4"/>
      <c r="E274" s="4"/>
      <c r="F274" s="4"/>
      <c r="G274" s="6"/>
      <c r="H274" s="4"/>
      <c r="I274" s="4"/>
      <c r="J274" s="4"/>
      <c r="K274" s="4" t="str">
        <f t="shared" ca="1" si="9"/>
        <v>Sin fecha</v>
      </c>
      <c r="L274" s="8"/>
      <c r="M274" s="8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6"/>
      <c r="AC274" s="4"/>
      <c r="AD274" s="4"/>
    </row>
    <row r="275" spans="1:30">
      <c r="A275" s="4" t="str">
        <f t="shared" si="10"/>
        <v/>
      </c>
      <c r="B275" s="4"/>
      <c r="C275" s="4"/>
      <c r="D275" s="4"/>
      <c r="E275" s="4"/>
      <c r="F275" s="4"/>
      <c r="G275" s="6"/>
      <c r="H275" s="4"/>
      <c r="I275" s="4"/>
      <c r="J275" s="4"/>
      <c r="K275" s="4" t="str">
        <f t="shared" ca="1" si="9"/>
        <v>Sin fecha</v>
      </c>
      <c r="L275" s="8"/>
      <c r="M275" s="8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6"/>
      <c r="AC275" s="4"/>
      <c r="AD275" s="4"/>
    </row>
    <row r="276" spans="1:30">
      <c r="A276" s="4" t="str">
        <f t="shared" si="10"/>
        <v/>
      </c>
      <c r="B276" s="4"/>
      <c r="C276" s="4"/>
      <c r="D276" s="4"/>
      <c r="E276" s="4"/>
      <c r="F276" s="4"/>
      <c r="G276" s="6"/>
      <c r="H276" s="4"/>
      <c r="I276" s="4"/>
      <c r="J276" s="4"/>
      <c r="K276" s="4" t="str">
        <f t="shared" ca="1" si="9"/>
        <v>Sin fecha</v>
      </c>
      <c r="L276" s="8"/>
      <c r="M276" s="8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6"/>
      <c r="AC276" s="4"/>
      <c r="AD276" s="4"/>
    </row>
    <row r="277" spans="1:30">
      <c r="A277" s="4" t="str">
        <f t="shared" si="10"/>
        <v/>
      </c>
      <c r="B277" s="4"/>
      <c r="C277" s="4"/>
      <c r="D277" s="4"/>
      <c r="E277" s="4"/>
      <c r="F277" s="4"/>
      <c r="G277" s="6"/>
      <c r="H277" s="4"/>
      <c r="I277" s="4"/>
      <c r="J277" s="4"/>
      <c r="K277" s="4" t="str">
        <f t="shared" ca="1" si="9"/>
        <v>Sin fecha</v>
      </c>
      <c r="L277" s="8"/>
      <c r="M277" s="8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6"/>
      <c r="AC277" s="4"/>
      <c r="AD277" s="4"/>
    </row>
    <row r="278" spans="1:30">
      <c r="A278" s="4" t="str">
        <f t="shared" si="10"/>
        <v/>
      </c>
      <c r="B278" s="4"/>
      <c r="C278" s="4"/>
      <c r="D278" s="4"/>
      <c r="E278" s="4"/>
      <c r="F278" s="4"/>
      <c r="G278" s="6"/>
      <c r="H278" s="4"/>
      <c r="I278" s="4"/>
      <c r="J278" s="4"/>
      <c r="K278" s="4" t="str">
        <f t="shared" ca="1" si="9"/>
        <v>Sin fecha</v>
      </c>
      <c r="L278" s="8"/>
      <c r="M278" s="8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6"/>
      <c r="AC278" s="4"/>
      <c r="AD278" s="4"/>
    </row>
    <row r="279" spans="1:30">
      <c r="A279" s="4" t="str">
        <f t="shared" si="10"/>
        <v/>
      </c>
      <c r="B279" s="4"/>
      <c r="C279" s="4"/>
      <c r="D279" s="4"/>
      <c r="E279" s="4"/>
      <c r="F279" s="4"/>
      <c r="G279" s="6"/>
      <c r="H279" s="4"/>
      <c r="I279" s="4"/>
      <c r="J279" s="4"/>
      <c r="K279" s="4" t="str">
        <f t="shared" ca="1" si="9"/>
        <v>Sin fecha</v>
      </c>
      <c r="L279" s="8"/>
      <c r="M279" s="8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6"/>
      <c r="AC279" s="4"/>
      <c r="AD279" s="4"/>
    </row>
    <row r="280" spans="1:30">
      <c r="A280" s="4" t="str">
        <f t="shared" si="10"/>
        <v/>
      </c>
      <c r="B280" s="4"/>
      <c r="C280" s="4"/>
      <c r="D280" s="4"/>
      <c r="E280" s="4"/>
      <c r="F280" s="4"/>
      <c r="G280" s="6"/>
      <c r="H280" s="4"/>
      <c r="I280" s="4"/>
      <c r="J280" s="4"/>
      <c r="K280" s="4" t="str">
        <f t="shared" ca="1" si="9"/>
        <v>Sin fecha</v>
      </c>
      <c r="L280" s="8"/>
      <c r="M280" s="8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6"/>
      <c r="AC280" s="4"/>
      <c r="AD280" s="4"/>
    </row>
    <row r="281" spans="1:30">
      <c r="A281" s="4" t="str">
        <f t="shared" si="10"/>
        <v/>
      </c>
      <c r="B281" s="4"/>
      <c r="C281" s="4"/>
      <c r="D281" s="4"/>
      <c r="E281" s="4"/>
      <c r="F281" s="4"/>
      <c r="G281" s="6"/>
      <c r="H281" s="4"/>
      <c r="I281" s="4"/>
      <c r="J281" s="4"/>
      <c r="K281" s="4" t="str">
        <f t="shared" ca="1" si="9"/>
        <v>Sin fecha</v>
      </c>
      <c r="L281" s="8"/>
      <c r="M281" s="8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6"/>
      <c r="AC281" s="4"/>
      <c r="AD281" s="4"/>
    </row>
    <row r="282" spans="1:30">
      <c r="A282" s="4" t="str">
        <f t="shared" si="10"/>
        <v/>
      </c>
      <c r="B282" s="4"/>
      <c r="C282" s="4"/>
      <c r="D282" s="4"/>
      <c r="E282" s="4"/>
      <c r="F282" s="4"/>
      <c r="G282" s="6"/>
      <c r="H282" s="4"/>
      <c r="I282" s="4"/>
      <c r="J282" s="4"/>
      <c r="K282" s="4" t="str">
        <f t="shared" ca="1" si="9"/>
        <v>Sin fecha</v>
      </c>
      <c r="L282" s="8"/>
      <c r="M282" s="8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6"/>
      <c r="AC282" s="4"/>
      <c r="AD282" s="4"/>
    </row>
    <row r="283" spans="1:30">
      <c r="A283" s="4" t="str">
        <f t="shared" si="10"/>
        <v/>
      </c>
      <c r="B283" s="4"/>
      <c r="C283" s="4"/>
      <c r="D283" s="4"/>
      <c r="E283" s="4"/>
      <c r="F283" s="4"/>
      <c r="G283" s="6"/>
      <c r="H283" s="4"/>
      <c r="I283" s="4"/>
      <c r="J283" s="4"/>
      <c r="K283" s="4" t="str">
        <f t="shared" ca="1" si="9"/>
        <v>Sin fecha</v>
      </c>
      <c r="L283" s="8"/>
      <c r="M283" s="8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6"/>
      <c r="AC283" s="4"/>
      <c r="AD283" s="4"/>
    </row>
    <row r="284" spans="1:30">
      <c r="A284" s="4" t="str">
        <f t="shared" si="10"/>
        <v/>
      </c>
      <c r="B284" s="4"/>
      <c r="C284" s="4"/>
      <c r="D284" s="4"/>
      <c r="E284" s="4"/>
      <c r="F284" s="4"/>
      <c r="G284" s="6"/>
      <c r="H284" s="4"/>
      <c r="I284" s="4"/>
      <c r="J284" s="4"/>
      <c r="K284" s="4" t="str">
        <f t="shared" ca="1" si="9"/>
        <v>Sin fecha</v>
      </c>
      <c r="L284" s="8"/>
      <c r="M284" s="8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6"/>
      <c r="AC284" s="4"/>
      <c r="AD284" s="4"/>
    </row>
    <row r="285" spans="1:30">
      <c r="A285" s="4" t="str">
        <f t="shared" si="10"/>
        <v/>
      </c>
      <c r="B285" s="4"/>
      <c r="C285" s="4"/>
      <c r="D285" s="4"/>
      <c r="E285" s="4"/>
      <c r="F285" s="4"/>
      <c r="G285" s="6"/>
      <c r="H285" s="4"/>
      <c r="I285" s="4"/>
      <c r="J285" s="4"/>
      <c r="K285" s="4" t="str">
        <f t="shared" ca="1" si="9"/>
        <v>Sin fecha</v>
      </c>
      <c r="L285" s="8"/>
      <c r="M285" s="8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6"/>
      <c r="AC285" s="4"/>
      <c r="AD285" s="4"/>
    </row>
    <row r="286" spans="1:30">
      <c r="A286" s="4" t="str">
        <f t="shared" si="10"/>
        <v/>
      </c>
      <c r="B286" s="4"/>
      <c r="C286" s="4"/>
      <c r="D286" s="4"/>
      <c r="E286" s="4"/>
      <c r="F286" s="4"/>
      <c r="G286" s="6"/>
      <c r="H286" s="4"/>
      <c r="I286" s="4"/>
      <c r="J286" s="4"/>
      <c r="K286" s="4" t="str">
        <f t="shared" ca="1" si="9"/>
        <v>Sin fecha</v>
      </c>
      <c r="L286" s="8"/>
      <c r="M286" s="8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6"/>
      <c r="AC286" s="4"/>
      <c r="AD286" s="4"/>
    </row>
    <row r="287" spans="1:30">
      <c r="A287" s="4" t="str">
        <f t="shared" si="10"/>
        <v/>
      </c>
      <c r="B287" s="4"/>
      <c r="C287" s="4"/>
      <c r="D287" s="4"/>
      <c r="E287" s="4"/>
      <c r="F287" s="4"/>
      <c r="G287" s="6"/>
      <c r="H287" s="4"/>
      <c r="I287" s="4"/>
      <c r="J287" s="4"/>
      <c r="K287" s="4" t="str">
        <f t="shared" ca="1" si="9"/>
        <v>Sin fecha</v>
      </c>
      <c r="L287" s="8"/>
      <c r="M287" s="8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6"/>
      <c r="AC287" s="4"/>
      <c r="AD287" s="4"/>
    </row>
    <row r="288" spans="1:30">
      <c r="A288" s="4" t="str">
        <f t="shared" si="10"/>
        <v/>
      </c>
      <c r="B288" s="4"/>
      <c r="C288" s="4"/>
      <c r="D288" s="4"/>
      <c r="E288" s="4"/>
      <c r="F288" s="4"/>
      <c r="G288" s="6"/>
      <c r="H288" s="4"/>
      <c r="I288" s="4"/>
      <c r="J288" s="4"/>
      <c r="K288" s="4" t="str">
        <f t="shared" ca="1" si="9"/>
        <v>Sin fecha</v>
      </c>
      <c r="L288" s="8"/>
      <c r="M288" s="8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6"/>
      <c r="AC288" s="4"/>
      <c r="AD288" s="4"/>
    </row>
    <row r="289" spans="1:30">
      <c r="A289" s="4" t="str">
        <f t="shared" si="10"/>
        <v/>
      </c>
      <c r="B289" s="4"/>
      <c r="C289" s="4"/>
      <c r="D289" s="4"/>
      <c r="E289" s="4"/>
      <c r="F289" s="4"/>
      <c r="G289" s="6"/>
      <c r="H289" s="4"/>
      <c r="I289" s="4"/>
      <c r="J289" s="4"/>
      <c r="K289" s="4" t="str">
        <f t="shared" ca="1" si="9"/>
        <v>Sin fecha</v>
      </c>
      <c r="L289" s="8"/>
      <c r="M289" s="8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6"/>
      <c r="AC289" s="4"/>
      <c r="AD289" s="4"/>
    </row>
    <row r="290" spans="1:30">
      <c r="A290" s="4" t="str">
        <f t="shared" si="10"/>
        <v/>
      </c>
      <c r="B290" s="4"/>
      <c r="C290" s="4"/>
      <c r="D290" s="4"/>
      <c r="E290" s="4"/>
      <c r="F290" s="4"/>
      <c r="G290" s="6"/>
      <c r="H290" s="4"/>
      <c r="I290" s="4"/>
      <c r="J290" s="4"/>
      <c r="K290" s="4" t="str">
        <f t="shared" ca="1" si="9"/>
        <v>Sin fecha</v>
      </c>
      <c r="L290" s="8"/>
      <c r="M290" s="8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6"/>
      <c r="AC290" s="4"/>
      <c r="AD290" s="4"/>
    </row>
    <row r="291" spans="1:30">
      <c r="A291" s="4" t="str">
        <f t="shared" si="10"/>
        <v/>
      </c>
      <c r="B291" s="4"/>
      <c r="C291" s="4"/>
      <c r="D291" s="4"/>
      <c r="E291" s="4"/>
      <c r="F291" s="4"/>
      <c r="G291" s="6"/>
      <c r="H291" s="4"/>
      <c r="I291" s="4"/>
      <c r="J291" s="4"/>
      <c r="K291" s="4" t="str">
        <f t="shared" ca="1" si="9"/>
        <v>Sin fecha</v>
      </c>
      <c r="L291" s="8"/>
      <c r="M291" s="8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6"/>
      <c r="AC291" s="4"/>
      <c r="AD291" s="4"/>
    </row>
    <row r="292" spans="1:30">
      <c r="A292" s="4" t="str">
        <f t="shared" si="10"/>
        <v/>
      </c>
      <c r="B292" s="4"/>
      <c r="C292" s="4"/>
      <c r="D292" s="4"/>
      <c r="E292" s="4"/>
      <c r="F292" s="4"/>
      <c r="G292" s="6"/>
      <c r="H292" s="4"/>
      <c r="I292" s="4"/>
      <c r="J292" s="4"/>
      <c r="K292" s="4" t="str">
        <f t="shared" ca="1" si="9"/>
        <v>Sin fecha</v>
      </c>
      <c r="L292" s="8"/>
      <c r="M292" s="8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6"/>
      <c r="AC292" s="4"/>
      <c r="AD292" s="4"/>
    </row>
    <row r="293" spans="1:30">
      <c r="A293" s="4" t="str">
        <f t="shared" si="10"/>
        <v/>
      </c>
      <c r="B293" s="4"/>
      <c r="C293" s="4"/>
      <c r="D293" s="4"/>
      <c r="E293" s="4"/>
      <c r="F293" s="4"/>
      <c r="G293" s="6"/>
      <c r="H293" s="4"/>
      <c r="I293" s="4"/>
      <c r="J293" s="4"/>
      <c r="K293" s="4" t="str">
        <f t="shared" ca="1" si="9"/>
        <v>Sin fecha</v>
      </c>
      <c r="L293" s="8"/>
      <c r="M293" s="8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6"/>
      <c r="AC293" s="4"/>
      <c r="AD293" s="4"/>
    </row>
    <row r="294" spans="1:30">
      <c r="A294" s="4" t="str">
        <f t="shared" si="10"/>
        <v/>
      </c>
      <c r="B294" s="4"/>
      <c r="C294" s="4"/>
      <c r="D294" s="4"/>
      <c r="E294" s="4"/>
      <c r="F294" s="4"/>
      <c r="G294" s="6"/>
      <c r="H294" s="4"/>
      <c r="I294" s="4"/>
      <c r="J294" s="4"/>
      <c r="K294" s="4" t="str">
        <f t="shared" ca="1" si="9"/>
        <v>Sin fecha</v>
      </c>
      <c r="L294" s="8"/>
      <c r="M294" s="8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6"/>
      <c r="AC294" s="4"/>
      <c r="AD294" s="4"/>
    </row>
    <row r="295" spans="1:30">
      <c r="A295" s="4" t="str">
        <f t="shared" si="10"/>
        <v/>
      </c>
      <c r="B295" s="4"/>
      <c r="C295" s="4"/>
      <c r="D295" s="4"/>
      <c r="E295" s="4"/>
      <c r="F295" s="4"/>
      <c r="G295" s="6"/>
      <c r="H295" s="4"/>
      <c r="I295" s="4"/>
      <c r="J295" s="4"/>
      <c r="K295" s="4" t="str">
        <f t="shared" ca="1" si="9"/>
        <v>Sin fecha</v>
      </c>
      <c r="L295" s="8"/>
      <c r="M295" s="8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6"/>
      <c r="AC295" s="4"/>
      <c r="AD295" s="4"/>
    </row>
    <row r="296" spans="1:30">
      <c r="A296" s="4" t="str">
        <f t="shared" si="10"/>
        <v/>
      </c>
      <c r="B296" s="4"/>
      <c r="C296" s="4"/>
      <c r="D296" s="4"/>
      <c r="E296" s="4"/>
      <c r="F296" s="4"/>
      <c r="G296" s="6"/>
      <c r="H296" s="4"/>
      <c r="I296" s="4"/>
      <c r="J296" s="4"/>
      <c r="K296" s="4" t="str">
        <f t="shared" ca="1" si="9"/>
        <v>Sin fecha</v>
      </c>
      <c r="L296" s="8"/>
      <c r="M296" s="8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6"/>
      <c r="AC296" s="4"/>
      <c r="AD296" s="4"/>
    </row>
    <row r="297" spans="1:30">
      <c r="A297" s="4" t="str">
        <f t="shared" si="10"/>
        <v/>
      </c>
      <c r="B297" s="4"/>
      <c r="C297" s="4"/>
      <c r="D297" s="4"/>
      <c r="E297" s="4"/>
      <c r="F297" s="4"/>
      <c r="G297" s="6"/>
      <c r="H297" s="4"/>
      <c r="I297" s="4"/>
      <c r="J297" s="4"/>
      <c r="K297" s="4" t="str">
        <f t="shared" ca="1" si="9"/>
        <v>Sin fecha</v>
      </c>
      <c r="L297" s="8"/>
      <c r="M297" s="8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6"/>
      <c r="AC297" s="4"/>
      <c r="AD297" s="4"/>
    </row>
    <row r="298" spans="1:30">
      <c r="A298" s="4" t="str">
        <f t="shared" si="10"/>
        <v/>
      </c>
      <c r="B298" s="4"/>
      <c r="C298" s="4"/>
      <c r="D298" s="4"/>
      <c r="E298" s="4"/>
      <c r="F298" s="4"/>
      <c r="G298" s="6"/>
      <c r="H298" s="4"/>
      <c r="I298" s="4"/>
      <c r="J298" s="4"/>
      <c r="K298" s="4" t="str">
        <f t="shared" ca="1" si="9"/>
        <v>Sin fecha</v>
      </c>
      <c r="L298" s="8"/>
      <c r="M298" s="8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6"/>
      <c r="AC298" s="4"/>
      <c r="AD298" s="4"/>
    </row>
    <row r="299" spans="1:30">
      <c r="A299" s="4" t="str">
        <f t="shared" si="10"/>
        <v/>
      </c>
      <c r="B299" s="4"/>
      <c r="C299" s="4"/>
      <c r="D299" s="4"/>
      <c r="E299" s="4"/>
      <c r="F299" s="4"/>
      <c r="G299" s="6"/>
      <c r="H299" s="4"/>
      <c r="I299" s="4"/>
      <c r="J299" s="4"/>
      <c r="K299" s="4" t="str">
        <f t="shared" ca="1" si="9"/>
        <v>Sin fecha</v>
      </c>
      <c r="L299" s="8"/>
      <c r="M299" s="8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6"/>
      <c r="AC299" s="4"/>
      <c r="AD299" s="4"/>
    </row>
    <row r="300" spans="1:30">
      <c r="A300" s="4" t="str">
        <f t="shared" si="10"/>
        <v/>
      </c>
      <c r="B300" s="4"/>
      <c r="C300" s="4"/>
      <c r="D300" s="4"/>
      <c r="E300" s="4"/>
      <c r="F300" s="4"/>
      <c r="G300" s="6"/>
      <c r="H300" s="4"/>
      <c r="I300" s="4"/>
      <c r="J300" s="4"/>
      <c r="K300" s="4" t="str">
        <f t="shared" ca="1" si="9"/>
        <v>Sin fecha</v>
      </c>
      <c r="L300" s="8"/>
      <c r="M300" s="8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6"/>
      <c r="AC300" s="4"/>
      <c r="AD300" s="4"/>
    </row>
    <row r="301" spans="1:30">
      <c r="A301" s="4" t="str">
        <f t="shared" si="10"/>
        <v/>
      </c>
      <c r="B301" s="4"/>
      <c r="C301" s="4"/>
      <c r="D301" s="4"/>
      <c r="E301" s="4"/>
      <c r="F301" s="4"/>
      <c r="G301" s="6"/>
      <c r="H301" s="4"/>
      <c r="I301" s="4"/>
      <c r="J301" s="4"/>
      <c r="K301" s="4" t="str">
        <f t="shared" ca="1" si="9"/>
        <v>Sin fecha</v>
      </c>
      <c r="L301" s="8"/>
      <c r="M301" s="8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6"/>
      <c r="AC301" s="4"/>
      <c r="AD301" s="4"/>
    </row>
    <row r="302" spans="1:30">
      <c r="A302" s="4" t="str">
        <f t="shared" si="10"/>
        <v/>
      </c>
      <c r="B302" s="4"/>
      <c r="C302" s="4"/>
      <c r="D302" s="4"/>
      <c r="E302" s="4"/>
      <c r="F302" s="4"/>
      <c r="G302" s="6"/>
      <c r="H302" s="4"/>
      <c r="I302" s="4"/>
      <c r="J302" s="4"/>
      <c r="K302" s="4" t="str">
        <f t="shared" ca="1" si="9"/>
        <v>Sin fecha</v>
      </c>
      <c r="L302" s="8"/>
      <c r="M302" s="8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6"/>
      <c r="AC302" s="4"/>
      <c r="AD302" s="4"/>
    </row>
    <row r="303" spans="1:30">
      <c r="A303" s="4" t="str">
        <f t="shared" si="10"/>
        <v/>
      </c>
      <c r="B303" s="4"/>
      <c r="C303" s="4"/>
      <c r="D303" s="4"/>
      <c r="E303" s="4"/>
      <c r="F303" s="4"/>
      <c r="G303" s="6"/>
      <c r="H303" s="4"/>
      <c r="I303" s="4"/>
      <c r="J303" s="4"/>
      <c r="K303" s="4" t="str">
        <f t="shared" ca="1" si="9"/>
        <v>Sin fecha</v>
      </c>
      <c r="L303" s="8"/>
      <c r="M303" s="8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6"/>
      <c r="AC303" s="4"/>
      <c r="AD303" s="4"/>
    </row>
    <row r="304" spans="1:30">
      <c r="A304" s="4" t="str">
        <f t="shared" si="10"/>
        <v/>
      </c>
      <c r="B304" s="4"/>
      <c r="C304" s="4"/>
      <c r="D304" s="4"/>
      <c r="E304" s="4"/>
      <c r="F304" s="4"/>
      <c r="G304" s="6"/>
      <c r="H304" s="4"/>
      <c r="I304" s="4"/>
      <c r="J304" s="4"/>
      <c r="K304" s="4" t="str">
        <f t="shared" ca="1" si="9"/>
        <v>Sin fecha</v>
      </c>
      <c r="L304" s="8"/>
      <c r="M304" s="8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6"/>
      <c r="AC304" s="4"/>
      <c r="AD304" s="4"/>
    </row>
    <row r="305" spans="1:30">
      <c r="A305" s="4" t="str">
        <f t="shared" si="10"/>
        <v/>
      </c>
      <c r="B305" s="4"/>
      <c r="C305" s="4"/>
      <c r="D305" s="4"/>
      <c r="E305" s="4"/>
      <c r="F305" s="4"/>
      <c r="G305" s="6"/>
      <c r="H305" s="4"/>
      <c r="I305" s="4"/>
      <c r="J305" s="4"/>
      <c r="K305" s="4" t="str">
        <f t="shared" ca="1" si="9"/>
        <v>Sin fecha</v>
      </c>
      <c r="L305" s="8"/>
      <c r="M305" s="8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6"/>
      <c r="AC305" s="4"/>
      <c r="AD305" s="4"/>
    </row>
    <row r="306" spans="1:30">
      <c r="A306" s="4" t="str">
        <f t="shared" si="10"/>
        <v/>
      </c>
      <c r="B306" s="4"/>
      <c r="C306" s="4"/>
      <c r="D306" s="4"/>
      <c r="E306" s="4"/>
      <c r="F306" s="4"/>
      <c r="G306" s="6"/>
      <c r="H306" s="4"/>
      <c r="I306" s="4"/>
      <c r="J306" s="4"/>
      <c r="K306" s="4" t="str">
        <f t="shared" ca="1" si="9"/>
        <v>Sin fecha</v>
      </c>
      <c r="L306" s="8"/>
      <c r="M306" s="8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6"/>
      <c r="AC306" s="4"/>
      <c r="AD306" s="4"/>
    </row>
    <row r="307" spans="1:30">
      <c r="A307" s="4" t="str">
        <f t="shared" si="10"/>
        <v/>
      </c>
      <c r="B307" s="4"/>
      <c r="C307" s="4"/>
      <c r="D307" s="4"/>
      <c r="E307" s="4"/>
      <c r="F307" s="4"/>
      <c r="G307" s="6"/>
      <c r="H307" s="4"/>
      <c r="I307" s="4"/>
      <c r="J307" s="4"/>
      <c r="K307" s="4" t="str">
        <f t="shared" ca="1" si="9"/>
        <v>Sin fecha</v>
      </c>
      <c r="L307" s="8"/>
      <c r="M307" s="8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6"/>
      <c r="AC307" s="4"/>
      <c r="AD307" s="4"/>
    </row>
    <row r="308" spans="1:30">
      <c r="A308" s="4" t="str">
        <f t="shared" si="10"/>
        <v/>
      </c>
      <c r="B308" s="4"/>
      <c r="C308" s="4"/>
      <c r="D308" s="4"/>
      <c r="E308" s="4"/>
      <c r="F308" s="4"/>
      <c r="G308" s="6"/>
      <c r="H308" s="4"/>
      <c r="I308" s="4"/>
      <c r="J308" s="4"/>
      <c r="K308" s="4" t="str">
        <f t="shared" ca="1" si="9"/>
        <v>Sin fecha</v>
      </c>
      <c r="L308" s="8"/>
      <c r="M308" s="8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6"/>
      <c r="AC308" s="4"/>
      <c r="AD308" s="4"/>
    </row>
    <row r="309" spans="1:30">
      <c r="A309" s="4" t="str">
        <f t="shared" si="10"/>
        <v/>
      </c>
      <c r="B309" s="4"/>
      <c r="C309" s="4"/>
      <c r="D309" s="4"/>
      <c r="E309" s="4"/>
      <c r="F309" s="4"/>
      <c r="G309" s="6"/>
      <c r="H309" s="4"/>
      <c r="I309" s="4"/>
      <c r="J309" s="4"/>
      <c r="K309" s="4" t="str">
        <f t="shared" ca="1" si="9"/>
        <v>Sin fecha</v>
      </c>
      <c r="L309" s="8"/>
      <c r="M309" s="8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6"/>
      <c r="AC309" s="4"/>
      <c r="AD309" s="4"/>
    </row>
    <row r="310" spans="1:30">
      <c r="A310" s="4" t="str">
        <f t="shared" si="10"/>
        <v/>
      </c>
      <c r="B310" s="4"/>
      <c r="C310" s="4"/>
      <c r="D310" s="4"/>
      <c r="E310" s="4"/>
      <c r="F310" s="4"/>
      <c r="G310" s="6"/>
      <c r="H310" s="4"/>
      <c r="I310" s="4"/>
      <c r="J310" s="4"/>
      <c r="K310" s="4" t="str">
        <f t="shared" ca="1" si="9"/>
        <v>Sin fecha</v>
      </c>
      <c r="L310" s="8"/>
      <c r="M310" s="8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6"/>
      <c r="AC310" s="4"/>
      <c r="AD310" s="4"/>
    </row>
    <row r="311" spans="1:30">
      <c r="A311" s="4" t="str">
        <f t="shared" si="10"/>
        <v/>
      </c>
      <c r="B311" s="4"/>
      <c r="C311" s="4"/>
      <c r="D311" s="4"/>
      <c r="E311" s="4"/>
      <c r="F311" s="4"/>
      <c r="G311" s="6"/>
      <c r="H311" s="4"/>
      <c r="I311" s="4"/>
      <c r="J311" s="4"/>
      <c r="K311" s="4" t="str">
        <f t="shared" ca="1" si="9"/>
        <v>Sin fecha</v>
      </c>
      <c r="L311" s="8"/>
      <c r="M311" s="8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6"/>
      <c r="AC311" s="4"/>
      <c r="AD311" s="4"/>
    </row>
    <row r="312" spans="1:30">
      <c r="A312" s="4" t="str">
        <f t="shared" si="10"/>
        <v/>
      </c>
      <c r="B312" s="4"/>
      <c r="C312" s="4"/>
      <c r="D312" s="4"/>
      <c r="E312" s="4"/>
      <c r="F312" s="4"/>
      <c r="G312" s="6"/>
      <c r="H312" s="4"/>
      <c r="I312" s="4"/>
      <c r="J312" s="4"/>
      <c r="K312" s="4" t="str">
        <f t="shared" ca="1" si="9"/>
        <v>Sin fecha</v>
      </c>
      <c r="L312" s="8"/>
      <c r="M312" s="8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6"/>
      <c r="AC312" s="4"/>
      <c r="AD312" s="4"/>
    </row>
    <row r="313" spans="1:30">
      <c r="A313" s="4" t="str">
        <f t="shared" si="10"/>
        <v/>
      </c>
      <c r="B313" s="4"/>
      <c r="C313" s="4"/>
      <c r="D313" s="4"/>
      <c r="E313" s="4"/>
      <c r="F313" s="4"/>
      <c r="G313" s="6"/>
      <c r="H313" s="4"/>
      <c r="I313" s="4"/>
      <c r="J313" s="4"/>
      <c r="K313" s="4" t="str">
        <f t="shared" ca="1" si="9"/>
        <v>Sin fecha</v>
      </c>
      <c r="L313" s="8"/>
      <c r="M313" s="8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6"/>
      <c r="AC313" s="4"/>
      <c r="AD313" s="4"/>
    </row>
    <row r="314" spans="1:30">
      <c r="A314" s="4" t="str">
        <f t="shared" si="10"/>
        <v/>
      </c>
      <c r="B314" s="4"/>
      <c r="C314" s="4"/>
      <c r="D314" s="4"/>
      <c r="E314" s="4"/>
      <c r="F314" s="4"/>
      <c r="G314" s="6"/>
      <c r="H314" s="4"/>
      <c r="I314" s="4"/>
      <c r="J314" s="4"/>
      <c r="K314" s="4" t="str">
        <f t="shared" ca="1" si="9"/>
        <v>Sin fecha</v>
      </c>
      <c r="L314" s="8"/>
      <c r="M314" s="8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6"/>
      <c r="AC314" s="4"/>
      <c r="AD314" s="4"/>
    </row>
    <row r="315" spans="1:30">
      <c r="A315" s="4" t="str">
        <f t="shared" si="10"/>
        <v/>
      </c>
      <c r="B315" s="4"/>
      <c r="C315" s="4"/>
      <c r="D315" s="4"/>
      <c r="E315" s="4"/>
      <c r="F315" s="4"/>
      <c r="G315" s="6"/>
      <c r="H315" s="4"/>
      <c r="I315" s="4"/>
      <c r="J315" s="4"/>
      <c r="K315" s="4" t="str">
        <f t="shared" ca="1" si="9"/>
        <v>Sin fecha</v>
      </c>
      <c r="L315" s="8"/>
      <c r="M315" s="8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6"/>
      <c r="AC315" s="4"/>
      <c r="AD315" s="4"/>
    </row>
    <row r="316" spans="1:30">
      <c r="A316" s="4" t="str">
        <f t="shared" si="10"/>
        <v/>
      </c>
      <c r="B316" s="4"/>
      <c r="C316" s="4"/>
      <c r="D316" s="4"/>
      <c r="E316" s="4"/>
      <c r="F316" s="4"/>
      <c r="G316" s="6"/>
      <c r="H316" s="4"/>
      <c r="I316" s="4"/>
      <c r="J316" s="4"/>
      <c r="K316" s="4" t="str">
        <f t="shared" ca="1" si="9"/>
        <v>Sin fecha</v>
      </c>
      <c r="L316" s="8"/>
      <c r="M316" s="8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6"/>
      <c r="AC316" s="4"/>
      <c r="AD316" s="4"/>
    </row>
    <row r="317" spans="1:30">
      <c r="A317" s="4" t="str">
        <f t="shared" si="10"/>
        <v/>
      </c>
      <c r="B317" s="4"/>
      <c r="C317" s="4"/>
      <c r="D317" s="4"/>
      <c r="E317" s="4"/>
      <c r="F317" s="4"/>
      <c r="G317" s="6"/>
      <c r="H317" s="4"/>
      <c r="I317" s="4"/>
      <c r="J317" s="4"/>
      <c r="K317" s="4" t="str">
        <f t="shared" ca="1" si="9"/>
        <v>Sin fecha</v>
      </c>
      <c r="L317" s="8"/>
      <c r="M317" s="8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6"/>
      <c r="AC317" s="4"/>
      <c r="AD317" s="4"/>
    </row>
    <row r="318" spans="1:30">
      <c r="A318" s="4" t="str">
        <f t="shared" si="10"/>
        <v/>
      </c>
      <c r="B318" s="4"/>
      <c r="C318" s="4"/>
      <c r="D318" s="4"/>
      <c r="E318" s="4"/>
      <c r="F318" s="4"/>
      <c r="G318" s="6"/>
      <c r="H318" s="4"/>
      <c r="I318" s="4"/>
      <c r="J318" s="4"/>
      <c r="K318" s="4" t="str">
        <f t="shared" ca="1" si="9"/>
        <v>Sin fecha</v>
      </c>
      <c r="L318" s="8"/>
      <c r="M318" s="8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6"/>
      <c r="AC318" s="4"/>
      <c r="AD318" s="4"/>
    </row>
    <row r="319" spans="1:30">
      <c r="A319" s="4" t="str">
        <f t="shared" si="10"/>
        <v/>
      </c>
      <c r="B319" s="4"/>
      <c r="C319" s="4"/>
      <c r="D319" s="4"/>
      <c r="E319" s="4"/>
      <c r="F319" s="4"/>
      <c r="G319" s="6"/>
      <c r="H319" s="4"/>
      <c r="I319" s="4"/>
      <c r="J319" s="4"/>
      <c r="K319" s="4" t="str">
        <f t="shared" ca="1" si="9"/>
        <v>Sin fecha</v>
      </c>
      <c r="L319" s="8"/>
      <c r="M319" s="8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6"/>
      <c r="AC319" s="4"/>
      <c r="AD319" s="4"/>
    </row>
    <row r="320" spans="1:30">
      <c r="A320" s="4" t="str">
        <f t="shared" si="10"/>
        <v/>
      </c>
      <c r="B320" s="4"/>
      <c r="C320" s="4"/>
      <c r="D320" s="4"/>
      <c r="E320" s="4"/>
      <c r="F320" s="4"/>
      <c r="G320" s="6"/>
      <c r="H320" s="4"/>
      <c r="I320" s="4"/>
      <c r="J320" s="4"/>
      <c r="K320" s="4" t="str">
        <f t="shared" ref="K320:K383" ca="1" si="11">IF(J320="Cerrada","Cerrada",IF(J320="Suspendida","Suspendida",IF(G320="","Sin fecha",IF(G320&lt;TODAY(),"Vencida",IF(G320-TODAY()&lt;=30,"Próxima a vencer","Abierta")))))</f>
        <v>Sin fecha</v>
      </c>
      <c r="L320" s="8"/>
      <c r="M320" s="8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6"/>
      <c r="AC320" s="4"/>
      <c r="AD320" s="4"/>
    </row>
    <row r="321" spans="1:30">
      <c r="A321" s="4" t="str">
        <f t="shared" ref="A321:A384" si="12">IF(C321="","","OP-"&amp;TEXT(ROW()-1,"0000"))</f>
        <v/>
      </c>
      <c r="B321" s="4"/>
      <c r="C321" s="4"/>
      <c r="D321" s="4"/>
      <c r="E321" s="4"/>
      <c r="F321" s="4"/>
      <c r="G321" s="6"/>
      <c r="H321" s="4"/>
      <c r="I321" s="4"/>
      <c r="J321" s="4"/>
      <c r="K321" s="4" t="str">
        <f t="shared" ca="1" si="11"/>
        <v>Sin fecha</v>
      </c>
      <c r="L321" s="8"/>
      <c r="M321" s="8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6"/>
      <c r="AC321" s="4"/>
      <c r="AD321" s="4"/>
    </row>
    <row r="322" spans="1:30">
      <c r="A322" s="4" t="str">
        <f t="shared" si="12"/>
        <v/>
      </c>
      <c r="B322" s="4"/>
      <c r="C322" s="4"/>
      <c r="D322" s="4"/>
      <c r="E322" s="4"/>
      <c r="F322" s="4"/>
      <c r="G322" s="6"/>
      <c r="H322" s="4"/>
      <c r="I322" s="4"/>
      <c r="J322" s="4"/>
      <c r="K322" s="4" t="str">
        <f t="shared" ca="1" si="11"/>
        <v>Sin fecha</v>
      </c>
      <c r="L322" s="8"/>
      <c r="M322" s="8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6"/>
      <c r="AC322" s="4"/>
      <c r="AD322" s="4"/>
    </row>
    <row r="323" spans="1:30">
      <c r="A323" s="4" t="str">
        <f t="shared" si="12"/>
        <v/>
      </c>
      <c r="B323" s="4"/>
      <c r="C323" s="4"/>
      <c r="D323" s="4"/>
      <c r="E323" s="4"/>
      <c r="F323" s="4"/>
      <c r="G323" s="6"/>
      <c r="H323" s="4"/>
      <c r="I323" s="4"/>
      <c r="J323" s="4"/>
      <c r="K323" s="4" t="str">
        <f t="shared" ca="1" si="11"/>
        <v>Sin fecha</v>
      </c>
      <c r="L323" s="8"/>
      <c r="M323" s="8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6"/>
      <c r="AC323" s="4"/>
      <c r="AD323" s="4"/>
    </row>
    <row r="324" spans="1:30">
      <c r="A324" s="4" t="str">
        <f t="shared" si="12"/>
        <v/>
      </c>
      <c r="B324" s="4"/>
      <c r="C324" s="4"/>
      <c r="D324" s="4"/>
      <c r="E324" s="4"/>
      <c r="F324" s="4"/>
      <c r="G324" s="6"/>
      <c r="H324" s="4"/>
      <c r="I324" s="4"/>
      <c r="J324" s="4"/>
      <c r="K324" s="4" t="str">
        <f t="shared" ca="1" si="11"/>
        <v>Sin fecha</v>
      </c>
      <c r="L324" s="8"/>
      <c r="M324" s="8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6"/>
      <c r="AC324" s="4"/>
      <c r="AD324" s="4"/>
    </row>
    <row r="325" spans="1:30">
      <c r="A325" s="4" t="str">
        <f t="shared" si="12"/>
        <v/>
      </c>
      <c r="B325" s="4"/>
      <c r="C325" s="4"/>
      <c r="D325" s="4"/>
      <c r="E325" s="4"/>
      <c r="F325" s="4"/>
      <c r="G325" s="6"/>
      <c r="H325" s="4"/>
      <c r="I325" s="4"/>
      <c r="J325" s="4"/>
      <c r="K325" s="4" t="str">
        <f t="shared" ca="1" si="11"/>
        <v>Sin fecha</v>
      </c>
      <c r="L325" s="8"/>
      <c r="M325" s="8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6"/>
      <c r="AC325" s="4"/>
      <c r="AD325" s="4"/>
    </row>
    <row r="326" spans="1:30">
      <c r="A326" s="4" t="str">
        <f t="shared" si="12"/>
        <v/>
      </c>
      <c r="B326" s="4"/>
      <c r="C326" s="4"/>
      <c r="D326" s="4"/>
      <c r="E326" s="4"/>
      <c r="F326" s="4"/>
      <c r="G326" s="6"/>
      <c r="H326" s="4"/>
      <c r="I326" s="4"/>
      <c r="J326" s="4"/>
      <c r="K326" s="4" t="str">
        <f t="shared" ca="1" si="11"/>
        <v>Sin fecha</v>
      </c>
      <c r="L326" s="8"/>
      <c r="M326" s="8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6"/>
      <c r="AC326" s="4"/>
      <c r="AD326" s="4"/>
    </row>
    <row r="327" spans="1:30">
      <c r="A327" s="4" t="str">
        <f t="shared" si="12"/>
        <v/>
      </c>
      <c r="B327" s="4"/>
      <c r="C327" s="4"/>
      <c r="D327" s="4"/>
      <c r="E327" s="4"/>
      <c r="F327" s="4"/>
      <c r="G327" s="6"/>
      <c r="H327" s="4"/>
      <c r="I327" s="4"/>
      <c r="J327" s="4"/>
      <c r="K327" s="4" t="str">
        <f t="shared" ca="1" si="11"/>
        <v>Sin fecha</v>
      </c>
      <c r="L327" s="8"/>
      <c r="M327" s="8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6"/>
      <c r="AC327" s="4"/>
      <c r="AD327" s="4"/>
    </row>
    <row r="328" spans="1:30">
      <c r="A328" s="4" t="str">
        <f t="shared" si="12"/>
        <v/>
      </c>
      <c r="B328" s="4"/>
      <c r="C328" s="4"/>
      <c r="D328" s="4"/>
      <c r="E328" s="4"/>
      <c r="F328" s="4"/>
      <c r="G328" s="6"/>
      <c r="H328" s="4"/>
      <c r="I328" s="4"/>
      <c r="J328" s="4"/>
      <c r="K328" s="4" t="str">
        <f t="shared" ca="1" si="11"/>
        <v>Sin fecha</v>
      </c>
      <c r="L328" s="8"/>
      <c r="M328" s="8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6"/>
      <c r="AC328" s="4"/>
      <c r="AD328" s="4"/>
    </row>
    <row r="329" spans="1:30">
      <c r="A329" s="4" t="str">
        <f t="shared" si="12"/>
        <v/>
      </c>
      <c r="B329" s="4"/>
      <c r="C329" s="4"/>
      <c r="D329" s="4"/>
      <c r="E329" s="4"/>
      <c r="F329" s="4"/>
      <c r="G329" s="6"/>
      <c r="H329" s="4"/>
      <c r="I329" s="4"/>
      <c r="J329" s="4"/>
      <c r="K329" s="4" t="str">
        <f t="shared" ca="1" si="11"/>
        <v>Sin fecha</v>
      </c>
      <c r="L329" s="8"/>
      <c r="M329" s="8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6"/>
      <c r="AC329" s="4"/>
      <c r="AD329" s="4"/>
    </row>
    <row r="330" spans="1:30">
      <c r="A330" s="4" t="str">
        <f t="shared" si="12"/>
        <v/>
      </c>
      <c r="B330" s="4"/>
      <c r="C330" s="4"/>
      <c r="D330" s="4"/>
      <c r="E330" s="4"/>
      <c r="F330" s="4"/>
      <c r="G330" s="6"/>
      <c r="H330" s="4"/>
      <c r="I330" s="4"/>
      <c r="J330" s="4"/>
      <c r="K330" s="4" t="str">
        <f t="shared" ca="1" si="11"/>
        <v>Sin fecha</v>
      </c>
      <c r="L330" s="8"/>
      <c r="M330" s="8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6"/>
      <c r="AC330" s="4"/>
      <c r="AD330" s="4"/>
    </row>
    <row r="331" spans="1:30">
      <c r="A331" s="4" t="str">
        <f t="shared" si="12"/>
        <v/>
      </c>
      <c r="B331" s="4"/>
      <c r="C331" s="4"/>
      <c r="D331" s="4"/>
      <c r="E331" s="4"/>
      <c r="F331" s="4"/>
      <c r="G331" s="6"/>
      <c r="H331" s="4"/>
      <c r="I331" s="4"/>
      <c r="J331" s="4"/>
      <c r="K331" s="4" t="str">
        <f t="shared" ca="1" si="11"/>
        <v>Sin fecha</v>
      </c>
      <c r="L331" s="8"/>
      <c r="M331" s="8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6"/>
      <c r="AC331" s="4"/>
      <c r="AD331" s="4"/>
    </row>
    <row r="332" spans="1:30">
      <c r="A332" s="4" t="str">
        <f t="shared" si="12"/>
        <v/>
      </c>
      <c r="B332" s="4"/>
      <c r="C332" s="4"/>
      <c r="D332" s="4"/>
      <c r="E332" s="4"/>
      <c r="F332" s="4"/>
      <c r="G332" s="6"/>
      <c r="H332" s="4"/>
      <c r="I332" s="4"/>
      <c r="J332" s="4"/>
      <c r="K332" s="4" t="str">
        <f t="shared" ca="1" si="11"/>
        <v>Sin fecha</v>
      </c>
      <c r="L332" s="8"/>
      <c r="M332" s="8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6"/>
      <c r="AC332" s="4"/>
      <c r="AD332" s="4"/>
    </row>
    <row r="333" spans="1:30">
      <c r="A333" s="4" t="str">
        <f t="shared" si="12"/>
        <v/>
      </c>
      <c r="B333" s="4"/>
      <c r="C333" s="4"/>
      <c r="D333" s="4"/>
      <c r="E333" s="4"/>
      <c r="F333" s="4"/>
      <c r="G333" s="6"/>
      <c r="H333" s="4"/>
      <c r="I333" s="4"/>
      <c r="J333" s="4"/>
      <c r="K333" s="4" t="str">
        <f t="shared" ca="1" si="11"/>
        <v>Sin fecha</v>
      </c>
      <c r="L333" s="8"/>
      <c r="M333" s="8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6"/>
      <c r="AC333" s="4"/>
      <c r="AD333" s="4"/>
    </row>
    <row r="334" spans="1:30">
      <c r="A334" s="4" t="str">
        <f t="shared" si="12"/>
        <v/>
      </c>
      <c r="B334" s="4"/>
      <c r="C334" s="4"/>
      <c r="D334" s="4"/>
      <c r="E334" s="4"/>
      <c r="F334" s="4"/>
      <c r="G334" s="6"/>
      <c r="H334" s="4"/>
      <c r="I334" s="4"/>
      <c r="J334" s="4"/>
      <c r="K334" s="4" t="str">
        <f t="shared" ca="1" si="11"/>
        <v>Sin fecha</v>
      </c>
      <c r="L334" s="8"/>
      <c r="M334" s="8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6"/>
      <c r="AC334" s="4"/>
      <c r="AD334" s="4"/>
    </row>
    <row r="335" spans="1:30">
      <c r="A335" s="4" t="str">
        <f t="shared" si="12"/>
        <v/>
      </c>
      <c r="B335" s="4"/>
      <c r="C335" s="4"/>
      <c r="D335" s="4"/>
      <c r="E335" s="4"/>
      <c r="F335" s="4"/>
      <c r="G335" s="6"/>
      <c r="H335" s="4"/>
      <c r="I335" s="4"/>
      <c r="J335" s="4"/>
      <c r="K335" s="4" t="str">
        <f t="shared" ca="1" si="11"/>
        <v>Sin fecha</v>
      </c>
      <c r="L335" s="8"/>
      <c r="M335" s="8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6"/>
      <c r="AC335" s="4"/>
      <c r="AD335" s="4"/>
    </row>
    <row r="336" spans="1:30">
      <c r="A336" s="4" t="str">
        <f t="shared" si="12"/>
        <v/>
      </c>
      <c r="B336" s="4"/>
      <c r="C336" s="4"/>
      <c r="D336" s="4"/>
      <c r="E336" s="4"/>
      <c r="F336" s="4"/>
      <c r="G336" s="6"/>
      <c r="H336" s="4"/>
      <c r="I336" s="4"/>
      <c r="J336" s="4"/>
      <c r="K336" s="4" t="str">
        <f t="shared" ca="1" si="11"/>
        <v>Sin fecha</v>
      </c>
      <c r="L336" s="8"/>
      <c r="M336" s="8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6"/>
      <c r="AC336" s="4"/>
      <c r="AD336" s="4"/>
    </row>
    <row r="337" spans="1:30">
      <c r="A337" s="4" t="str">
        <f t="shared" si="12"/>
        <v/>
      </c>
      <c r="B337" s="4"/>
      <c r="C337" s="4"/>
      <c r="D337" s="4"/>
      <c r="E337" s="4"/>
      <c r="F337" s="4"/>
      <c r="G337" s="6"/>
      <c r="H337" s="4"/>
      <c r="I337" s="4"/>
      <c r="J337" s="4"/>
      <c r="K337" s="4" t="str">
        <f t="shared" ca="1" si="11"/>
        <v>Sin fecha</v>
      </c>
      <c r="L337" s="8"/>
      <c r="M337" s="8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6"/>
      <c r="AC337" s="4"/>
      <c r="AD337" s="4"/>
    </row>
    <row r="338" spans="1:30">
      <c r="A338" s="4" t="str">
        <f t="shared" si="12"/>
        <v/>
      </c>
      <c r="B338" s="4"/>
      <c r="C338" s="4"/>
      <c r="D338" s="4"/>
      <c r="E338" s="4"/>
      <c r="F338" s="4"/>
      <c r="G338" s="6"/>
      <c r="H338" s="4"/>
      <c r="I338" s="4"/>
      <c r="J338" s="4"/>
      <c r="K338" s="4" t="str">
        <f t="shared" ca="1" si="11"/>
        <v>Sin fecha</v>
      </c>
      <c r="L338" s="8"/>
      <c r="M338" s="8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6"/>
      <c r="AC338" s="4"/>
      <c r="AD338" s="4"/>
    </row>
    <row r="339" spans="1:30">
      <c r="A339" s="4" t="str">
        <f t="shared" si="12"/>
        <v/>
      </c>
      <c r="B339" s="4"/>
      <c r="C339" s="4"/>
      <c r="D339" s="4"/>
      <c r="E339" s="4"/>
      <c r="F339" s="4"/>
      <c r="G339" s="6"/>
      <c r="H339" s="4"/>
      <c r="I339" s="4"/>
      <c r="J339" s="4"/>
      <c r="K339" s="4" t="str">
        <f t="shared" ca="1" si="11"/>
        <v>Sin fecha</v>
      </c>
      <c r="L339" s="8"/>
      <c r="M339" s="8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6"/>
      <c r="AC339" s="4"/>
      <c r="AD339" s="4"/>
    </row>
    <row r="340" spans="1:30">
      <c r="A340" s="4" t="str">
        <f t="shared" si="12"/>
        <v/>
      </c>
      <c r="B340" s="4"/>
      <c r="C340" s="4"/>
      <c r="D340" s="4"/>
      <c r="E340" s="4"/>
      <c r="F340" s="4"/>
      <c r="G340" s="6"/>
      <c r="H340" s="4"/>
      <c r="I340" s="4"/>
      <c r="J340" s="4"/>
      <c r="K340" s="4" t="str">
        <f t="shared" ca="1" si="11"/>
        <v>Sin fecha</v>
      </c>
      <c r="L340" s="8"/>
      <c r="M340" s="8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6"/>
      <c r="AC340" s="4"/>
      <c r="AD340" s="4"/>
    </row>
    <row r="341" spans="1:30">
      <c r="A341" s="4" t="str">
        <f t="shared" si="12"/>
        <v/>
      </c>
      <c r="B341" s="4"/>
      <c r="C341" s="4"/>
      <c r="D341" s="4"/>
      <c r="E341" s="4"/>
      <c r="F341" s="4"/>
      <c r="G341" s="6"/>
      <c r="H341" s="4"/>
      <c r="I341" s="4"/>
      <c r="J341" s="4"/>
      <c r="K341" s="4" t="str">
        <f t="shared" ca="1" si="11"/>
        <v>Sin fecha</v>
      </c>
      <c r="L341" s="8"/>
      <c r="M341" s="8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6"/>
      <c r="AC341" s="4"/>
      <c r="AD341" s="4"/>
    </row>
    <row r="342" spans="1:30">
      <c r="A342" s="4" t="str">
        <f t="shared" si="12"/>
        <v/>
      </c>
      <c r="B342" s="4"/>
      <c r="C342" s="4"/>
      <c r="D342" s="4"/>
      <c r="E342" s="4"/>
      <c r="F342" s="4"/>
      <c r="G342" s="6"/>
      <c r="H342" s="4"/>
      <c r="I342" s="4"/>
      <c r="J342" s="4"/>
      <c r="K342" s="4" t="str">
        <f t="shared" ca="1" si="11"/>
        <v>Sin fecha</v>
      </c>
      <c r="L342" s="8"/>
      <c r="M342" s="8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6"/>
      <c r="AC342" s="4"/>
      <c r="AD342" s="4"/>
    </row>
    <row r="343" spans="1:30">
      <c r="A343" s="4" t="str">
        <f t="shared" si="12"/>
        <v/>
      </c>
      <c r="B343" s="4"/>
      <c r="C343" s="4"/>
      <c r="D343" s="4"/>
      <c r="E343" s="4"/>
      <c r="F343" s="4"/>
      <c r="G343" s="6"/>
      <c r="H343" s="4"/>
      <c r="I343" s="4"/>
      <c r="J343" s="4"/>
      <c r="K343" s="4" t="str">
        <f t="shared" ca="1" si="11"/>
        <v>Sin fecha</v>
      </c>
      <c r="L343" s="8"/>
      <c r="M343" s="8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6"/>
      <c r="AC343" s="4"/>
      <c r="AD343" s="4"/>
    </row>
    <row r="344" spans="1:30">
      <c r="A344" s="4" t="str">
        <f t="shared" si="12"/>
        <v/>
      </c>
      <c r="B344" s="4"/>
      <c r="C344" s="4"/>
      <c r="D344" s="4"/>
      <c r="E344" s="4"/>
      <c r="F344" s="4"/>
      <c r="G344" s="6"/>
      <c r="H344" s="4"/>
      <c r="I344" s="4"/>
      <c r="J344" s="4"/>
      <c r="K344" s="4" t="str">
        <f t="shared" ca="1" si="11"/>
        <v>Sin fecha</v>
      </c>
      <c r="L344" s="8"/>
      <c r="M344" s="8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6"/>
      <c r="AC344" s="4"/>
      <c r="AD344" s="4"/>
    </row>
    <row r="345" spans="1:30">
      <c r="A345" s="4" t="str">
        <f t="shared" si="12"/>
        <v/>
      </c>
      <c r="B345" s="4"/>
      <c r="C345" s="4"/>
      <c r="D345" s="4"/>
      <c r="E345" s="4"/>
      <c r="F345" s="4"/>
      <c r="G345" s="6"/>
      <c r="H345" s="4"/>
      <c r="I345" s="4"/>
      <c r="J345" s="4"/>
      <c r="K345" s="4" t="str">
        <f t="shared" ca="1" si="11"/>
        <v>Sin fecha</v>
      </c>
      <c r="L345" s="8"/>
      <c r="M345" s="8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6"/>
      <c r="AC345" s="4"/>
      <c r="AD345" s="4"/>
    </row>
    <row r="346" spans="1:30">
      <c r="A346" s="4" t="str">
        <f t="shared" si="12"/>
        <v/>
      </c>
      <c r="B346" s="4"/>
      <c r="C346" s="4"/>
      <c r="D346" s="4"/>
      <c r="E346" s="4"/>
      <c r="F346" s="4"/>
      <c r="G346" s="6"/>
      <c r="H346" s="4"/>
      <c r="I346" s="4"/>
      <c r="J346" s="4"/>
      <c r="K346" s="4" t="str">
        <f t="shared" ca="1" si="11"/>
        <v>Sin fecha</v>
      </c>
      <c r="L346" s="8"/>
      <c r="M346" s="8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6"/>
      <c r="AC346" s="4"/>
      <c r="AD346" s="4"/>
    </row>
    <row r="347" spans="1:30">
      <c r="A347" s="4" t="str">
        <f t="shared" si="12"/>
        <v/>
      </c>
      <c r="B347" s="4"/>
      <c r="C347" s="4"/>
      <c r="D347" s="4"/>
      <c r="E347" s="4"/>
      <c r="F347" s="4"/>
      <c r="G347" s="6"/>
      <c r="H347" s="4"/>
      <c r="I347" s="4"/>
      <c r="J347" s="4"/>
      <c r="K347" s="4" t="str">
        <f t="shared" ca="1" si="11"/>
        <v>Sin fecha</v>
      </c>
      <c r="L347" s="8"/>
      <c r="M347" s="8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6"/>
      <c r="AC347" s="4"/>
      <c r="AD347" s="4"/>
    </row>
    <row r="348" spans="1:30">
      <c r="A348" s="4" t="str">
        <f t="shared" si="12"/>
        <v/>
      </c>
      <c r="B348" s="4"/>
      <c r="C348" s="4"/>
      <c r="D348" s="4"/>
      <c r="E348" s="4"/>
      <c r="F348" s="4"/>
      <c r="G348" s="6"/>
      <c r="H348" s="4"/>
      <c r="I348" s="4"/>
      <c r="J348" s="4"/>
      <c r="K348" s="4" t="str">
        <f t="shared" ca="1" si="11"/>
        <v>Sin fecha</v>
      </c>
      <c r="L348" s="8"/>
      <c r="M348" s="8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6"/>
      <c r="AC348" s="4"/>
      <c r="AD348" s="4"/>
    </row>
    <row r="349" spans="1:30">
      <c r="A349" s="4" t="str">
        <f t="shared" si="12"/>
        <v/>
      </c>
      <c r="B349" s="4"/>
      <c r="C349" s="4"/>
      <c r="D349" s="4"/>
      <c r="E349" s="4"/>
      <c r="F349" s="4"/>
      <c r="G349" s="6"/>
      <c r="H349" s="4"/>
      <c r="I349" s="4"/>
      <c r="J349" s="4"/>
      <c r="K349" s="4" t="str">
        <f t="shared" ca="1" si="11"/>
        <v>Sin fecha</v>
      </c>
      <c r="L349" s="8"/>
      <c r="M349" s="8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6"/>
      <c r="AC349" s="4"/>
      <c r="AD349" s="4"/>
    </row>
    <row r="350" spans="1:30">
      <c r="A350" s="4" t="str">
        <f t="shared" si="12"/>
        <v/>
      </c>
      <c r="B350" s="4"/>
      <c r="C350" s="4"/>
      <c r="D350" s="4"/>
      <c r="E350" s="4"/>
      <c r="F350" s="4"/>
      <c r="G350" s="6"/>
      <c r="H350" s="4"/>
      <c r="I350" s="4"/>
      <c r="J350" s="4"/>
      <c r="K350" s="4" t="str">
        <f t="shared" ca="1" si="11"/>
        <v>Sin fecha</v>
      </c>
      <c r="L350" s="8"/>
      <c r="M350" s="8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6"/>
      <c r="AC350" s="4"/>
      <c r="AD350" s="4"/>
    </row>
    <row r="351" spans="1:30">
      <c r="A351" s="4" t="str">
        <f t="shared" si="12"/>
        <v/>
      </c>
      <c r="B351" s="4"/>
      <c r="C351" s="4"/>
      <c r="D351" s="4"/>
      <c r="E351" s="4"/>
      <c r="F351" s="4"/>
      <c r="G351" s="6"/>
      <c r="H351" s="4"/>
      <c r="I351" s="4"/>
      <c r="J351" s="4"/>
      <c r="K351" s="4" t="str">
        <f t="shared" ca="1" si="11"/>
        <v>Sin fecha</v>
      </c>
      <c r="L351" s="8"/>
      <c r="M351" s="8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6"/>
      <c r="AC351" s="4"/>
      <c r="AD351" s="4"/>
    </row>
    <row r="352" spans="1:30">
      <c r="A352" s="4" t="str">
        <f t="shared" si="12"/>
        <v/>
      </c>
      <c r="B352" s="4"/>
      <c r="C352" s="4"/>
      <c r="D352" s="4"/>
      <c r="E352" s="4"/>
      <c r="F352" s="4"/>
      <c r="G352" s="6"/>
      <c r="H352" s="4"/>
      <c r="I352" s="4"/>
      <c r="J352" s="4"/>
      <c r="K352" s="4" t="str">
        <f t="shared" ca="1" si="11"/>
        <v>Sin fecha</v>
      </c>
      <c r="L352" s="8"/>
      <c r="M352" s="8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6"/>
      <c r="AC352" s="4"/>
      <c r="AD352" s="4"/>
    </row>
    <row r="353" spans="1:30">
      <c r="A353" s="4" t="str">
        <f t="shared" si="12"/>
        <v/>
      </c>
      <c r="B353" s="4"/>
      <c r="C353" s="4"/>
      <c r="D353" s="4"/>
      <c r="E353" s="4"/>
      <c r="F353" s="4"/>
      <c r="G353" s="6"/>
      <c r="H353" s="4"/>
      <c r="I353" s="4"/>
      <c r="J353" s="4"/>
      <c r="K353" s="4" t="str">
        <f t="shared" ca="1" si="11"/>
        <v>Sin fecha</v>
      </c>
      <c r="L353" s="8"/>
      <c r="M353" s="8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6"/>
      <c r="AC353" s="4"/>
      <c r="AD353" s="4"/>
    </row>
    <row r="354" spans="1:30">
      <c r="A354" s="4" t="str">
        <f t="shared" si="12"/>
        <v/>
      </c>
      <c r="B354" s="4"/>
      <c r="C354" s="4"/>
      <c r="D354" s="4"/>
      <c r="E354" s="4"/>
      <c r="F354" s="4"/>
      <c r="G354" s="6"/>
      <c r="H354" s="4"/>
      <c r="I354" s="4"/>
      <c r="J354" s="4"/>
      <c r="K354" s="4" t="str">
        <f t="shared" ca="1" si="11"/>
        <v>Sin fecha</v>
      </c>
      <c r="L354" s="8"/>
      <c r="M354" s="8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6"/>
      <c r="AC354" s="4"/>
      <c r="AD354" s="4"/>
    </row>
    <row r="355" spans="1:30">
      <c r="A355" s="4" t="str">
        <f t="shared" si="12"/>
        <v/>
      </c>
      <c r="B355" s="4"/>
      <c r="C355" s="4"/>
      <c r="D355" s="4"/>
      <c r="E355" s="4"/>
      <c r="F355" s="4"/>
      <c r="G355" s="6"/>
      <c r="H355" s="4"/>
      <c r="I355" s="4"/>
      <c r="J355" s="4"/>
      <c r="K355" s="4" t="str">
        <f t="shared" ca="1" si="11"/>
        <v>Sin fecha</v>
      </c>
      <c r="L355" s="8"/>
      <c r="M355" s="8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6"/>
      <c r="AC355" s="4"/>
      <c r="AD355" s="4"/>
    </row>
    <row r="356" spans="1:30">
      <c r="A356" s="4" t="str">
        <f t="shared" si="12"/>
        <v/>
      </c>
      <c r="B356" s="4"/>
      <c r="C356" s="4"/>
      <c r="D356" s="4"/>
      <c r="E356" s="4"/>
      <c r="F356" s="4"/>
      <c r="G356" s="6"/>
      <c r="H356" s="4"/>
      <c r="I356" s="4"/>
      <c r="J356" s="4"/>
      <c r="K356" s="4" t="str">
        <f t="shared" ca="1" si="11"/>
        <v>Sin fecha</v>
      </c>
      <c r="L356" s="8"/>
      <c r="M356" s="8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6"/>
      <c r="AC356" s="4"/>
      <c r="AD356" s="4"/>
    </row>
    <row r="357" spans="1:30">
      <c r="A357" s="4" t="str">
        <f t="shared" si="12"/>
        <v/>
      </c>
      <c r="B357" s="4"/>
      <c r="C357" s="4"/>
      <c r="D357" s="4"/>
      <c r="E357" s="4"/>
      <c r="F357" s="4"/>
      <c r="G357" s="6"/>
      <c r="H357" s="4"/>
      <c r="I357" s="4"/>
      <c r="J357" s="4"/>
      <c r="K357" s="4" t="str">
        <f t="shared" ca="1" si="11"/>
        <v>Sin fecha</v>
      </c>
      <c r="L357" s="8"/>
      <c r="M357" s="8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6"/>
      <c r="AC357" s="4"/>
      <c r="AD357" s="4"/>
    </row>
    <row r="358" spans="1:30">
      <c r="A358" s="4" t="str">
        <f t="shared" si="12"/>
        <v/>
      </c>
      <c r="B358" s="4"/>
      <c r="C358" s="4"/>
      <c r="D358" s="4"/>
      <c r="E358" s="4"/>
      <c r="F358" s="4"/>
      <c r="G358" s="6"/>
      <c r="H358" s="4"/>
      <c r="I358" s="4"/>
      <c r="J358" s="4"/>
      <c r="K358" s="4" t="str">
        <f t="shared" ca="1" si="11"/>
        <v>Sin fecha</v>
      </c>
      <c r="L358" s="8"/>
      <c r="M358" s="8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6"/>
      <c r="AC358" s="4"/>
      <c r="AD358" s="4"/>
    </row>
    <row r="359" spans="1:30">
      <c r="A359" s="4" t="str">
        <f t="shared" si="12"/>
        <v/>
      </c>
      <c r="B359" s="4"/>
      <c r="C359" s="4"/>
      <c r="D359" s="4"/>
      <c r="E359" s="4"/>
      <c r="F359" s="4"/>
      <c r="G359" s="6"/>
      <c r="H359" s="4"/>
      <c r="I359" s="4"/>
      <c r="J359" s="4"/>
      <c r="K359" s="4" t="str">
        <f t="shared" ca="1" si="11"/>
        <v>Sin fecha</v>
      </c>
      <c r="L359" s="8"/>
      <c r="M359" s="8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6"/>
      <c r="AC359" s="4"/>
      <c r="AD359" s="4"/>
    </row>
    <row r="360" spans="1:30">
      <c r="A360" s="4" t="str">
        <f t="shared" si="12"/>
        <v/>
      </c>
      <c r="B360" s="4"/>
      <c r="C360" s="4"/>
      <c r="D360" s="4"/>
      <c r="E360" s="4"/>
      <c r="F360" s="4"/>
      <c r="G360" s="6"/>
      <c r="H360" s="4"/>
      <c r="I360" s="4"/>
      <c r="J360" s="4"/>
      <c r="K360" s="4" t="str">
        <f t="shared" ca="1" si="11"/>
        <v>Sin fecha</v>
      </c>
      <c r="L360" s="8"/>
      <c r="M360" s="8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6"/>
      <c r="AC360" s="4"/>
      <c r="AD360" s="4"/>
    </row>
    <row r="361" spans="1:30">
      <c r="A361" s="4" t="str">
        <f t="shared" si="12"/>
        <v/>
      </c>
      <c r="B361" s="4"/>
      <c r="C361" s="4"/>
      <c r="D361" s="4"/>
      <c r="E361" s="4"/>
      <c r="F361" s="4"/>
      <c r="G361" s="6"/>
      <c r="H361" s="4"/>
      <c r="I361" s="4"/>
      <c r="J361" s="4"/>
      <c r="K361" s="4" t="str">
        <f t="shared" ca="1" si="11"/>
        <v>Sin fecha</v>
      </c>
      <c r="L361" s="8"/>
      <c r="M361" s="8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6"/>
      <c r="AC361" s="4"/>
      <c r="AD361" s="4"/>
    </row>
    <row r="362" spans="1:30">
      <c r="A362" s="4" t="str">
        <f t="shared" si="12"/>
        <v/>
      </c>
      <c r="B362" s="4"/>
      <c r="C362" s="4"/>
      <c r="D362" s="4"/>
      <c r="E362" s="4"/>
      <c r="F362" s="4"/>
      <c r="G362" s="6"/>
      <c r="H362" s="4"/>
      <c r="I362" s="4"/>
      <c r="J362" s="4"/>
      <c r="K362" s="4" t="str">
        <f t="shared" ca="1" si="11"/>
        <v>Sin fecha</v>
      </c>
      <c r="L362" s="8"/>
      <c r="M362" s="8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6"/>
      <c r="AC362" s="4"/>
      <c r="AD362" s="4"/>
    </row>
    <row r="363" spans="1:30">
      <c r="A363" s="4" t="str">
        <f t="shared" si="12"/>
        <v/>
      </c>
      <c r="B363" s="4"/>
      <c r="C363" s="4"/>
      <c r="D363" s="4"/>
      <c r="E363" s="4"/>
      <c r="F363" s="4"/>
      <c r="G363" s="6"/>
      <c r="H363" s="4"/>
      <c r="I363" s="4"/>
      <c r="J363" s="4"/>
      <c r="K363" s="4" t="str">
        <f t="shared" ca="1" si="11"/>
        <v>Sin fecha</v>
      </c>
      <c r="L363" s="8"/>
      <c r="M363" s="8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6"/>
      <c r="AC363" s="4"/>
      <c r="AD363" s="4"/>
    </row>
    <row r="364" spans="1:30">
      <c r="A364" s="4" t="str">
        <f t="shared" si="12"/>
        <v/>
      </c>
      <c r="B364" s="4"/>
      <c r="C364" s="4"/>
      <c r="D364" s="4"/>
      <c r="E364" s="4"/>
      <c r="F364" s="4"/>
      <c r="G364" s="6"/>
      <c r="H364" s="4"/>
      <c r="I364" s="4"/>
      <c r="J364" s="4"/>
      <c r="K364" s="4" t="str">
        <f t="shared" ca="1" si="11"/>
        <v>Sin fecha</v>
      </c>
      <c r="L364" s="8"/>
      <c r="M364" s="8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6"/>
      <c r="AC364" s="4"/>
      <c r="AD364" s="4"/>
    </row>
    <row r="365" spans="1:30">
      <c r="A365" s="4" t="str">
        <f t="shared" si="12"/>
        <v/>
      </c>
      <c r="B365" s="4"/>
      <c r="C365" s="4"/>
      <c r="D365" s="4"/>
      <c r="E365" s="4"/>
      <c r="F365" s="4"/>
      <c r="G365" s="6"/>
      <c r="H365" s="4"/>
      <c r="I365" s="4"/>
      <c r="J365" s="4"/>
      <c r="K365" s="4" t="str">
        <f t="shared" ca="1" si="11"/>
        <v>Sin fecha</v>
      </c>
      <c r="L365" s="8"/>
      <c r="M365" s="8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6"/>
      <c r="AC365" s="4"/>
      <c r="AD365" s="4"/>
    </row>
    <row r="366" spans="1:30">
      <c r="A366" s="4" t="str">
        <f t="shared" si="12"/>
        <v/>
      </c>
      <c r="B366" s="4"/>
      <c r="C366" s="4"/>
      <c r="D366" s="4"/>
      <c r="E366" s="4"/>
      <c r="F366" s="4"/>
      <c r="G366" s="6"/>
      <c r="H366" s="4"/>
      <c r="I366" s="4"/>
      <c r="J366" s="4"/>
      <c r="K366" s="4" t="str">
        <f t="shared" ca="1" si="11"/>
        <v>Sin fecha</v>
      </c>
      <c r="L366" s="8"/>
      <c r="M366" s="8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6"/>
      <c r="AC366" s="4"/>
      <c r="AD366" s="4"/>
    </row>
    <row r="367" spans="1:30">
      <c r="A367" s="4" t="str">
        <f t="shared" si="12"/>
        <v/>
      </c>
      <c r="B367" s="4"/>
      <c r="C367" s="4"/>
      <c r="D367" s="4"/>
      <c r="E367" s="4"/>
      <c r="F367" s="4"/>
      <c r="G367" s="6"/>
      <c r="H367" s="4"/>
      <c r="I367" s="4"/>
      <c r="J367" s="4"/>
      <c r="K367" s="4" t="str">
        <f t="shared" ca="1" si="11"/>
        <v>Sin fecha</v>
      </c>
      <c r="L367" s="8"/>
      <c r="M367" s="8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6"/>
      <c r="AC367" s="4"/>
      <c r="AD367" s="4"/>
    </row>
    <row r="368" spans="1:30">
      <c r="A368" s="4" t="str">
        <f t="shared" si="12"/>
        <v/>
      </c>
      <c r="B368" s="4"/>
      <c r="C368" s="4"/>
      <c r="D368" s="4"/>
      <c r="E368" s="4"/>
      <c r="F368" s="4"/>
      <c r="G368" s="6"/>
      <c r="H368" s="4"/>
      <c r="I368" s="4"/>
      <c r="J368" s="4"/>
      <c r="K368" s="4" t="str">
        <f t="shared" ca="1" si="11"/>
        <v>Sin fecha</v>
      </c>
      <c r="L368" s="8"/>
      <c r="M368" s="8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6"/>
      <c r="AC368" s="4"/>
      <c r="AD368" s="4"/>
    </row>
    <row r="369" spans="1:30">
      <c r="A369" s="4" t="str">
        <f t="shared" si="12"/>
        <v/>
      </c>
      <c r="B369" s="4"/>
      <c r="C369" s="4"/>
      <c r="D369" s="4"/>
      <c r="E369" s="4"/>
      <c r="F369" s="4"/>
      <c r="G369" s="6"/>
      <c r="H369" s="4"/>
      <c r="I369" s="4"/>
      <c r="J369" s="4"/>
      <c r="K369" s="4" t="str">
        <f t="shared" ca="1" si="11"/>
        <v>Sin fecha</v>
      </c>
      <c r="L369" s="8"/>
      <c r="M369" s="8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6"/>
      <c r="AC369" s="4"/>
      <c r="AD369" s="4"/>
    </row>
    <row r="370" spans="1:30">
      <c r="A370" s="4" t="str">
        <f t="shared" si="12"/>
        <v/>
      </c>
      <c r="B370" s="4"/>
      <c r="C370" s="4"/>
      <c r="D370" s="4"/>
      <c r="E370" s="4"/>
      <c r="F370" s="4"/>
      <c r="G370" s="6"/>
      <c r="H370" s="4"/>
      <c r="I370" s="4"/>
      <c r="J370" s="4"/>
      <c r="K370" s="4" t="str">
        <f t="shared" ca="1" si="11"/>
        <v>Sin fecha</v>
      </c>
      <c r="L370" s="8"/>
      <c r="M370" s="8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6"/>
      <c r="AC370" s="4"/>
      <c r="AD370" s="4"/>
    </row>
    <row r="371" spans="1:30">
      <c r="A371" s="4" t="str">
        <f t="shared" si="12"/>
        <v/>
      </c>
      <c r="B371" s="4"/>
      <c r="C371" s="4"/>
      <c r="D371" s="4"/>
      <c r="E371" s="4"/>
      <c r="F371" s="4"/>
      <c r="G371" s="6"/>
      <c r="H371" s="4"/>
      <c r="I371" s="4"/>
      <c r="J371" s="4"/>
      <c r="K371" s="4" t="str">
        <f t="shared" ca="1" si="11"/>
        <v>Sin fecha</v>
      </c>
      <c r="L371" s="8"/>
      <c r="M371" s="8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6"/>
      <c r="AC371" s="4"/>
      <c r="AD371" s="4"/>
    </row>
    <row r="372" spans="1:30">
      <c r="A372" s="4" t="str">
        <f t="shared" si="12"/>
        <v/>
      </c>
      <c r="B372" s="4"/>
      <c r="C372" s="4"/>
      <c r="D372" s="4"/>
      <c r="E372" s="4"/>
      <c r="F372" s="4"/>
      <c r="G372" s="6"/>
      <c r="H372" s="4"/>
      <c r="I372" s="4"/>
      <c r="J372" s="4"/>
      <c r="K372" s="4" t="str">
        <f t="shared" ca="1" si="11"/>
        <v>Sin fecha</v>
      </c>
      <c r="L372" s="8"/>
      <c r="M372" s="8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6"/>
      <c r="AC372" s="4"/>
      <c r="AD372" s="4"/>
    </row>
    <row r="373" spans="1:30">
      <c r="A373" s="4" t="str">
        <f t="shared" si="12"/>
        <v/>
      </c>
      <c r="B373" s="4"/>
      <c r="C373" s="4"/>
      <c r="D373" s="4"/>
      <c r="E373" s="4"/>
      <c r="F373" s="4"/>
      <c r="G373" s="6"/>
      <c r="H373" s="4"/>
      <c r="I373" s="4"/>
      <c r="J373" s="4"/>
      <c r="K373" s="4" t="str">
        <f t="shared" ca="1" si="11"/>
        <v>Sin fecha</v>
      </c>
      <c r="L373" s="8"/>
      <c r="M373" s="8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6"/>
      <c r="AC373" s="4"/>
      <c r="AD373" s="4"/>
    </row>
    <row r="374" spans="1:30">
      <c r="A374" s="4" t="str">
        <f t="shared" si="12"/>
        <v/>
      </c>
      <c r="B374" s="4"/>
      <c r="C374" s="4"/>
      <c r="D374" s="4"/>
      <c r="E374" s="4"/>
      <c r="F374" s="4"/>
      <c r="G374" s="6"/>
      <c r="H374" s="4"/>
      <c r="I374" s="4"/>
      <c r="J374" s="4"/>
      <c r="K374" s="4" t="str">
        <f t="shared" ca="1" si="11"/>
        <v>Sin fecha</v>
      </c>
      <c r="L374" s="8"/>
      <c r="M374" s="8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6"/>
      <c r="AC374" s="4"/>
      <c r="AD374" s="4"/>
    </row>
    <row r="375" spans="1:30">
      <c r="A375" s="4" t="str">
        <f t="shared" si="12"/>
        <v/>
      </c>
      <c r="B375" s="4"/>
      <c r="C375" s="4"/>
      <c r="D375" s="4"/>
      <c r="E375" s="4"/>
      <c r="F375" s="4"/>
      <c r="G375" s="6"/>
      <c r="H375" s="4"/>
      <c r="I375" s="4"/>
      <c r="J375" s="4"/>
      <c r="K375" s="4" t="str">
        <f t="shared" ca="1" si="11"/>
        <v>Sin fecha</v>
      </c>
      <c r="L375" s="8"/>
      <c r="M375" s="8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6"/>
      <c r="AC375" s="4"/>
      <c r="AD375" s="4"/>
    </row>
    <row r="376" spans="1:30">
      <c r="A376" s="4" t="str">
        <f t="shared" si="12"/>
        <v/>
      </c>
      <c r="B376" s="4"/>
      <c r="C376" s="4"/>
      <c r="D376" s="4"/>
      <c r="E376" s="4"/>
      <c r="F376" s="4"/>
      <c r="G376" s="6"/>
      <c r="H376" s="4"/>
      <c r="I376" s="4"/>
      <c r="J376" s="4"/>
      <c r="K376" s="4" t="str">
        <f t="shared" ca="1" si="11"/>
        <v>Sin fecha</v>
      </c>
      <c r="L376" s="8"/>
      <c r="M376" s="8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6"/>
      <c r="AC376" s="4"/>
      <c r="AD376" s="4"/>
    </row>
    <row r="377" spans="1:30">
      <c r="A377" s="4" t="str">
        <f t="shared" si="12"/>
        <v/>
      </c>
      <c r="B377" s="4"/>
      <c r="C377" s="4"/>
      <c r="D377" s="4"/>
      <c r="E377" s="4"/>
      <c r="F377" s="4"/>
      <c r="G377" s="6"/>
      <c r="H377" s="4"/>
      <c r="I377" s="4"/>
      <c r="J377" s="4"/>
      <c r="K377" s="4" t="str">
        <f t="shared" ca="1" si="11"/>
        <v>Sin fecha</v>
      </c>
      <c r="L377" s="8"/>
      <c r="M377" s="8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6"/>
      <c r="AC377" s="4"/>
      <c r="AD377" s="4"/>
    </row>
    <row r="378" spans="1:30">
      <c r="A378" s="4" t="str">
        <f t="shared" si="12"/>
        <v/>
      </c>
      <c r="B378" s="4"/>
      <c r="C378" s="4"/>
      <c r="D378" s="4"/>
      <c r="E378" s="4"/>
      <c r="F378" s="4"/>
      <c r="G378" s="6"/>
      <c r="H378" s="4"/>
      <c r="I378" s="4"/>
      <c r="J378" s="4"/>
      <c r="K378" s="4" t="str">
        <f t="shared" ca="1" si="11"/>
        <v>Sin fecha</v>
      </c>
      <c r="L378" s="8"/>
      <c r="M378" s="8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6"/>
      <c r="AC378" s="4"/>
      <c r="AD378" s="4"/>
    </row>
    <row r="379" spans="1:30">
      <c r="A379" s="4" t="str">
        <f t="shared" si="12"/>
        <v/>
      </c>
      <c r="B379" s="4"/>
      <c r="C379" s="4"/>
      <c r="D379" s="4"/>
      <c r="E379" s="4"/>
      <c r="F379" s="4"/>
      <c r="G379" s="6"/>
      <c r="H379" s="4"/>
      <c r="I379" s="4"/>
      <c r="J379" s="4"/>
      <c r="K379" s="4" t="str">
        <f t="shared" ca="1" si="11"/>
        <v>Sin fecha</v>
      </c>
      <c r="L379" s="8"/>
      <c r="M379" s="8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6"/>
      <c r="AC379" s="4"/>
      <c r="AD379" s="4"/>
    </row>
    <row r="380" spans="1:30">
      <c r="A380" s="4" t="str">
        <f t="shared" si="12"/>
        <v/>
      </c>
      <c r="B380" s="4"/>
      <c r="C380" s="4"/>
      <c r="D380" s="4"/>
      <c r="E380" s="4"/>
      <c r="F380" s="4"/>
      <c r="G380" s="6"/>
      <c r="H380" s="4"/>
      <c r="I380" s="4"/>
      <c r="J380" s="4"/>
      <c r="K380" s="4" t="str">
        <f t="shared" ca="1" si="11"/>
        <v>Sin fecha</v>
      </c>
      <c r="L380" s="8"/>
      <c r="M380" s="8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6"/>
      <c r="AC380" s="4"/>
      <c r="AD380" s="4"/>
    </row>
    <row r="381" spans="1:30">
      <c r="A381" s="4" t="str">
        <f t="shared" si="12"/>
        <v/>
      </c>
      <c r="B381" s="4"/>
      <c r="C381" s="4"/>
      <c r="D381" s="4"/>
      <c r="E381" s="4"/>
      <c r="F381" s="4"/>
      <c r="G381" s="6"/>
      <c r="H381" s="4"/>
      <c r="I381" s="4"/>
      <c r="J381" s="4"/>
      <c r="K381" s="4" t="str">
        <f t="shared" ca="1" si="11"/>
        <v>Sin fecha</v>
      </c>
      <c r="L381" s="8"/>
      <c r="M381" s="8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6"/>
      <c r="AC381" s="4"/>
      <c r="AD381" s="4"/>
    </row>
    <row r="382" spans="1:30">
      <c r="A382" s="4" t="str">
        <f t="shared" si="12"/>
        <v/>
      </c>
      <c r="B382" s="4"/>
      <c r="C382" s="4"/>
      <c r="D382" s="4"/>
      <c r="E382" s="4"/>
      <c r="F382" s="4"/>
      <c r="G382" s="6"/>
      <c r="H382" s="4"/>
      <c r="I382" s="4"/>
      <c r="J382" s="4"/>
      <c r="K382" s="4" t="str">
        <f t="shared" ca="1" si="11"/>
        <v>Sin fecha</v>
      </c>
      <c r="L382" s="8"/>
      <c r="M382" s="8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6"/>
      <c r="AC382" s="4"/>
      <c r="AD382" s="4"/>
    </row>
    <row r="383" spans="1:30">
      <c r="A383" s="4" t="str">
        <f t="shared" si="12"/>
        <v/>
      </c>
      <c r="B383" s="4"/>
      <c r="C383" s="4"/>
      <c r="D383" s="4"/>
      <c r="E383" s="4"/>
      <c r="F383" s="4"/>
      <c r="G383" s="6"/>
      <c r="H383" s="4"/>
      <c r="I383" s="4"/>
      <c r="J383" s="4"/>
      <c r="K383" s="4" t="str">
        <f t="shared" ca="1" si="11"/>
        <v>Sin fecha</v>
      </c>
      <c r="L383" s="8"/>
      <c r="M383" s="8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6"/>
      <c r="AC383" s="4"/>
      <c r="AD383" s="4"/>
    </row>
    <row r="384" spans="1:30">
      <c r="A384" s="4" t="str">
        <f t="shared" si="12"/>
        <v/>
      </c>
      <c r="B384" s="4"/>
      <c r="C384" s="4"/>
      <c r="D384" s="4"/>
      <c r="E384" s="4"/>
      <c r="F384" s="4"/>
      <c r="G384" s="6"/>
      <c r="H384" s="4"/>
      <c r="I384" s="4"/>
      <c r="J384" s="4"/>
      <c r="K384" s="4" t="str">
        <f t="shared" ref="K384:K447" ca="1" si="13">IF(J384="Cerrada","Cerrada",IF(J384="Suspendida","Suspendida",IF(G384="","Sin fecha",IF(G384&lt;TODAY(),"Vencida",IF(G384-TODAY()&lt;=30,"Próxima a vencer","Abierta")))))</f>
        <v>Sin fecha</v>
      </c>
      <c r="L384" s="8"/>
      <c r="M384" s="8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6"/>
      <c r="AC384" s="4"/>
      <c r="AD384" s="4"/>
    </row>
    <row r="385" spans="1:30">
      <c r="A385" s="4" t="str">
        <f t="shared" ref="A385:A448" si="14">IF(C385="","","OP-"&amp;TEXT(ROW()-1,"0000"))</f>
        <v/>
      </c>
      <c r="B385" s="4"/>
      <c r="C385" s="4"/>
      <c r="D385" s="4"/>
      <c r="E385" s="4"/>
      <c r="F385" s="4"/>
      <c r="G385" s="6"/>
      <c r="H385" s="4"/>
      <c r="I385" s="4"/>
      <c r="J385" s="4"/>
      <c r="K385" s="4" t="str">
        <f t="shared" ca="1" si="13"/>
        <v>Sin fecha</v>
      </c>
      <c r="L385" s="8"/>
      <c r="M385" s="8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6"/>
      <c r="AC385" s="4"/>
      <c r="AD385" s="4"/>
    </row>
    <row r="386" spans="1:30">
      <c r="A386" s="4" t="str">
        <f t="shared" si="14"/>
        <v/>
      </c>
      <c r="B386" s="4"/>
      <c r="C386" s="4"/>
      <c r="D386" s="4"/>
      <c r="E386" s="4"/>
      <c r="F386" s="4"/>
      <c r="G386" s="6"/>
      <c r="H386" s="4"/>
      <c r="I386" s="4"/>
      <c r="J386" s="4"/>
      <c r="K386" s="4" t="str">
        <f t="shared" ca="1" si="13"/>
        <v>Sin fecha</v>
      </c>
      <c r="L386" s="8"/>
      <c r="M386" s="8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6"/>
      <c r="AC386" s="4"/>
      <c r="AD386" s="4"/>
    </row>
    <row r="387" spans="1:30">
      <c r="A387" s="4" t="str">
        <f t="shared" si="14"/>
        <v/>
      </c>
      <c r="B387" s="4"/>
      <c r="C387" s="4"/>
      <c r="D387" s="4"/>
      <c r="E387" s="4"/>
      <c r="F387" s="4"/>
      <c r="G387" s="6"/>
      <c r="H387" s="4"/>
      <c r="I387" s="4"/>
      <c r="J387" s="4"/>
      <c r="K387" s="4" t="str">
        <f t="shared" ca="1" si="13"/>
        <v>Sin fecha</v>
      </c>
      <c r="L387" s="8"/>
      <c r="M387" s="8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6"/>
      <c r="AC387" s="4"/>
      <c r="AD387" s="4"/>
    </row>
    <row r="388" spans="1:30">
      <c r="A388" s="4" t="str">
        <f t="shared" si="14"/>
        <v/>
      </c>
      <c r="B388" s="4"/>
      <c r="C388" s="4"/>
      <c r="D388" s="4"/>
      <c r="E388" s="4"/>
      <c r="F388" s="4"/>
      <c r="G388" s="6"/>
      <c r="H388" s="4"/>
      <c r="I388" s="4"/>
      <c r="J388" s="4"/>
      <c r="K388" s="4" t="str">
        <f t="shared" ca="1" si="13"/>
        <v>Sin fecha</v>
      </c>
      <c r="L388" s="8"/>
      <c r="M388" s="8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6"/>
      <c r="AC388" s="4"/>
      <c r="AD388" s="4"/>
    </row>
    <row r="389" spans="1:30">
      <c r="A389" s="4" t="str">
        <f t="shared" si="14"/>
        <v/>
      </c>
      <c r="B389" s="4"/>
      <c r="C389" s="4"/>
      <c r="D389" s="4"/>
      <c r="E389" s="4"/>
      <c r="F389" s="4"/>
      <c r="G389" s="6"/>
      <c r="H389" s="4"/>
      <c r="I389" s="4"/>
      <c r="J389" s="4"/>
      <c r="K389" s="4" t="str">
        <f t="shared" ca="1" si="13"/>
        <v>Sin fecha</v>
      </c>
      <c r="L389" s="8"/>
      <c r="M389" s="8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6"/>
      <c r="AC389" s="4"/>
      <c r="AD389" s="4"/>
    </row>
    <row r="390" spans="1:30">
      <c r="A390" s="4" t="str">
        <f t="shared" si="14"/>
        <v/>
      </c>
      <c r="B390" s="4"/>
      <c r="C390" s="4"/>
      <c r="D390" s="4"/>
      <c r="E390" s="4"/>
      <c r="F390" s="4"/>
      <c r="G390" s="6"/>
      <c r="H390" s="4"/>
      <c r="I390" s="4"/>
      <c r="J390" s="4"/>
      <c r="K390" s="4" t="str">
        <f t="shared" ca="1" si="13"/>
        <v>Sin fecha</v>
      </c>
      <c r="L390" s="8"/>
      <c r="M390" s="8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6"/>
      <c r="AC390" s="4"/>
      <c r="AD390" s="4"/>
    </row>
    <row r="391" spans="1:30">
      <c r="A391" s="4" t="str">
        <f t="shared" si="14"/>
        <v/>
      </c>
      <c r="B391" s="4"/>
      <c r="C391" s="4"/>
      <c r="D391" s="4"/>
      <c r="E391" s="4"/>
      <c r="F391" s="4"/>
      <c r="G391" s="6"/>
      <c r="H391" s="4"/>
      <c r="I391" s="4"/>
      <c r="J391" s="4"/>
      <c r="K391" s="4" t="str">
        <f t="shared" ca="1" si="13"/>
        <v>Sin fecha</v>
      </c>
      <c r="L391" s="8"/>
      <c r="M391" s="8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6"/>
      <c r="AC391" s="4"/>
      <c r="AD391" s="4"/>
    </row>
    <row r="392" spans="1:30">
      <c r="A392" s="4" t="str">
        <f t="shared" si="14"/>
        <v/>
      </c>
      <c r="B392" s="4"/>
      <c r="C392" s="4"/>
      <c r="D392" s="4"/>
      <c r="E392" s="4"/>
      <c r="F392" s="4"/>
      <c r="G392" s="6"/>
      <c r="H392" s="4"/>
      <c r="I392" s="4"/>
      <c r="J392" s="4"/>
      <c r="K392" s="4" t="str">
        <f t="shared" ca="1" si="13"/>
        <v>Sin fecha</v>
      </c>
      <c r="L392" s="8"/>
      <c r="M392" s="8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6"/>
      <c r="AC392" s="4"/>
      <c r="AD392" s="4"/>
    </row>
    <row r="393" spans="1:30">
      <c r="A393" s="4" t="str">
        <f t="shared" si="14"/>
        <v/>
      </c>
      <c r="B393" s="4"/>
      <c r="C393" s="4"/>
      <c r="D393" s="4"/>
      <c r="E393" s="4"/>
      <c r="F393" s="4"/>
      <c r="G393" s="6"/>
      <c r="H393" s="4"/>
      <c r="I393" s="4"/>
      <c r="J393" s="4"/>
      <c r="K393" s="4" t="str">
        <f t="shared" ca="1" si="13"/>
        <v>Sin fecha</v>
      </c>
      <c r="L393" s="8"/>
      <c r="M393" s="8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6"/>
      <c r="AC393" s="4"/>
      <c r="AD393" s="4"/>
    </row>
    <row r="394" spans="1:30">
      <c r="A394" s="4" t="str">
        <f t="shared" si="14"/>
        <v/>
      </c>
      <c r="B394" s="4"/>
      <c r="C394" s="4"/>
      <c r="D394" s="4"/>
      <c r="E394" s="4"/>
      <c r="F394" s="4"/>
      <c r="G394" s="6"/>
      <c r="H394" s="4"/>
      <c r="I394" s="4"/>
      <c r="J394" s="4"/>
      <c r="K394" s="4" t="str">
        <f t="shared" ca="1" si="13"/>
        <v>Sin fecha</v>
      </c>
      <c r="L394" s="8"/>
      <c r="M394" s="8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6"/>
      <c r="AC394" s="4"/>
      <c r="AD394" s="4"/>
    </row>
    <row r="395" spans="1:30">
      <c r="A395" s="4" t="str">
        <f t="shared" si="14"/>
        <v/>
      </c>
      <c r="B395" s="4"/>
      <c r="C395" s="4"/>
      <c r="D395" s="4"/>
      <c r="E395" s="4"/>
      <c r="F395" s="4"/>
      <c r="G395" s="6"/>
      <c r="H395" s="4"/>
      <c r="I395" s="4"/>
      <c r="J395" s="4"/>
      <c r="K395" s="4" t="str">
        <f t="shared" ca="1" si="13"/>
        <v>Sin fecha</v>
      </c>
      <c r="L395" s="8"/>
      <c r="M395" s="8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6"/>
      <c r="AC395" s="4"/>
      <c r="AD395" s="4"/>
    </row>
    <row r="396" spans="1:30">
      <c r="A396" s="4" t="str">
        <f t="shared" si="14"/>
        <v/>
      </c>
      <c r="B396" s="4"/>
      <c r="C396" s="4"/>
      <c r="D396" s="4"/>
      <c r="E396" s="4"/>
      <c r="F396" s="4"/>
      <c r="G396" s="6"/>
      <c r="H396" s="4"/>
      <c r="I396" s="4"/>
      <c r="J396" s="4"/>
      <c r="K396" s="4" t="str">
        <f t="shared" ca="1" si="13"/>
        <v>Sin fecha</v>
      </c>
      <c r="L396" s="8"/>
      <c r="M396" s="8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6"/>
      <c r="AC396" s="4"/>
      <c r="AD396" s="4"/>
    </row>
    <row r="397" spans="1:30">
      <c r="A397" s="4" t="str">
        <f t="shared" si="14"/>
        <v/>
      </c>
      <c r="B397" s="4"/>
      <c r="C397" s="4"/>
      <c r="D397" s="4"/>
      <c r="E397" s="4"/>
      <c r="F397" s="4"/>
      <c r="G397" s="6"/>
      <c r="H397" s="4"/>
      <c r="I397" s="4"/>
      <c r="J397" s="4"/>
      <c r="K397" s="4" t="str">
        <f t="shared" ca="1" si="13"/>
        <v>Sin fecha</v>
      </c>
      <c r="L397" s="8"/>
      <c r="M397" s="8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6"/>
      <c r="AC397" s="4"/>
      <c r="AD397" s="4"/>
    </row>
    <row r="398" spans="1:30">
      <c r="A398" s="4" t="str">
        <f t="shared" si="14"/>
        <v/>
      </c>
      <c r="B398" s="4"/>
      <c r="C398" s="4"/>
      <c r="D398" s="4"/>
      <c r="E398" s="4"/>
      <c r="F398" s="4"/>
      <c r="G398" s="6"/>
      <c r="H398" s="4"/>
      <c r="I398" s="4"/>
      <c r="J398" s="4"/>
      <c r="K398" s="4" t="str">
        <f t="shared" ca="1" si="13"/>
        <v>Sin fecha</v>
      </c>
      <c r="L398" s="8"/>
      <c r="M398" s="8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6"/>
      <c r="AC398" s="4"/>
      <c r="AD398" s="4"/>
    </row>
    <row r="399" spans="1:30">
      <c r="A399" s="4" t="str">
        <f t="shared" si="14"/>
        <v/>
      </c>
      <c r="B399" s="4"/>
      <c r="C399" s="4"/>
      <c r="D399" s="4"/>
      <c r="E399" s="4"/>
      <c r="F399" s="4"/>
      <c r="G399" s="6"/>
      <c r="H399" s="4"/>
      <c r="I399" s="4"/>
      <c r="J399" s="4"/>
      <c r="K399" s="4" t="str">
        <f t="shared" ca="1" si="13"/>
        <v>Sin fecha</v>
      </c>
      <c r="L399" s="8"/>
      <c r="M399" s="8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6"/>
      <c r="AC399" s="4"/>
      <c r="AD399" s="4"/>
    </row>
    <row r="400" spans="1:30">
      <c r="A400" s="4" t="str">
        <f t="shared" si="14"/>
        <v/>
      </c>
      <c r="B400" s="4"/>
      <c r="C400" s="4"/>
      <c r="D400" s="4"/>
      <c r="E400" s="4"/>
      <c r="F400" s="4"/>
      <c r="G400" s="6"/>
      <c r="H400" s="4"/>
      <c r="I400" s="4"/>
      <c r="J400" s="4"/>
      <c r="K400" s="4" t="str">
        <f t="shared" ca="1" si="13"/>
        <v>Sin fecha</v>
      </c>
      <c r="L400" s="8"/>
      <c r="M400" s="8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6"/>
      <c r="AC400" s="4"/>
      <c r="AD400" s="4"/>
    </row>
    <row r="401" spans="1:30">
      <c r="A401" s="4" t="str">
        <f t="shared" si="14"/>
        <v/>
      </c>
      <c r="B401" s="4"/>
      <c r="C401" s="4"/>
      <c r="D401" s="4"/>
      <c r="E401" s="4"/>
      <c r="F401" s="4"/>
      <c r="G401" s="6"/>
      <c r="H401" s="4"/>
      <c r="I401" s="4"/>
      <c r="J401" s="4"/>
      <c r="K401" s="4" t="str">
        <f t="shared" ca="1" si="13"/>
        <v>Sin fecha</v>
      </c>
      <c r="L401" s="8"/>
      <c r="M401" s="8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6"/>
      <c r="AC401" s="4"/>
      <c r="AD401" s="4"/>
    </row>
    <row r="402" spans="1:30">
      <c r="A402" s="4" t="str">
        <f t="shared" si="14"/>
        <v/>
      </c>
      <c r="B402" s="4"/>
      <c r="C402" s="4"/>
      <c r="D402" s="4"/>
      <c r="E402" s="4"/>
      <c r="F402" s="4"/>
      <c r="G402" s="6"/>
      <c r="H402" s="4"/>
      <c r="I402" s="4"/>
      <c r="J402" s="4"/>
      <c r="K402" s="4" t="str">
        <f t="shared" ca="1" si="13"/>
        <v>Sin fecha</v>
      </c>
      <c r="L402" s="8"/>
      <c r="M402" s="8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6"/>
      <c r="AC402" s="4"/>
      <c r="AD402" s="4"/>
    </row>
    <row r="403" spans="1:30">
      <c r="A403" s="4" t="str">
        <f t="shared" si="14"/>
        <v/>
      </c>
      <c r="B403" s="4"/>
      <c r="C403" s="4"/>
      <c r="D403" s="4"/>
      <c r="E403" s="4"/>
      <c r="F403" s="4"/>
      <c r="G403" s="6"/>
      <c r="H403" s="4"/>
      <c r="I403" s="4"/>
      <c r="J403" s="4"/>
      <c r="K403" s="4" t="str">
        <f t="shared" ca="1" si="13"/>
        <v>Sin fecha</v>
      </c>
      <c r="L403" s="8"/>
      <c r="M403" s="8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6"/>
      <c r="AC403" s="4"/>
      <c r="AD403" s="4"/>
    </row>
    <row r="404" spans="1:30">
      <c r="A404" s="4" t="str">
        <f t="shared" si="14"/>
        <v/>
      </c>
      <c r="B404" s="4"/>
      <c r="C404" s="4"/>
      <c r="D404" s="4"/>
      <c r="E404" s="4"/>
      <c r="F404" s="4"/>
      <c r="G404" s="6"/>
      <c r="H404" s="4"/>
      <c r="I404" s="4"/>
      <c r="J404" s="4"/>
      <c r="K404" s="4" t="str">
        <f t="shared" ca="1" si="13"/>
        <v>Sin fecha</v>
      </c>
      <c r="L404" s="8"/>
      <c r="M404" s="8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6"/>
      <c r="AC404" s="4"/>
      <c r="AD404" s="4"/>
    </row>
    <row r="405" spans="1:30">
      <c r="A405" s="4" t="str">
        <f t="shared" si="14"/>
        <v/>
      </c>
      <c r="B405" s="4"/>
      <c r="C405" s="4"/>
      <c r="D405" s="4"/>
      <c r="E405" s="4"/>
      <c r="F405" s="4"/>
      <c r="G405" s="6"/>
      <c r="H405" s="4"/>
      <c r="I405" s="4"/>
      <c r="J405" s="4"/>
      <c r="K405" s="4" t="str">
        <f t="shared" ca="1" si="13"/>
        <v>Sin fecha</v>
      </c>
      <c r="L405" s="8"/>
      <c r="M405" s="8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6"/>
      <c r="AC405" s="4"/>
      <c r="AD405" s="4"/>
    </row>
    <row r="406" spans="1:30">
      <c r="A406" s="4" t="str">
        <f t="shared" si="14"/>
        <v/>
      </c>
      <c r="B406" s="4"/>
      <c r="C406" s="4"/>
      <c r="D406" s="4"/>
      <c r="E406" s="4"/>
      <c r="F406" s="4"/>
      <c r="G406" s="6"/>
      <c r="H406" s="4"/>
      <c r="I406" s="4"/>
      <c r="J406" s="4"/>
      <c r="K406" s="4" t="str">
        <f t="shared" ca="1" si="13"/>
        <v>Sin fecha</v>
      </c>
      <c r="L406" s="8"/>
      <c r="M406" s="8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6"/>
      <c r="AC406" s="4"/>
      <c r="AD406" s="4"/>
    </row>
    <row r="407" spans="1:30">
      <c r="A407" s="4" t="str">
        <f t="shared" si="14"/>
        <v/>
      </c>
      <c r="B407" s="4"/>
      <c r="C407" s="4"/>
      <c r="D407" s="4"/>
      <c r="E407" s="4"/>
      <c r="F407" s="4"/>
      <c r="G407" s="6"/>
      <c r="H407" s="4"/>
      <c r="I407" s="4"/>
      <c r="J407" s="4"/>
      <c r="K407" s="4" t="str">
        <f t="shared" ca="1" si="13"/>
        <v>Sin fecha</v>
      </c>
      <c r="L407" s="8"/>
      <c r="M407" s="8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6"/>
      <c r="AC407" s="4"/>
      <c r="AD407" s="4"/>
    </row>
    <row r="408" spans="1:30">
      <c r="A408" s="4" t="str">
        <f t="shared" si="14"/>
        <v/>
      </c>
      <c r="B408" s="4"/>
      <c r="C408" s="4"/>
      <c r="D408" s="4"/>
      <c r="E408" s="4"/>
      <c r="F408" s="4"/>
      <c r="G408" s="6"/>
      <c r="H408" s="4"/>
      <c r="I408" s="4"/>
      <c r="J408" s="4"/>
      <c r="K408" s="4" t="str">
        <f t="shared" ca="1" si="13"/>
        <v>Sin fecha</v>
      </c>
      <c r="L408" s="8"/>
      <c r="M408" s="8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6"/>
      <c r="AC408" s="4"/>
      <c r="AD408" s="4"/>
    </row>
    <row r="409" spans="1:30">
      <c r="A409" s="4" t="str">
        <f t="shared" si="14"/>
        <v/>
      </c>
      <c r="B409" s="4"/>
      <c r="C409" s="4"/>
      <c r="D409" s="4"/>
      <c r="E409" s="4"/>
      <c r="F409" s="4"/>
      <c r="G409" s="6"/>
      <c r="H409" s="4"/>
      <c r="I409" s="4"/>
      <c r="J409" s="4"/>
      <c r="K409" s="4" t="str">
        <f t="shared" ca="1" si="13"/>
        <v>Sin fecha</v>
      </c>
      <c r="L409" s="8"/>
      <c r="M409" s="8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6"/>
      <c r="AC409" s="4"/>
      <c r="AD409" s="4"/>
    </row>
    <row r="410" spans="1:30">
      <c r="A410" s="4" t="str">
        <f t="shared" si="14"/>
        <v/>
      </c>
      <c r="B410" s="4"/>
      <c r="C410" s="4"/>
      <c r="D410" s="4"/>
      <c r="E410" s="4"/>
      <c r="F410" s="4"/>
      <c r="G410" s="6"/>
      <c r="H410" s="4"/>
      <c r="I410" s="4"/>
      <c r="J410" s="4"/>
      <c r="K410" s="4" t="str">
        <f t="shared" ca="1" si="13"/>
        <v>Sin fecha</v>
      </c>
      <c r="L410" s="8"/>
      <c r="M410" s="8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6"/>
      <c r="AC410" s="4"/>
      <c r="AD410" s="4"/>
    </row>
    <row r="411" spans="1:30">
      <c r="A411" s="4" t="str">
        <f t="shared" si="14"/>
        <v/>
      </c>
      <c r="B411" s="4"/>
      <c r="C411" s="4"/>
      <c r="D411" s="4"/>
      <c r="E411" s="4"/>
      <c r="F411" s="4"/>
      <c r="G411" s="6"/>
      <c r="H411" s="4"/>
      <c r="I411" s="4"/>
      <c r="J411" s="4"/>
      <c r="K411" s="4" t="str">
        <f t="shared" ca="1" si="13"/>
        <v>Sin fecha</v>
      </c>
      <c r="L411" s="8"/>
      <c r="M411" s="8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6"/>
      <c r="AC411" s="4"/>
      <c r="AD411" s="4"/>
    </row>
    <row r="412" spans="1:30">
      <c r="A412" s="4" t="str">
        <f t="shared" si="14"/>
        <v/>
      </c>
      <c r="B412" s="4"/>
      <c r="C412" s="4"/>
      <c r="D412" s="4"/>
      <c r="E412" s="4"/>
      <c r="F412" s="4"/>
      <c r="G412" s="6"/>
      <c r="H412" s="4"/>
      <c r="I412" s="4"/>
      <c r="J412" s="4"/>
      <c r="K412" s="4" t="str">
        <f t="shared" ca="1" si="13"/>
        <v>Sin fecha</v>
      </c>
      <c r="L412" s="8"/>
      <c r="M412" s="8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6"/>
      <c r="AC412" s="4"/>
      <c r="AD412" s="4"/>
    </row>
    <row r="413" spans="1:30">
      <c r="A413" s="4" t="str">
        <f t="shared" si="14"/>
        <v/>
      </c>
      <c r="B413" s="4"/>
      <c r="C413" s="4"/>
      <c r="D413" s="4"/>
      <c r="E413" s="4"/>
      <c r="F413" s="4"/>
      <c r="G413" s="6"/>
      <c r="H413" s="4"/>
      <c r="I413" s="4"/>
      <c r="J413" s="4"/>
      <c r="K413" s="4" t="str">
        <f t="shared" ca="1" si="13"/>
        <v>Sin fecha</v>
      </c>
      <c r="L413" s="8"/>
      <c r="M413" s="8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6"/>
      <c r="AC413" s="4"/>
      <c r="AD413" s="4"/>
    </row>
    <row r="414" spans="1:30">
      <c r="A414" s="4" t="str">
        <f t="shared" si="14"/>
        <v/>
      </c>
      <c r="B414" s="4"/>
      <c r="C414" s="4"/>
      <c r="D414" s="4"/>
      <c r="E414" s="4"/>
      <c r="F414" s="4"/>
      <c r="G414" s="6"/>
      <c r="H414" s="4"/>
      <c r="I414" s="4"/>
      <c r="J414" s="4"/>
      <c r="K414" s="4" t="str">
        <f t="shared" ca="1" si="13"/>
        <v>Sin fecha</v>
      </c>
      <c r="L414" s="8"/>
      <c r="M414" s="8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6"/>
      <c r="AC414" s="4"/>
      <c r="AD414" s="4"/>
    </row>
    <row r="415" spans="1:30">
      <c r="A415" s="4" t="str">
        <f t="shared" si="14"/>
        <v/>
      </c>
      <c r="B415" s="4"/>
      <c r="C415" s="4"/>
      <c r="D415" s="4"/>
      <c r="E415" s="4"/>
      <c r="F415" s="4"/>
      <c r="G415" s="6"/>
      <c r="H415" s="4"/>
      <c r="I415" s="4"/>
      <c r="J415" s="4"/>
      <c r="K415" s="4" t="str">
        <f t="shared" ca="1" si="13"/>
        <v>Sin fecha</v>
      </c>
      <c r="L415" s="8"/>
      <c r="M415" s="8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6"/>
      <c r="AC415" s="4"/>
      <c r="AD415" s="4"/>
    </row>
    <row r="416" spans="1:30">
      <c r="A416" s="4" t="str">
        <f t="shared" si="14"/>
        <v/>
      </c>
      <c r="B416" s="4"/>
      <c r="C416" s="4"/>
      <c r="D416" s="4"/>
      <c r="E416" s="4"/>
      <c r="F416" s="4"/>
      <c r="G416" s="6"/>
      <c r="H416" s="4"/>
      <c r="I416" s="4"/>
      <c r="J416" s="4"/>
      <c r="K416" s="4" t="str">
        <f t="shared" ca="1" si="13"/>
        <v>Sin fecha</v>
      </c>
      <c r="L416" s="8"/>
      <c r="M416" s="8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6"/>
      <c r="AC416" s="4"/>
      <c r="AD416" s="4"/>
    </row>
    <row r="417" spans="1:30">
      <c r="A417" s="4" t="str">
        <f t="shared" si="14"/>
        <v/>
      </c>
      <c r="B417" s="4"/>
      <c r="C417" s="4"/>
      <c r="D417" s="4"/>
      <c r="E417" s="4"/>
      <c r="F417" s="4"/>
      <c r="G417" s="6"/>
      <c r="H417" s="4"/>
      <c r="I417" s="4"/>
      <c r="J417" s="4"/>
      <c r="K417" s="4" t="str">
        <f t="shared" ca="1" si="13"/>
        <v>Sin fecha</v>
      </c>
      <c r="L417" s="8"/>
      <c r="M417" s="8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6"/>
      <c r="AC417" s="4"/>
      <c r="AD417" s="4"/>
    </row>
    <row r="418" spans="1:30">
      <c r="A418" s="4" t="str">
        <f t="shared" si="14"/>
        <v/>
      </c>
      <c r="B418" s="4"/>
      <c r="C418" s="4"/>
      <c r="D418" s="4"/>
      <c r="E418" s="4"/>
      <c r="F418" s="4"/>
      <c r="G418" s="6"/>
      <c r="H418" s="4"/>
      <c r="I418" s="4"/>
      <c r="J418" s="4"/>
      <c r="K418" s="4" t="str">
        <f t="shared" ca="1" si="13"/>
        <v>Sin fecha</v>
      </c>
      <c r="L418" s="8"/>
      <c r="M418" s="8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6"/>
      <c r="AC418" s="4"/>
      <c r="AD418" s="4"/>
    </row>
    <row r="419" spans="1:30">
      <c r="A419" s="4" t="str">
        <f t="shared" si="14"/>
        <v/>
      </c>
      <c r="B419" s="4"/>
      <c r="C419" s="4"/>
      <c r="D419" s="4"/>
      <c r="E419" s="4"/>
      <c r="F419" s="4"/>
      <c r="G419" s="6"/>
      <c r="H419" s="4"/>
      <c r="I419" s="4"/>
      <c r="J419" s="4"/>
      <c r="K419" s="4" t="str">
        <f t="shared" ca="1" si="13"/>
        <v>Sin fecha</v>
      </c>
      <c r="L419" s="8"/>
      <c r="M419" s="8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6"/>
      <c r="AC419" s="4"/>
      <c r="AD419" s="4"/>
    </row>
    <row r="420" spans="1:30">
      <c r="A420" s="4" t="str">
        <f t="shared" si="14"/>
        <v/>
      </c>
      <c r="B420" s="4"/>
      <c r="C420" s="4"/>
      <c r="D420" s="4"/>
      <c r="E420" s="4"/>
      <c r="F420" s="4"/>
      <c r="G420" s="6"/>
      <c r="H420" s="4"/>
      <c r="I420" s="4"/>
      <c r="J420" s="4"/>
      <c r="K420" s="4" t="str">
        <f t="shared" ca="1" si="13"/>
        <v>Sin fecha</v>
      </c>
      <c r="L420" s="8"/>
      <c r="M420" s="8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6"/>
      <c r="AC420" s="4"/>
      <c r="AD420" s="4"/>
    </row>
    <row r="421" spans="1:30">
      <c r="A421" s="4" t="str">
        <f t="shared" si="14"/>
        <v/>
      </c>
      <c r="B421" s="4"/>
      <c r="C421" s="4"/>
      <c r="D421" s="4"/>
      <c r="E421" s="4"/>
      <c r="F421" s="4"/>
      <c r="G421" s="6"/>
      <c r="H421" s="4"/>
      <c r="I421" s="4"/>
      <c r="J421" s="4"/>
      <c r="K421" s="4" t="str">
        <f t="shared" ca="1" si="13"/>
        <v>Sin fecha</v>
      </c>
      <c r="L421" s="8"/>
      <c r="M421" s="8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6"/>
      <c r="AC421" s="4"/>
      <c r="AD421" s="4"/>
    </row>
    <row r="422" spans="1:30">
      <c r="A422" s="4" t="str">
        <f t="shared" si="14"/>
        <v/>
      </c>
      <c r="B422" s="4"/>
      <c r="C422" s="4"/>
      <c r="D422" s="4"/>
      <c r="E422" s="4"/>
      <c r="F422" s="4"/>
      <c r="G422" s="6"/>
      <c r="H422" s="4"/>
      <c r="I422" s="4"/>
      <c r="J422" s="4"/>
      <c r="K422" s="4" t="str">
        <f t="shared" ca="1" si="13"/>
        <v>Sin fecha</v>
      </c>
      <c r="L422" s="8"/>
      <c r="M422" s="8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6"/>
      <c r="AC422" s="4"/>
      <c r="AD422" s="4"/>
    </row>
    <row r="423" spans="1:30">
      <c r="A423" s="4" t="str">
        <f t="shared" si="14"/>
        <v/>
      </c>
      <c r="B423" s="4"/>
      <c r="C423" s="4"/>
      <c r="D423" s="4"/>
      <c r="E423" s="4"/>
      <c r="F423" s="4"/>
      <c r="G423" s="6"/>
      <c r="H423" s="4"/>
      <c r="I423" s="4"/>
      <c r="J423" s="4"/>
      <c r="K423" s="4" t="str">
        <f t="shared" ca="1" si="13"/>
        <v>Sin fecha</v>
      </c>
      <c r="L423" s="8"/>
      <c r="M423" s="8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6"/>
      <c r="AC423" s="4"/>
      <c r="AD423" s="4"/>
    </row>
    <row r="424" spans="1:30">
      <c r="A424" s="4" t="str">
        <f t="shared" si="14"/>
        <v/>
      </c>
      <c r="B424" s="4"/>
      <c r="C424" s="4"/>
      <c r="D424" s="4"/>
      <c r="E424" s="4"/>
      <c r="F424" s="4"/>
      <c r="G424" s="6"/>
      <c r="H424" s="4"/>
      <c r="I424" s="4"/>
      <c r="J424" s="4"/>
      <c r="K424" s="4" t="str">
        <f t="shared" ca="1" si="13"/>
        <v>Sin fecha</v>
      </c>
      <c r="L424" s="8"/>
      <c r="M424" s="8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6"/>
      <c r="AC424" s="4"/>
      <c r="AD424" s="4"/>
    </row>
    <row r="425" spans="1:30">
      <c r="A425" s="4" t="str">
        <f t="shared" si="14"/>
        <v/>
      </c>
      <c r="B425" s="4"/>
      <c r="C425" s="4"/>
      <c r="D425" s="4"/>
      <c r="E425" s="4"/>
      <c r="F425" s="4"/>
      <c r="G425" s="6"/>
      <c r="H425" s="4"/>
      <c r="I425" s="4"/>
      <c r="J425" s="4"/>
      <c r="K425" s="4" t="str">
        <f t="shared" ca="1" si="13"/>
        <v>Sin fecha</v>
      </c>
      <c r="L425" s="8"/>
      <c r="M425" s="8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6"/>
      <c r="AC425" s="4"/>
      <c r="AD425" s="4"/>
    </row>
    <row r="426" spans="1:30">
      <c r="A426" s="4" t="str">
        <f t="shared" si="14"/>
        <v/>
      </c>
      <c r="B426" s="4"/>
      <c r="C426" s="4"/>
      <c r="D426" s="4"/>
      <c r="E426" s="4"/>
      <c r="F426" s="4"/>
      <c r="G426" s="6"/>
      <c r="H426" s="4"/>
      <c r="I426" s="4"/>
      <c r="J426" s="4"/>
      <c r="K426" s="4" t="str">
        <f t="shared" ca="1" si="13"/>
        <v>Sin fecha</v>
      </c>
      <c r="L426" s="8"/>
      <c r="M426" s="8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6"/>
      <c r="AC426" s="4"/>
      <c r="AD426" s="4"/>
    </row>
    <row r="427" spans="1:30">
      <c r="A427" s="4" t="str">
        <f t="shared" si="14"/>
        <v/>
      </c>
      <c r="B427" s="4"/>
      <c r="C427" s="4"/>
      <c r="D427" s="4"/>
      <c r="E427" s="4"/>
      <c r="F427" s="4"/>
      <c r="G427" s="6"/>
      <c r="H427" s="4"/>
      <c r="I427" s="4"/>
      <c r="J427" s="4"/>
      <c r="K427" s="4" t="str">
        <f t="shared" ca="1" si="13"/>
        <v>Sin fecha</v>
      </c>
      <c r="L427" s="8"/>
      <c r="M427" s="8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6"/>
      <c r="AC427" s="4"/>
      <c r="AD427" s="4"/>
    </row>
    <row r="428" spans="1:30">
      <c r="A428" s="4" t="str">
        <f t="shared" si="14"/>
        <v/>
      </c>
      <c r="B428" s="4"/>
      <c r="C428" s="4"/>
      <c r="D428" s="4"/>
      <c r="E428" s="4"/>
      <c r="F428" s="4"/>
      <c r="G428" s="6"/>
      <c r="H428" s="4"/>
      <c r="I428" s="4"/>
      <c r="J428" s="4"/>
      <c r="K428" s="4" t="str">
        <f t="shared" ca="1" si="13"/>
        <v>Sin fecha</v>
      </c>
      <c r="L428" s="8"/>
      <c r="M428" s="8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6"/>
      <c r="AC428" s="4"/>
      <c r="AD428" s="4"/>
    </row>
    <row r="429" spans="1:30">
      <c r="A429" s="4" t="str">
        <f t="shared" si="14"/>
        <v/>
      </c>
      <c r="B429" s="4"/>
      <c r="C429" s="4"/>
      <c r="D429" s="4"/>
      <c r="E429" s="4"/>
      <c r="F429" s="4"/>
      <c r="G429" s="6"/>
      <c r="H429" s="4"/>
      <c r="I429" s="4"/>
      <c r="J429" s="4"/>
      <c r="K429" s="4" t="str">
        <f t="shared" ca="1" si="13"/>
        <v>Sin fecha</v>
      </c>
      <c r="L429" s="8"/>
      <c r="M429" s="8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6"/>
      <c r="AC429" s="4"/>
      <c r="AD429" s="4"/>
    </row>
    <row r="430" spans="1:30">
      <c r="A430" s="4" t="str">
        <f t="shared" si="14"/>
        <v/>
      </c>
      <c r="B430" s="4"/>
      <c r="C430" s="4"/>
      <c r="D430" s="4"/>
      <c r="E430" s="4"/>
      <c r="F430" s="4"/>
      <c r="G430" s="6"/>
      <c r="H430" s="4"/>
      <c r="I430" s="4"/>
      <c r="J430" s="4"/>
      <c r="K430" s="4" t="str">
        <f t="shared" ca="1" si="13"/>
        <v>Sin fecha</v>
      </c>
      <c r="L430" s="8"/>
      <c r="M430" s="8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6"/>
      <c r="AC430" s="4"/>
      <c r="AD430" s="4"/>
    </row>
    <row r="431" spans="1:30">
      <c r="A431" s="4" t="str">
        <f t="shared" si="14"/>
        <v/>
      </c>
      <c r="B431" s="4"/>
      <c r="C431" s="4"/>
      <c r="D431" s="4"/>
      <c r="E431" s="4"/>
      <c r="F431" s="4"/>
      <c r="G431" s="6"/>
      <c r="H431" s="4"/>
      <c r="I431" s="4"/>
      <c r="J431" s="4"/>
      <c r="K431" s="4" t="str">
        <f t="shared" ca="1" si="13"/>
        <v>Sin fecha</v>
      </c>
      <c r="L431" s="8"/>
      <c r="M431" s="8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6"/>
      <c r="AC431" s="4"/>
      <c r="AD431" s="4"/>
    </row>
    <row r="432" spans="1:30">
      <c r="A432" s="4" t="str">
        <f t="shared" si="14"/>
        <v/>
      </c>
      <c r="B432" s="4"/>
      <c r="C432" s="4"/>
      <c r="D432" s="4"/>
      <c r="E432" s="4"/>
      <c r="F432" s="4"/>
      <c r="G432" s="6"/>
      <c r="H432" s="4"/>
      <c r="I432" s="4"/>
      <c r="J432" s="4"/>
      <c r="K432" s="4" t="str">
        <f t="shared" ca="1" si="13"/>
        <v>Sin fecha</v>
      </c>
      <c r="L432" s="8"/>
      <c r="M432" s="8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6"/>
      <c r="AC432" s="4"/>
      <c r="AD432" s="4"/>
    </row>
    <row r="433" spans="1:30">
      <c r="A433" s="4" t="str">
        <f t="shared" si="14"/>
        <v/>
      </c>
      <c r="B433" s="4"/>
      <c r="C433" s="4"/>
      <c r="D433" s="4"/>
      <c r="E433" s="4"/>
      <c r="F433" s="4"/>
      <c r="G433" s="6"/>
      <c r="H433" s="4"/>
      <c r="I433" s="4"/>
      <c r="J433" s="4"/>
      <c r="K433" s="4" t="str">
        <f t="shared" ca="1" si="13"/>
        <v>Sin fecha</v>
      </c>
      <c r="L433" s="8"/>
      <c r="M433" s="8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6"/>
      <c r="AC433" s="4"/>
      <c r="AD433" s="4"/>
    </row>
    <row r="434" spans="1:30">
      <c r="A434" s="4" t="str">
        <f t="shared" si="14"/>
        <v/>
      </c>
      <c r="B434" s="4"/>
      <c r="C434" s="4"/>
      <c r="D434" s="4"/>
      <c r="E434" s="4"/>
      <c r="F434" s="4"/>
      <c r="G434" s="6"/>
      <c r="H434" s="4"/>
      <c r="I434" s="4"/>
      <c r="J434" s="4"/>
      <c r="K434" s="4" t="str">
        <f t="shared" ca="1" si="13"/>
        <v>Sin fecha</v>
      </c>
      <c r="L434" s="8"/>
      <c r="M434" s="8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6"/>
      <c r="AC434" s="4"/>
      <c r="AD434" s="4"/>
    </row>
    <row r="435" spans="1:30">
      <c r="A435" s="4" t="str">
        <f t="shared" si="14"/>
        <v/>
      </c>
      <c r="B435" s="4"/>
      <c r="C435" s="4"/>
      <c r="D435" s="4"/>
      <c r="E435" s="4"/>
      <c r="F435" s="4"/>
      <c r="G435" s="6"/>
      <c r="H435" s="4"/>
      <c r="I435" s="4"/>
      <c r="J435" s="4"/>
      <c r="K435" s="4" t="str">
        <f t="shared" ca="1" si="13"/>
        <v>Sin fecha</v>
      </c>
      <c r="L435" s="8"/>
      <c r="M435" s="8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6"/>
      <c r="AC435" s="4"/>
      <c r="AD435" s="4"/>
    </row>
    <row r="436" spans="1:30">
      <c r="A436" s="4" t="str">
        <f t="shared" si="14"/>
        <v/>
      </c>
      <c r="B436" s="4"/>
      <c r="C436" s="4"/>
      <c r="D436" s="4"/>
      <c r="E436" s="4"/>
      <c r="F436" s="4"/>
      <c r="G436" s="6"/>
      <c r="H436" s="4"/>
      <c r="I436" s="4"/>
      <c r="J436" s="4"/>
      <c r="K436" s="4" t="str">
        <f t="shared" ca="1" si="13"/>
        <v>Sin fecha</v>
      </c>
      <c r="L436" s="8"/>
      <c r="M436" s="8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6"/>
      <c r="AC436" s="4"/>
      <c r="AD436" s="4"/>
    </row>
    <row r="437" spans="1:30">
      <c r="A437" s="4" t="str">
        <f t="shared" si="14"/>
        <v/>
      </c>
      <c r="B437" s="4"/>
      <c r="C437" s="4"/>
      <c r="D437" s="4"/>
      <c r="E437" s="4"/>
      <c r="F437" s="4"/>
      <c r="G437" s="6"/>
      <c r="H437" s="4"/>
      <c r="I437" s="4"/>
      <c r="J437" s="4"/>
      <c r="K437" s="4" t="str">
        <f t="shared" ca="1" si="13"/>
        <v>Sin fecha</v>
      </c>
      <c r="L437" s="8"/>
      <c r="M437" s="8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6"/>
      <c r="AC437" s="4"/>
      <c r="AD437" s="4"/>
    </row>
    <row r="438" spans="1:30">
      <c r="A438" s="4" t="str">
        <f t="shared" si="14"/>
        <v/>
      </c>
      <c r="B438" s="4"/>
      <c r="C438" s="4"/>
      <c r="D438" s="4"/>
      <c r="E438" s="4"/>
      <c r="F438" s="4"/>
      <c r="G438" s="6"/>
      <c r="H438" s="4"/>
      <c r="I438" s="4"/>
      <c r="J438" s="4"/>
      <c r="K438" s="4" t="str">
        <f t="shared" ca="1" si="13"/>
        <v>Sin fecha</v>
      </c>
      <c r="L438" s="8"/>
      <c r="M438" s="8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6"/>
      <c r="AC438" s="4"/>
      <c r="AD438" s="4"/>
    </row>
    <row r="439" spans="1:30">
      <c r="A439" s="4" t="str">
        <f t="shared" si="14"/>
        <v/>
      </c>
      <c r="B439" s="4"/>
      <c r="C439" s="4"/>
      <c r="D439" s="4"/>
      <c r="E439" s="4"/>
      <c r="F439" s="4"/>
      <c r="G439" s="6"/>
      <c r="H439" s="4"/>
      <c r="I439" s="4"/>
      <c r="J439" s="4"/>
      <c r="K439" s="4" t="str">
        <f t="shared" ca="1" si="13"/>
        <v>Sin fecha</v>
      </c>
      <c r="L439" s="8"/>
      <c r="M439" s="8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6"/>
      <c r="AC439" s="4"/>
      <c r="AD439" s="4"/>
    </row>
    <row r="440" spans="1:30">
      <c r="A440" s="4" t="str">
        <f t="shared" si="14"/>
        <v/>
      </c>
      <c r="B440" s="4"/>
      <c r="C440" s="4"/>
      <c r="D440" s="4"/>
      <c r="E440" s="4"/>
      <c r="F440" s="4"/>
      <c r="G440" s="6"/>
      <c r="H440" s="4"/>
      <c r="I440" s="4"/>
      <c r="J440" s="4"/>
      <c r="K440" s="4" t="str">
        <f t="shared" ca="1" si="13"/>
        <v>Sin fecha</v>
      </c>
      <c r="L440" s="8"/>
      <c r="M440" s="8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6"/>
      <c r="AC440" s="4"/>
      <c r="AD440" s="4"/>
    </row>
    <row r="441" spans="1:30">
      <c r="A441" s="4" t="str">
        <f t="shared" si="14"/>
        <v/>
      </c>
      <c r="B441" s="4"/>
      <c r="C441" s="4"/>
      <c r="D441" s="4"/>
      <c r="E441" s="4"/>
      <c r="F441" s="4"/>
      <c r="G441" s="6"/>
      <c r="H441" s="4"/>
      <c r="I441" s="4"/>
      <c r="J441" s="4"/>
      <c r="K441" s="4" t="str">
        <f t="shared" ca="1" si="13"/>
        <v>Sin fecha</v>
      </c>
      <c r="L441" s="8"/>
      <c r="M441" s="8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6"/>
      <c r="AC441" s="4"/>
      <c r="AD441" s="4"/>
    </row>
    <row r="442" spans="1:30">
      <c r="A442" s="4" t="str">
        <f t="shared" si="14"/>
        <v/>
      </c>
      <c r="B442" s="4"/>
      <c r="C442" s="4"/>
      <c r="D442" s="4"/>
      <c r="E442" s="4"/>
      <c r="F442" s="4"/>
      <c r="G442" s="6"/>
      <c r="H442" s="4"/>
      <c r="I442" s="4"/>
      <c r="J442" s="4"/>
      <c r="K442" s="4" t="str">
        <f t="shared" ca="1" si="13"/>
        <v>Sin fecha</v>
      </c>
      <c r="L442" s="8"/>
      <c r="M442" s="8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6"/>
      <c r="AC442" s="4"/>
      <c r="AD442" s="4"/>
    </row>
    <row r="443" spans="1:30">
      <c r="A443" s="4" t="str">
        <f t="shared" si="14"/>
        <v/>
      </c>
      <c r="B443" s="4"/>
      <c r="C443" s="4"/>
      <c r="D443" s="4"/>
      <c r="E443" s="4"/>
      <c r="F443" s="4"/>
      <c r="G443" s="6"/>
      <c r="H443" s="4"/>
      <c r="I443" s="4"/>
      <c r="J443" s="4"/>
      <c r="K443" s="4" t="str">
        <f t="shared" ca="1" si="13"/>
        <v>Sin fecha</v>
      </c>
      <c r="L443" s="8"/>
      <c r="M443" s="8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6"/>
      <c r="AC443" s="4"/>
      <c r="AD443" s="4"/>
    </row>
    <row r="444" spans="1:30">
      <c r="A444" s="4" t="str">
        <f t="shared" si="14"/>
        <v/>
      </c>
      <c r="B444" s="4"/>
      <c r="C444" s="4"/>
      <c r="D444" s="4"/>
      <c r="E444" s="4"/>
      <c r="F444" s="4"/>
      <c r="G444" s="6"/>
      <c r="H444" s="4"/>
      <c r="I444" s="4"/>
      <c r="J444" s="4"/>
      <c r="K444" s="4" t="str">
        <f t="shared" ca="1" si="13"/>
        <v>Sin fecha</v>
      </c>
      <c r="L444" s="8"/>
      <c r="M444" s="8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6"/>
      <c r="AC444" s="4"/>
      <c r="AD444" s="4"/>
    </row>
    <row r="445" spans="1:30">
      <c r="A445" s="4" t="str">
        <f t="shared" si="14"/>
        <v/>
      </c>
      <c r="B445" s="4"/>
      <c r="C445" s="4"/>
      <c r="D445" s="4"/>
      <c r="E445" s="4"/>
      <c r="F445" s="4"/>
      <c r="G445" s="6"/>
      <c r="H445" s="4"/>
      <c r="I445" s="4"/>
      <c r="J445" s="4"/>
      <c r="K445" s="4" t="str">
        <f t="shared" ca="1" si="13"/>
        <v>Sin fecha</v>
      </c>
      <c r="L445" s="8"/>
      <c r="M445" s="8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6"/>
      <c r="AC445" s="4"/>
      <c r="AD445" s="4"/>
    </row>
    <row r="446" spans="1:30">
      <c r="A446" s="4" t="str">
        <f t="shared" si="14"/>
        <v/>
      </c>
      <c r="B446" s="4"/>
      <c r="C446" s="4"/>
      <c r="D446" s="4"/>
      <c r="E446" s="4"/>
      <c r="F446" s="4"/>
      <c r="G446" s="6"/>
      <c r="H446" s="4"/>
      <c r="I446" s="4"/>
      <c r="J446" s="4"/>
      <c r="K446" s="4" t="str">
        <f t="shared" ca="1" si="13"/>
        <v>Sin fecha</v>
      </c>
      <c r="L446" s="8"/>
      <c r="M446" s="8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6"/>
      <c r="AC446" s="4"/>
      <c r="AD446" s="4"/>
    </row>
    <row r="447" spans="1:30">
      <c r="A447" s="4" t="str">
        <f t="shared" si="14"/>
        <v/>
      </c>
      <c r="B447" s="4"/>
      <c r="C447" s="4"/>
      <c r="D447" s="4"/>
      <c r="E447" s="4"/>
      <c r="F447" s="4"/>
      <c r="G447" s="6"/>
      <c r="H447" s="4"/>
      <c r="I447" s="4"/>
      <c r="J447" s="4"/>
      <c r="K447" s="4" t="str">
        <f t="shared" ca="1" si="13"/>
        <v>Sin fecha</v>
      </c>
      <c r="L447" s="8"/>
      <c r="M447" s="8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6"/>
      <c r="AC447" s="4"/>
      <c r="AD447" s="4"/>
    </row>
    <row r="448" spans="1:30">
      <c r="A448" s="4" t="str">
        <f t="shared" si="14"/>
        <v/>
      </c>
      <c r="B448" s="4"/>
      <c r="C448" s="4"/>
      <c r="D448" s="4"/>
      <c r="E448" s="4"/>
      <c r="F448" s="4"/>
      <c r="G448" s="6"/>
      <c r="H448" s="4"/>
      <c r="I448" s="4"/>
      <c r="J448" s="4"/>
      <c r="K448" s="4" t="str">
        <f t="shared" ref="K448:K499" ca="1" si="15">IF(J448="Cerrada","Cerrada",IF(J448="Suspendida","Suspendida",IF(G448="","Sin fecha",IF(G448&lt;TODAY(),"Vencida",IF(G448-TODAY()&lt;=30,"Próxima a vencer","Abierta")))))</f>
        <v>Sin fecha</v>
      </c>
      <c r="L448" s="8"/>
      <c r="M448" s="8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6"/>
      <c r="AC448" s="4"/>
      <c r="AD448" s="4"/>
    </row>
    <row r="449" spans="1:30">
      <c r="A449" s="4" t="str">
        <f t="shared" ref="A449:A499" si="16">IF(C449="","","OP-"&amp;TEXT(ROW()-1,"0000"))</f>
        <v/>
      </c>
      <c r="B449" s="4"/>
      <c r="C449" s="4"/>
      <c r="D449" s="4"/>
      <c r="E449" s="4"/>
      <c r="F449" s="4"/>
      <c r="G449" s="6"/>
      <c r="H449" s="4"/>
      <c r="I449" s="4"/>
      <c r="J449" s="4"/>
      <c r="K449" s="4" t="str">
        <f t="shared" ca="1" si="15"/>
        <v>Sin fecha</v>
      </c>
      <c r="L449" s="8"/>
      <c r="M449" s="8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6"/>
      <c r="AC449" s="4"/>
      <c r="AD449" s="4"/>
    </row>
    <row r="450" spans="1:30">
      <c r="A450" s="4" t="str">
        <f t="shared" si="16"/>
        <v/>
      </c>
      <c r="B450" s="4"/>
      <c r="C450" s="4"/>
      <c r="D450" s="4"/>
      <c r="E450" s="4"/>
      <c r="F450" s="4"/>
      <c r="G450" s="6"/>
      <c r="H450" s="4"/>
      <c r="I450" s="4"/>
      <c r="J450" s="4"/>
      <c r="K450" s="4" t="str">
        <f t="shared" ca="1" si="15"/>
        <v>Sin fecha</v>
      </c>
      <c r="L450" s="8"/>
      <c r="M450" s="8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6"/>
      <c r="AC450" s="4"/>
      <c r="AD450" s="4"/>
    </row>
    <row r="451" spans="1:30">
      <c r="A451" s="4" t="str">
        <f t="shared" si="16"/>
        <v/>
      </c>
      <c r="B451" s="4"/>
      <c r="C451" s="4"/>
      <c r="D451" s="4"/>
      <c r="E451" s="4"/>
      <c r="F451" s="4"/>
      <c r="G451" s="6"/>
      <c r="H451" s="4"/>
      <c r="I451" s="4"/>
      <c r="J451" s="4"/>
      <c r="K451" s="4" t="str">
        <f t="shared" ca="1" si="15"/>
        <v>Sin fecha</v>
      </c>
      <c r="L451" s="8"/>
      <c r="M451" s="8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6"/>
      <c r="AC451" s="4"/>
      <c r="AD451" s="4"/>
    </row>
    <row r="452" spans="1:30">
      <c r="A452" s="4" t="str">
        <f t="shared" si="16"/>
        <v/>
      </c>
      <c r="B452" s="4"/>
      <c r="C452" s="4"/>
      <c r="D452" s="4"/>
      <c r="E452" s="4"/>
      <c r="F452" s="4"/>
      <c r="G452" s="6"/>
      <c r="H452" s="4"/>
      <c r="I452" s="4"/>
      <c r="J452" s="4"/>
      <c r="K452" s="4" t="str">
        <f t="shared" ca="1" si="15"/>
        <v>Sin fecha</v>
      </c>
      <c r="L452" s="8"/>
      <c r="M452" s="8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6"/>
      <c r="AC452" s="4"/>
      <c r="AD452" s="4"/>
    </row>
    <row r="453" spans="1:30">
      <c r="A453" s="4" t="str">
        <f t="shared" si="16"/>
        <v/>
      </c>
      <c r="B453" s="4"/>
      <c r="C453" s="4"/>
      <c r="D453" s="4"/>
      <c r="E453" s="4"/>
      <c r="F453" s="4"/>
      <c r="G453" s="6"/>
      <c r="H453" s="4"/>
      <c r="I453" s="4"/>
      <c r="J453" s="4"/>
      <c r="K453" s="4" t="str">
        <f t="shared" ca="1" si="15"/>
        <v>Sin fecha</v>
      </c>
      <c r="L453" s="8"/>
      <c r="M453" s="8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6"/>
      <c r="AC453" s="4"/>
      <c r="AD453" s="4"/>
    </row>
    <row r="454" spans="1:30">
      <c r="A454" s="4" t="str">
        <f t="shared" si="16"/>
        <v/>
      </c>
      <c r="B454" s="4"/>
      <c r="C454" s="4"/>
      <c r="D454" s="4"/>
      <c r="E454" s="4"/>
      <c r="F454" s="4"/>
      <c r="G454" s="6"/>
      <c r="H454" s="4"/>
      <c r="I454" s="4"/>
      <c r="J454" s="4"/>
      <c r="K454" s="4" t="str">
        <f t="shared" ca="1" si="15"/>
        <v>Sin fecha</v>
      </c>
      <c r="L454" s="8"/>
      <c r="M454" s="8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6"/>
      <c r="AC454" s="4"/>
      <c r="AD454" s="4"/>
    </row>
    <row r="455" spans="1:30">
      <c r="A455" s="4" t="str">
        <f t="shared" si="16"/>
        <v/>
      </c>
      <c r="B455" s="4"/>
      <c r="C455" s="4"/>
      <c r="D455" s="4"/>
      <c r="E455" s="4"/>
      <c r="F455" s="4"/>
      <c r="G455" s="6"/>
      <c r="H455" s="4"/>
      <c r="I455" s="4"/>
      <c r="J455" s="4"/>
      <c r="K455" s="4" t="str">
        <f t="shared" ca="1" si="15"/>
        <v>Sin fecha</v>
      </c>
      <c r="L455" s="8"/>
      <c r="M455" s="8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6"/>
      <c r="AC455" s="4"/>
      <c r="AD455" s="4"/>
    </row>
    <row r="456" spans="1:30">
      <c r="A456" s="4" t="str">
        <f t="shared" si="16"/>
        <v/>
      </c>
      <c r="B456" s="4"/>
      <c r="C456" s="4"/>
      <c r="D456" s="4"/>
      <c r="E456" s="4"/>
      <c r="F456" s="4"/>
      <c r="G456" s="6"/>
      <c r="H456" s="4"/>
      <c r="I456" s="4"/>
      <c r="J456" s="4"/>
      <c r="K456" s="4" t="str">
        <f t="shared" ca="1" si="15"/>
        <v>Sin fecha</v>
      </c>
      <c r="L456" s="8"/>
      <c r="M456" s="8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6"/>
      <c r="AC456" s="4"/>
      <c r="AD456" s="4"/>
    </row>
    <row r="457" spans="1:30">
      <c r="A457" s="4" t="str">
        <f t="shared" si="16"/>
        <v/>
      </c>
      <c r="B457" s="4"/>
      <c r="C457" s="4"/>
      <c r="D457" s="4"/>
      <c r="E457" s="4"/>
      <c r="F457" s="4"/>
      <c r="G457" s="6"/>
      <c r="H457" s="4"/>
      <c r="I457" s="4"/>
      <c r="J457" s="4"/>
      <c r="K457" s="4" t="str">
        <f t="shared" ca="1" si="15"/>
        <v>Sin fecha</v>
      </c>
      <c r="L457" s="8"/>
      <c r="M457" s="8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6"/>
      <c r="AC457" s="4"/>
      <c r="AD457" s="4"/>
    </row>
    <row r="458" spans="1:30">
      <c r="A458" s="4" t="str">
        <f t="shared" si="16"/>
        <v/>
      </c>
      <c r="B458" s="4"/>
      <c r="C458" s="4"/>
      <c r="D458" s="4"/>
      <c r="E458" s="4"/>
      <c r="F458" s="4"/>
      <c r="G458" s="6"/>
      <c r="H458" s="4"/>
      <c r="I458" s="4"/>
      <c r="J458" s="4"/>
      <c r="K458" s="4" t="str">
        <f t="shared" ca="1" si="15"/>
        <v>Sin fecha</v>
      </c>
      <c r="L458" s="8"/>
      <c r="M458" s="8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6"/>
      <c r="AC458" s="4"/>
      <c r="AD458" s="4"/>
    </row>
    <row r="459" spans="1:30">
      <c r="A459" s="4" t="str">
        <f t="shared" si="16"/>
        <v/>
      </c>
      <c r="B459" s="4"/>
      <c r="C459" s="4"/>
      <c r="D459" s="4"/>
      <c r="E459" s="4"/>
      <c r="F459" s="4"/>
      <c r="G459" s="6"/>
      <c r="H459" s="4"/>
      <c r="I459" s="4"/>
      <c r="J459" s="4"/>
      <c r="K459" s="4" t="str">
        <f t="shared" ca="1" si="15"/>
        <v>Sin fecha</v>
      </c>
      <c r="L459" s="8"/>
      <c r="M459" s="8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6"/>
      <c r="AC459" s="4"/>
      <c r="AD459" s="4"/>
    </row>
    <row r="460" spans="1:30">
      <c r="A460" s="4" t="str">
        <f t="shared" si="16"/>
        <v/>
      </c>
      <c r="B460" s="4"/>
      <c r="C460" s="4"/>
      <c r="D460" s="4"/>
      <c r="E460" s="4"/>
      <c r="F460" s="4"/>
      <c r="G460" s="6"/>
      <c r="H460" s="4"/>
      <c r="I460" s="4"/>
      <c r="J460" s="4"/>
      <c r="K460" s="4" t="str">
        <f t="shared" ca="1" si="15"/>
        <v>Sin fecha</v>
      </c>
      <c r="L460" s="8"/>
      <c r="M460" s="8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6"/>
      <c r="AC460" s="4"/>
      <c r="AD460" s="4"/>
    </row>
    <row r="461" spans="1:30">
      <c r="A461" s="4" t="str">
        <f t="shared" si="16"/>
        <v/>
      </c>
      <c r="B461" s="4"/>
      <c r="C461" s="4"/>
      <c r="D461" s="4"/>
      <c r="E461" s="4"/>
      <c r="F461" s="4"/>
      <c r="G461" s="6"/>
      <c r="H461" s="4"/>
      <c r="I461" s="4"/>
      <c r="J461" s="4"/>
      <c r="K461" s="4" t="str">
        <f t="shared" ca="1" si="15"/>
        <v>Sin fecha</v>
      </c>
      <c r="L461" s="8"/>
      <c r="M461" s="8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6"/>
      <c r="AC461" s="4"/>
      <c r="AD461" s="4"/>
    </row>
    <row r="462" spans="1:30">
      <c r="A462" s="4" t="str">
        <f t="shared" si="16"/>
        <v/>
      </c>
      <c r="B462" s="4"/>
      <c r="C462" s="4"/>
      <c r="D462" s="4"/>
      <c r="E462" s="4"/>
      <c r="F462" s="4"/>
      <c r="G462" s="6"/>
      <c r="H462" s="4"/>
      <c r="I462" s="4"/>
      <c r="J462" s="4"/>
      <c r="K462" s="4" t="str">
        <f t="shared" ca="1" si="15"/>
        <v>Sin fecha</v>
      </c>
      <c r="L462" s="8"/>
      <c r="M462" s="8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6"/>
      <c r="AC462" s="4"/>
      <c r="AD462" s="4"/>
    </row>
    <row r="463" spans="1:30">
      <c r="A463" s="4" t="str">
        <f t="shared" si="16"/>
        <v/>
      </c>
      <c r="B463" s="4"/>
      <c r="C463" s="4"/>
      <c r="D463" s="4"/>
      <c r="E463" s="4"/>
      <c r="F463" s="4"/>
      <c r="G463" s="6"/>
      <c r="H463" s="4"/>
      <c r="I463" s="4"/>
      <c r="J463" s="4"/>
      <c r="K463" s="4" t="str">
        <f t="shared" ca="1" si="15"/>
        <v>Sin fecha</v>
      </c>
      <c r="L463" s="8"/>
      <c r="M463" s="8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6"/>
      <c r="AC463" s="4"/>
      <c r="AD463" s="4"/>
    </row>
    <row r="464" spans="1:30">
      <c r="A464" s="4" t="str">
        <f t="shared" si="16"/>
        <v/>
      </c>
      <c r="B464" s="4"/>
      <c r="C464" s="4"/>
      <c r="D464" s="4"/>
      <c r="E464" s="4"/>
      <c r="F464" s="4"/>
      <c r="G464" s="6"/>
      <c r="H464" s="4"/>
      <c r="I464" s="4"/>
      <c r="J464" s="4"/>
      <c r="K464" s="4" t="str">
        <f t="shared" ca="1" si="15"/>
        <v>Sin fecha</v>
      </c>
      <c r="L464" s="8"/>
      <c r="M464" s="8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6"/>
      <c r="AC464" s="4"/>
      <c r="AD464" s="4"/>
    </row>
    <row r="465" spans="1:30">
      <c r="A465" s="4" t="str">
        <f t="shared" si="16"/>
        <v/>
      </c>
      <c r="B465" s="4"/>
      <c r="C465" s="4"/>
      <c r="D465" s="4"/>
      <c r="E465" s="4"/>
      <c r="F465" s="4"/>
      <c r="G465" s="6"/>
      <c r="H465" s="4"/>
      <c r="I465" s="4"/>
      <c r="J465" s="4"/>
      <c r="K465" s="4" t="str">
        <f t="shared" ca="1" si="15"/>
        <v>Sin fecha</v>
      </c>
      <c r="L465" s="8"/>
      <c r="M465" s="8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6"/>
      <c r="AC465" s="4"/>
      <c r="AD465" s="4"/>
    </row>
    <row r="466" spans="1:30">
      <c r="A466" s="4" t="str">
        <f t="shared" si="16"/>
        <v/>
      </c>
      <c r="B466" s="4"/>
      <c r="C466" s="4"/>
      <c r="D466" s="4"/>
      <c r="E466" s="4"/>
      <c r="F466" s="4"/>
      <c r="G466" s="6"/>
      <c r="H466" s="4"/>
      <c r="I466" s="4"/>
      <c r="J466" s="4"/>
      <c r="K466" s="4" t="str">
        <f t="shared" ca="1" si="15"/>
        <v>Sin fecha</v>
      </c>
      <c r="L466" s="8"/>
      <c r="M466" s="8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6"/>
      <c r="AC466" s="4"/>
      <c r="AD466" s="4"/>
    </row>
    <row r="467" spans="1:30">
      <c r="A467" s="4" t="str">
        <f t="shared" si="16"/>
        <v/>
      </c>
      <c r="B467" s="4"/>
      <c r="C467" s="4"/>
      <c r="D467" s="4"/>
      <c r="E467" s="4"/>
      <c r="F467" s="4"/>
      <c r="G467" s="6"/>
      <c r="H467" s="4"/>
      <c r="I467" s="4"/>
      <c r="J467" s="4"/>
      <c r="K467" s="4" t="str">
        <f t="shared" ca="1" si="15"/>
        <v>Sin fecha</v>
      </c>
      <c r="L467" s="8"/>
      <c r="M467" s="8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6"/>
      <c r="AC467" s="4"/>
      <c r="AD467" s="4"/>
    </row>
    <row r="468" spans="1:30">
      <c r="A468" s="4" t="str">
        <f t="shared" si="16"/>
        <v/>
      </c>
      <c r="B468" s="4"/>
      <c r="C468" s="4"/>
      <c r="D468" s="4"/>
      <c r="E468" s="4"/>
      <c r="F468" s="4"/>
      <c r="G468" s="6"/>
      <c r="H468" s="4"/>
      <c r="I468" s="4"/>
      <c r="J468" s="4"/>
      <c r="K468" s="4" t="str">
        <f t="shared" ca="1" si="15"/>
        <v>Sin fecha</v>
      </c>
      <c r="L468" s="8"/>
      <c r="M468" s="8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6"/>
      <c r="AC468" s="4"/>
      <c r="AD468" s="4"/>
    </row>
    <row r="469" spans="1:30">
      <c r="A469" s="4" t="str">
        <f t="shared" si="16"/>
        <v/>
      </c>
      <c r="B469" s="4"/>
      <c r="C469" s="4"/>
      <c r="D469" s="4"/>
      <c r="E469" s="4"/>
      <c r="F469" s="4"/>
      <c r="G469" s="6"/>
      <c r="H469" s="4"/>
      <c r="I469" s="4"/>
      <c r="J469" s="4"/>
      <c r="K469" s="4" t="str">
        <f t="shared" ca="1" si="15"/>
        <v>Sin fecha</v>
      </c>
      <c r="L469" s="8"/>
      <c r="M469" s="8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6"/>
      <c r="AC469" s="4"/>
      <c r="AD469" s="4"/>
    </row>
    <row r="470" spans="1:30">
      <c r="A470" s="4" t="str">
        <f t="shared" si="16"/>
        <v/>
      </c>
      <c r="B470" s="4"/>
      <c r="C470" s="4"/>
      <c r="D470" s="4"/>
      <c r="E470" s="4"/>
      <c r="F470" s="4"/>
      <c r="G470" s="6"/>
      <c r="H470" s="4"/>
      <c r="I470" s="4"/>
      <c r="J470" s="4"/>
      <c r="K470" s="4" t="str">
        <f t="shared" ca="1" si="15"/>
        <v>Sin fecha</v>
      </c>
      <c r="L470" s="8"/>
      <c r="M470" s="8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6"/>
      <c r="AC470" s="4"/>
      <c r="AD470" s="4"/>
    </row>
    <row r="471" spans="1:30">
      <c r="A471" s="4" t="str">
        <f t="shared" si="16"/>
        <v/>
      </c>
      <c r="B471" s="4"/>
      <c r="C471" s="4"/>
      <c r="D471" s="4"/>
      <c r="E471" s="4"/>
      <c r="F471" s="4"/>
      <c r="G471" s="6"/>
      <c r="H471" s="4"/>
      <c r="I471" s="4"/>
      <c r="J471" s="4"/>
      <c r="K471" s="4" t="str">
        <f t="shared" ca="1" si="15"/>
        <v>Sin fecha</v>
      </c>
      <c r="L471" s="8"/>
      <c r="M471" s="8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6"/>
      <c r="AC471" s="4"/>
      <c r="AD471" s="4"/>
    </row>
    <row r="472" spans="1:30">
      <c r="A472" s="4" t="str">
        <f t="shared" si="16"/>
        <v/>
      </c>
      <c r="B472" s="4"/>
      <c r="C472" s="4"/>
      <c r="D472" s="4"/>
      <c r="E472" s="4"/>
      <c r="F472" s="4"/>
      <c r="G472" s="6"/>
      <c r="H472" s="4"/>
      <c r="I472" s="4"/>
      <c r="J472" s="4"/>
      <c r="K472" s="4" t="str">
        <f t="shared" ca="1" si="15"/>
        <v>Sin fecha</v>
      </c>
      <c r="L472" s="8"/>
      <c r="M472" s="8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6"/>
      <c r="AC472" s="4"/>
      <c r="AD472" s="4"/>
    </row>
    <row r="473" spans="1:30">
      <c r="A473" s="4" t="str">
        <f t="shared" si="16"/>
        <v/>
      </c>
      <c r="B473" s="4"/>
      <c r="C473" s="4"/>
      <c r="D473" s="4"/>
      <c r="E473" s="4"/>
      <c r="F473" s="4"/>
      <c r="G473" s="6"/>
      <c r="H473" s="4"/>
      <c r="I473" s="4"/>
      <c r="J473" s="4"/>
      <c r="K473" s="4" t="str">
        <f t="shared" ca="1" si="15"/>
        <v>Sin fecha</v>
      </c>
      <c r="L473" s="8"/>
      <c r="M473" s="8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6"/>
      <c r="AC473" s="4"/>
      <c r="AD473" s="4"/>
    </row>
    <row r="474" spans="1:30">
      <c r="A474" s="4" t="str">
        <f t="shared" si="16"/>
        <v/>
      </c>
      <c r="B474" s="4"/>
      <c r="C474" s="4"/>
      <c r="D474" s="4"/>
      <c r="E474" s="4"/>
      <c r="F474" s="4"/>
      <c r="G474" s="6"/>
      <c r="H474" s="4"/>
      <c r="I474" s="4"/>
      <c r="J474" s="4"/>
      <c r="K474" s="4" t="str">
        <f t="shared" ca="1" si="15"/>
        <v>Sin fecha</v>
      </c>
      <c r="L474" s="8"/>
      <c r="M474" s="8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6"/>
      <c r="AC474" s="4"/>
      <c r="AD474" s="4"/>
    </row>
    <row r="475" spans="1:30">
      <c r="A475" s="4" t="str">
        <f t="shared" si="16"/>
        <v/>
      </c>
      <c r="B475" s="4"/>
      <c r="C475" s="4"/>
      <c r="D475" s="4"/>
      <c r="E475" s="4"/>
      <c r="F475" s="4"/>
      <c r="G475" s="6"/>
      <c r="H475" s="4"/>
      <c r="I475" s="4"/>
      <c r="J475" s="4"/>
      <c r="K475" s="4" t="str">
        <f t="shared" ca="1" si="15"/>
        <v>Sin fecha</v>
      </c>
      <c r="L475" s="8"/>
      <c r="M475" s="8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6"/>
      <c r="AC475" s="4"/>
      <c r="AD475" s="4"/>
    </row>
    <row r="476" spans="1:30">
      <c r="A476" s="4" t="str">
        <f t="shared" si="16"/>
        <v/>
      </c>
      <c r="B476" s="4"/>
      <c r="C476" s="4"/>
      <c r="D476" s="4"/>
      <c r="E476" s="4"/>
      <c r="F476" s="4"/>
      <c r="G476" s="6"/>
      <c r="H476" s="4"/>
      <c r="I476" s="4"/>
      <c r="J476" s="4"/>
      <c r="K476" s="4" t="str">
        <f t="shared" ca="1" si="15"/>
        <v>Sin fecha</v>
      </c>
      <c r="L476" s="8"/>
      <c r="M476" s="8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6"/>
      <c r="AC476" s="4"/>
      <c r="AD476" s="4"/>
    </row>
    <row r="477" spans="1:30">
      <c r="A477" s="4" t="str">
        <f t="shared" si="16"/>
        <v/>
      </c>
      <c r="B477" s="4"/>
      <c r="C477" s="4"/>
      <c r="D477" s="4"/>
      <c r="E477" s="4"/>
      <c r="F477" s="4"/>
      <c r="G477" s="6"/>
      <c r="H477" s="4"/>
      <c r="I477" s="4"/>
      <c r="J477" s="4"/>
      <c r="K477" s="4" t="str">
        <f t="shared" ca="1" si="15"/>
        <v>Sin fecha</v>
      </c>
      <c r="L477" s="8"/>
      <c r="M477" s="8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6"/>
      <c r="AC477" s="4"/>
      <c r="AD477" s="4"/>
    </row>
    <row r="478" spans="1:30">
      <c r="A478" s="4" t="str">
        <f t="shared" si="16"/>
        <v/>
      </c>
      <c r="B478" s="4"/>
      <c r="C478" s="4"/>
      <c r="D478" s="4"/>
      <c r="E478" s="4"/>
      <c r="F478" s="4"/>
      <c r="G478" s="6"/>
      <c r="H478" s="4"/>
      <c r="I478" s="4"/>
      <c r="J478" s="4"/>
      <c r="K478" s="4" t="str">
        <f t="shared" ca="1" si="15"/>
        <v>Sin fecha</v>
      </c>
      <c r="L478" s="8"/>
      <c r="M478" s="8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6"/>
      <c r="AC478" s="4"/>
      <c r="AD478" s="4"/>
    </row>
    <row r="479" spans="1:30">
      <c r="A479" s="4" t="str">
        <f t="shared" si="16"/>
        <v/>
      </c>
      <c r="B479" s="4"/>
      <c r="C479" s="4"/>
      <c r="D479" s="4"/>
      <c r="E479" s="4"/>
      <c r="F479" s="4"/>
      <c r="G479" s="6"/>
      <c r="H479" s="4"/>
      <c r="I479" s="4"/>
      <c r="J479" s="4"/>
      <c r="K479" s="4" t="str">
        <f t="shared" ca="1" si="15"/>
        <v>Sin fecha</v>
      </c>
      <c r="L479" s="8"/>
      <c r="M479" s="8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6"/>
      <c r="AC479" s="4"/>
      <c r="AD479" s="4"/>
    </row>
    <row r="480" spans="1:30">
      <c r="A480" s="4" t="str">
        <f t="shared" si="16"/>
        <v/>
      </c>
      <c r="B480" s="4"/>
      <c r="C480" s="4"/>
      <c r="D480" s="4"/>
      <c r="E480" s="4"/>
      <c r="F480" s="4"/>
      <c r="G480" s="6"/>
      <c r="H480" s="4"/>
      <c r="I480" s="4"/>
      <c r="J480" s="4"/>
      <c r="K480" s="4" t="str">
        <f t="shared" ca="1" si="15"/>
        <v>Sin fecha</v>
      </c>
      <c r="L480" s="8"/>
      <c r="M480" s="8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6"/>
      <c r="AC480" s="4"/>
      <c r="AD480" s="4"/>
    </row>
    <row r="481" spans="1:30">
      <c r="A481" s="4" t="str">
        <f t="shared" si="16"/>
        <v/>
      </c>
      <c r="B481" s="4"/>
      <c r="C481" s="4"/>
      <c r="D481" s="4"/>
      <c r="E481" s="4"/>
      <c r="F481" s="4"/>
      <c r="G481" s="6"/>
      <c r="H481" s="4"/>
      <c r="I481" s="4"/>
      <c r="J481" s="4"/>
      <c r="K481" s="4" t="str">
        <f t="shared" ca="1" si="15"/>
        <v>Sin fecha</v>
      </c>
      <c r="L481" s="8"/>
      <c r="M481" s="8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6"/>
      <c r="AC481" s="4"/>
      <c r="AD481" s="4"/>
    </row>
    <row r="482" spans="1:30">
      <c r="A482" s="4" t="str">
        <f t="shared" si="16"/>
        <v/>
      </c>
      <c r="B482" s="4"/>
      <c r="C482" s="4"/>
      <c r="D482" s="4"/>
      <c r="E482" s="4"/>
      <c r="F482" s="4"/>
      <c r="G482" s="6"/>
      <c r="H482" s="4"/>
      <c r="I482" s="4"/>
      <c r="J482" s="4"/>
      <c r="K482" s="4" t="str">
        <f t="shared" ca="1" si="15"/>
        <v>Sin fecha</v>
      </c>
      <c r="L482" s="8"/>
      <c r="M482" s="8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6"/>
      <c r="AC482" s="4"/>
      <c r="AD482" s="4"/>
    </row>
    <row r="483" spans="1:30">
      <c r="A483" s="4" t="str">
        <f t="shared" si="16"/>
        <v/>
      </c>
      <c r="B483" s="4"/>
      <c r="C483" s="4"/>
      <c r="D483" s="4"/>
      <c r="E483" s="4"/>
      <c r="F483" s="4"/>
      <c r="G483" s="6"/>
      <c r="H483" s="4"/>
      <c r="I483" s="4"/>
      <c r="J483" s="4"/>
      <c r="K483" s="4" t="str">
        <f t="shared" ca="1" si="15"/>
        <v>Sin fecha</v>
      </c>
      <c r="L483" s="8"/>
      <c r="M483" s="8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6"/>
      <c r="AC483" s="4"/>
      <c r="AD483" s="4"/>
    </row>
    <row r="484" spans="1:30">
      <c r="A484" s="4" t="str">
        <f t="shared" si="16"/>
        <v/>
      </c>
      <c r="B484" s="4"/>
      <c r="C484" s="4"/>
      <c r="D484" s="4"/>
      <c r="E484" s="4"/>
      <c r="F484" s="4"/>
      <c r="G484" s="6"/>
      <c r="H484" s="4"/>
      <c r="I484" s="4"/>
      <c r="J484" s="4"/>
      <c r="K484" s="4" t="str">
        <f t="shared" ca="1" si="15"/>
        <v>Sin fecha</v>
      </c>
      <c r="L484" s="8"/>
      <c r="M484" s="8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6"/>
      <c r="AC484" s="4"/>
      <c r="AD484" s="4"/>
    </row>
    <row r="485" spans="1:30">
      <c r="A485" s="4" t="str">
        <f t="shared" si="16"/>
        <v/>
      </c>
      <c r="B485" s="4"/>
      <c r="C485" s="4"/>
      <c r="D485" s="4"/>
      <c r="E485" s="4"/>
      <c r="F485" s="4"/>
      <c r="G485" s="6"/>
      <c r="H485" s="4"/>
      <c r="I485" s="4"/>
      <c r="J485" s="4"/>
      <c r="K485" s="4" t="str">
        <f t="shared" ca="1" si="15"/>
        <v>Sin fecha</v>
      </c>
      <c r="L485" s="8"/>
      <c r="M485" s="8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6"/>
      <c r="AC485" s="4"/>
      <c r="AD485" s="4"/>
    </row>
    <row r="486" spans="1:30">
      <c r="A486" s="4" t="str">
        <f t="shared" si="16"/>
        <v/>
      </c>
      <c r="B486" s="4"/>
      <c r="C486" s="4"/>
      <c r="D486" s="4"/>
      <c r="E486" s="4"/>
      <c r="F486" s="4"/>
      <c r="G486" s="6"/>
      <c r="H486" s="4"/>
      <c r="I486" s="4"/>
      <c r="J486" s="4"/>
      <c r="K486" s="4" t="str">
        <f t="shared" ca="1" si="15"/>
        <v>Sin fecha</v>
      </c>
      <c r="L486" s="8"/>
      <c r="M486" s="8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6"/>
      <c r="AC486" s="4"/>
      <c r="AD486" s="4"/>
    </row>
    <row r="487" spans="1:30">
      <c r="A487" s="4" t="str">
        <f t="shared" si="16"/>
        <v/>
      </c>
      <c r="B487" s="4"/>
      <c r="C487" s="4"/>
      <c r="D487" s="4"/>
      <c r="E487" s="4"/>
      <c r="F487" s="4"/>
      <c r="G487" s="6"/>
      <c r="H487" s="4"/>
      <c r="I487" s="4"/>
      <c r="J487" s="4"/>
      <c r="K487" s="4" t="str">
        <f t="shared" ca="1" si="15"/>
        <v>Sin fecha</v>
      </c>
      <c r="L487" s="8"/>
      <c r="M487" s="8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6"/>
      <c r="AC487" s="4"/>
      <c r="AD487" s="4"/>
    </row>
    <row r="488" spans="1:30">
      <c r="A488" s="4" t="str">
        <f t="shared" si="16"/>
        <v/>
      </c>
      <c r="B488" s="4"/>
      <c r="C488" s="4"/>
      <c r="D488" s="4"/>
      <c r="E488" s="4"/>
      <c r="F488" s="4"/>
      <c r="G488" s="6"/>
      <c r="H488" s="4"/>
      <c r="I488" s="4"/>
      <c r="J488" s="4"/>
      <c r="K488" s="4" t="str">
        <f t="shared" ca="1" si="15"/>
        <v>Sin fecha</v>
      </c>
      <c r="L488" s="8"/>
      <c r="M488" s="8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6"/>
      <c r="AC488" s="4"/>
      <c r="AD488" s="4"/>
    </row>
    <row r="489" spans="1:30">
      <c r="A489" s="4" t="str">
        <f t="shared" si="16"/>
        <v/>
      </c>
      <c r="B489" s="4"/>
      <c r="C489" s="4"/>
      <c r="D489" s="4"/>
      <c r="E489" s="4"/>
      <c r="F489" s="4"/>
      <c r="G489" s="6"/>
      <c r="H489" s="4"/>
      <c r="I489" s="4"/>
      <c r="J489" s="4"/>
      <c r="K489" s="4" t="str">
        <f t="shared" ca="1" si="15"/>
        <v>Sin fecha</v>
      </c>
      <c r="L489" s="8"/>
      <c r="M489" s="8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6"/>
      <c r="AC489" s="4"/>
      <c r="AD489" s="4"/>
    </row>
    <row r="490" spans="1:30">
      <c r="A490" s="4" t="str">
        <f t="shared" si="16"/>
        <v/>
      </c>
      <c r="B490" s="4"/>
      <c r="C490" s="4"/>
      <c r="D490" s="4"/>
      <c r="E490" s="4"/>
      <c r="F490" s="4"/>
      <c r="G490" s="6"/>
      <c r="H490" s="4"/>
      <c r="I490" s="4"/>
      <c r="J490" s="4"/>
      <c r="K490" s="4" t="str">
        <f t="shared" ca="1" si="15"/>
        <v>Sin fecha</v>
      </c>
      <c r="L490" s="8"/>
      <c r="M490" s="8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6"/>
      <c r="AC490" s="4"/>
      <c r="AD490" s="4"/>
    </row>
    <row r="491" spans="1:30">
      <c r="A491" s="4" t="str">
        <f t="shared" si="16"/>
        <v/>
      </c>
      <c r="B491" s="4"/>
      <c r="C491" s="4"/>
      <c r="D491" s="4"/>
      <c r="E491" s="4"/>
      <c r="F491" s="4"/>
      <c r="G491" s="6"/>
      <c r="H491" s="4"/>
      <c r="I491" s="4"/>
      <c r="J491" s="4"/>
      <c r="K491" s="4" t="str">
        <f t="shared" ca="1" si="15"/>
        <v>Sin fecha</v>
      </c>
      <c r="L491" s="8"/>
      <c r="M491" s="8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6"/>
      <c r="AC491" s="4"/>
      <c r="AD491" s="4"/>
    </row>
    <row r="492" spans="1:30">
      <c r="A492" s="4" t="str">
        <f t="shared" si="16"/>
        <v/>
      </c>
      <c r="B492" s="4"/>
      <c r="C492" s="4"/>
      <c r="D492" s="4"/>
      <c r="E492" s="4"/>
      <c r="F492" s="4"/>
      <c r="G492" s="6"/>
      <c r="H492" s="4"/>
      <c r="I492" s="4"/>
      <c r="J492" s="4"/>
      <c r="K492" s="4" t="str">
        <f t="shared" ca="1" si="15"/>
        <v>Sin fecha</v>
      </c>
      <c r="L492" s="8"/>
      <c r="M492" s="8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6"/>
      <c r="AC492" s="4"/>
      <c r="AD492" s="4"/>
    </row>
    <row r="493" spans="1:30">
      <c r="A493" s="4" t="str">
        <f t="shared" si="16"/>
        <v/>
      </c>
      <c r="B493" s="4"/>
      <c r="C493" s="4"/>
      <c r="D493" s="4"/>
      <c r="E493" s="4"/>
      <c r="F493" s="4"/>
      <c r="G493" s="6"/>
      <c r="H493" s="4"/>
      <c r="I493" s="4"/>
      <c r="J493" s="4"/>
      <c r="K493" s="4" t="str">
        <f t="shared" ca="1" si="15"/>
        <v>Sin fecha</v>
      </c>
      <c r="L493" s="8"/>
      <c r="M493" s="8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6"/>
      <c r="AC493" s="4"/>
      <c r="AD493" s="4"/>
    </row>
    <row r="494" spans="1:30">
      <c r="A494" s="4" t="str">
        <f t="shared" si="16"/>
        <v/>
      </c>
      <c r="B494" s="4"/>
      <c r="C494" s="4"/>
      <c r="D494" s="4"/>
      <c r="E494" s="4"/>
      <c r="F494" s="4"/>
      <c r="G494" s="6"/>
      <c r="H494" s="4"/>
      <c r="I494" s="4"/>
      <c r="J494" s="4"/>
      <c r="K494" s="4" t="str">
        <f t="shared" ca="1" si="15"/>
        <v>Sin fecha</v>
      </c>
      <c r="L494" s="8"/>
      <c r="M494" s="8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6"/>
      <c r="AC494" s="4"/>
      <c r="AD494" s="4"/>
    </row>
    <row r="495" spans="1:30">
      <c r="A495" s="4" t="str">
        <f t="shared" si="16"/>
        <v/>
      </c>
      <c r="B495" s="4"/>
      <c r="C495" s="4"/>
      <c r="D495" s="4"/>
      <c r="E495" s="4"/>
      <c r="F495" s="4"/>
      <c r="G495" s="6"/>
      <c r="H495" s="4"/>
      <c r="I495" s="4"/>
      <c r="J495" s="4"/>
      <c r="K495" s="4" t="str">
        <f t="shared" ca="1" si="15"/>
        <v>Sin fecha</v>
      </c>
      <c r="L495" s="8"/>
      <c r="M495" s="8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6"/>
      <c r="AC495" s="4"/>
      <c r="AD495" s="4"/>
    </row>
    <row r="496" spans="1:30">
      <c r="A496" s="4" t="str">
        <f t="shared" si="16"/>
        <v/>
      </c>
      <c r="B496" s="4"/>
      <c r="C496" s="4"/>
      <c r="D496" s="4"/>
      <c r="E496" s="4"/>
      <c r="F496" s="4"/>
      <c r="G496" s="6"/>
      <c r="H496" s="4"/>
      <c r="I496" s="4"/>
      <c r="J496" s="4"/>
      <c r="K496" s="4" t="str">
        <f t="shared" ca="1" si="15"/>
        <v>Sin fecha</v>
      </c>
      <c r="L496" s="8"/>
      <c r="M496" s="8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6"/>
      <c r="AC496" s="4"/>
      <c r="AD496" s="4"/>
    </row>
    <row r="497" spans="1:30">
      <c r="A497" s="4" t="str">
        <f t="shared" si="16"/>
        <v/>
      </c>
      <c r="B497" s="4"/>
      <c r="C497" s="4"/>
      <c r="D497" s="4"/>
      <c r="E497" s="4"/>
      <c r="F497" s="4"/>
      <c r="G497" s="6"/>
      <c r="H497" s="4"/>
      <c r="I497" s="4"/>
      <c r="J497" s="4"/>
      <c r="K497" s="4" t="str">
        <f t="shared" ca="1" si="15"/>
        <v>Sin fecha</v>
      </c>
      <c r="L497" s="8"/>
      <c r="M497" s="8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6"/>
      <c r="AC497" s="4"/>
      <c r="AD497" s="4"/>
    </row>
    <row r="498" spans="1:30">
      <c r="A498" s="4" t="str">
        <f t="shared" si="16"/>
        <v/>
      </c>
      <c r="B498" s="4"/>
      <c r="C498" s="4"/>
      <c r="D498" s="4"/>
      <c r="E498" s="4"/>
      <c r="F498" s="4"/>
      <c r="G498" s="6"/>
      <c r="H498" s="4"/>
      <c r="I498" s="4"/>
      <c r="J498" s="4"/>
      <c r="K498" s="4" t="str">
        <f t="shared" ca="1" si="15"/>
        <v>Sin fecha</v>
      </c>
      <c r="L498" s="8"/>
      <c r="M498" s="8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6"/>
      <c r="AC498" s="4"/>
      <c r="AD498" s="4"/>
    </row>
    <row r="499" spans="1:30">
      <c r="A499" s="4" t="str">
        <f t="shared" si="16"/>
        <v/>
      </c>
      <c r="B499" s="4"/>
      <c r="C499" s="4"/>
      <c r="D499" s="4"/>
      <c r="E499" s="4"/>
      <c r="F499" s="4"/>
      <c r="G499" s="6"/>
      <c r="H499" s="4"/>
      <c r="I499" s="4"/>
      <c r="J499" s="4"/>
      <c r="K499" s="4" t="str">
        <f t="shared" ca="1" si="15"/>
        <v>Sin fecha</v>
      </c>
      <c r="L499" s="8"/>
      <c r="M499" s="8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6"/>
      <c r="AC499" s="4"/>
      <c r="AD499" s="4"/>
    </row>
  </sheetData>
  <conditionalFormatting sqref="K2:K499">
    <cfRule type="expression" dxfId="2" priority="1">
      <formula>K2="Próxima a vencer"</formula>
    </cfRule>
    <cfRule type="expression" dxfId="1" priority="2">
      <formula>K2="Vencida"</formula>
    </cfRule>
    <cfRule type="expression" dxfId="0" priority="3">
      <formula>K2="Abierta"</formula>
    </cfRule>
  </conditionalFormatting>
  <dataValidations count="2">
    <dataValidation type="list" allowBlank="1" showInputMessage="1" showErrorMessage="1" sqref="F2:F499" xr:uid="{D276CFF5-768A-468D-9AF4-70BEFC205A95}">
      <formula1>ListaPaises</formula1>
    </dataValidation>
    <dataValidation type="date" allowBlank="1" showInputMessage="1" showErrorMessage="1" sqref="G2:G499" xr:uid="{158AF163-2C09-4CF8-8007-D423D0B61CD9}">
      <formula1>46023</formula1>
      <formula2>73050</formula2>
    </dataValidation>
  </dataValidations>
  <hyperlinks>
    <hyperlink ref="Z2" r:id="rId1" xr:uid="{C78E0FCC-4188-4C4C-A1DF-827BFA36AB30}"/>
    <hyperlink ref="Z4" r:id="rId2" xr:uid="{6FD6CFBB-8AC7-447A-A390-86187CC17FA2}"/>
    <hyperlink ref="Z5" r:id="rId3" xr:uid="{CCED399D-0458-4F2B-9991-E34FC4315EA8}"/>
    <hyperlink ref="Z6" r:id="rId4" xr:uid="{66BCF7E3-7DDA-4E14-A4E7-C94F51B98C39}"/>
    <hyperlink ref="AA6" r:id="rId5" xr:uid="{302256B1-F484-4C36-AB85-363645B5A0E2}"/>
    <hyperlink ref="Z7" r:id="rId6" xr:uid="{551CCCCA-EE15-403B-BEEB-BDC8118C57A6}"/>
    <hyperlink ref="AA7" r:id="rId7" xr:uid="{283F7616-924B-434E-8320-B5763E77C5FB}"/>
    <hyperlink ref="Z8" r:id="rId8" xr:uid="{1DE7F1CD-C482-4BB4-B774-573F94DD51B0}"/>
    <hyperlink ref="Z9" r:id="rId9" xr:uid="{B9952CED-6A32-4513-937E-8F1630DC67A4}"/>
    <hyperlink ref="Z10" r:id="rId10" xr:uid="{ABC772D5-C73C-4AD1-A3A3-837DA04A1B9D}"/>
    <hyperlink ref="AA10" r:id="rId11" xr:uid="{82BD6AD1-94ED-4390-8B28-ABBAC4EB827A}"/>
    <hyperlink ref="Z11" r:id="rId12" xr:uid="{F07E4B3D-4F96-4348-A2BA-D4AC28F4BAE0}"/>
    <hyperlink ref="AA11" r:id="rId13" xr:uid="{3F3C0E3C-DF9B-4072-9DAC-DD1C967D7B28}"/>
    <hyperlink ref="Z12" r:id="rId14" xr:uid="{F872502C-FE0A-420C-B938-DBB0CD6B238C}"/>
    <hyperlink ref="Z13" r:id="rId15" xr:uid="{01F0AA5B-D78A-4F19-A009-CF0523CCB418}"/>
    <hyperlink ref="Z14" r:id="rId16" xr:uid="{D05FF4DF-1116-45D3-9B6F-8D7B84418772}"/>
    <hyperlink ref="Z15" r:id="rId17" xr:uid="{6ACE1176-275C-4722-B826-470447F186B4}"/>
    <hyperlink ref="AA15" r:id="rId18" xr:uid="{7F7B90AF-833E-443A-A46D-DBC340742EF5}"/>
    <hyperlink ref="Z16" r:id="rId19" xr:uid="{389666AF-4919-4E77-BA8F-31DD485B4348}"/>
  </hyperlinks>
  <pageMargins left="0.7" right="0.7" top="0.75" bottom="0.75" header="0.3" footer="0.3"/>
  <tableParts count="1">
    <tablePart r:id="rId20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xr:uid="{00000000-0002-0000-0000-000006000000}">
          <x14:formula1>
            <xm:f>Catálogos!$G$2:$G$9</xm:f>
          </x14:formula1>
          <xm:sqref>P11 P13 P22:P499</xm:sqref>
        </x14:dataValidation>
        <x14:dataValidation type="list" showInputMessage="1" showErrorMessage="1" xr:uid="{AC736489-29FB-4747-821A-CFB72E448B5B}">
          <x14:formula1>
            <xm:f>Catálogos!$G$2:$G$11</xm:f>
          </x14:formula1>
          <xm:sqref>P2:P10</xm:sqref>
        </x14:dataValidation>
        <x14:dataValidation type="list" xr:uid="{A35CBE74-7E2E-474C-A170-1B3127731756}">
          <x14:formula1>
            <xm:f>Catálogos!$G$2:$G$11</xm:f>
          </x14:formula1>
          <xm:sqref>P12 P14:P21</xm:sqref>
        </x14:dataValidation>
        <x14:dataValidation type="list" xr:uid="{00000000-0002-0000-0000-000000000000}">
          <x14:formula1>
            <xm:f>Catálogos!$A$2:$A$3</xm:f>
          </x14:formula1>
          <xm:sqref>B2:B499</xm:sqref>
        </x14:dataValidation>
        <x14:dataValidation type="list" xr:uid="{00000000-0002-0000-0000-000001000000}">
          <x14:formula1>
            <xm:f>Catálogos!$B$2:$B$10</xm:f>
          </x14:formula1>
          <xm:sqref>E2:E499</xm:sqref>
        </x14:dataValidation>
        <x14:dataValidation type="list" xr:uid="{00000000-0002-0000-0000-000002000000}">
          <x14:formula1>
            <xm:f>Catálogos!$C$2:$C$5</xm:f>
          </x14:formula1>
          <xm:sqref>H2:H499</xm:sqref>
        </x14:dataValidation>
        <x14:dataValidation type="list" xr:uid="{00000000-0002-0000-0000-000003000000}">
          <x14:formula1>
            <xm:f>Catálogos!$D$2:$D$10</xm:f>
          </x14:formula1>
          <xm:sqref>I2:I499</xm:sqref>
        </x14:dataValidation>
        <x14:dataValidation type="list" xr:uid="{00000000-0002-0000-0000-000004000000}">
          <x14:formula1>
            <xm:f>Catálogos!$E$2:$E$5</xm:f>
          </x14:formula1>
          <xm:sqref>J2:J499</xm:sqref>
        </x14:dataValidation>
        <x14:dataValidation type="list" xr:uid="{00000000-0002-0000-0000-000005000000}">
          <x14:formula1>
            <xm:f>Catálogos!$F$2:$F$7</xm:f>
          </x14:formula1>
          <xm:sqref>N2:N499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1"/>
  <sheetViews>
    <sheetView workbookViewId="0">
      <selection activeCell="J11" sqref="J11"/>
    </sheetView>
  </sheetViews>
  <sheetFormatPr baseColWidth="10" defaultColWidth="9" defaultRowHeight="14.25"/>
  <cols>
    <col min="1" max="1" width="6.75" customWidth="1"/>
    <col min="2" max="2" width="20.375" customWidth="1"/>
    <col min="3" max="3" width="10.75" customWidth="1"/>
    <col min="4" max="4" width="15.625" customWidth="1"/>
    <col min="5" max="5" width="11.75" customWidth="1"/>
    <col min="6" max="6" width="7" customWidth="1"/>
    <col min="7" max="7" width="24.125" bestFit="1" customWidth="1"/>
    <col min="8" max="8" width="18.625" customWidth="1"/>
    <col min="9" max="9" width="18.625" bestFit="1" customWidth="1"/>
    <col min="10" max="10" width="25" customWidth="1"/>
  </cols>
  <sheetData>
    <row r="1" spans="1:10" ht="30">
      <c r="A1" s="1" t="s">
        <v>1</v>
      </c>
      <c r="B1" s="1" t="s">
        <v>4</v>
      </c>
      <c r="C1" s="1" t="s">
        <v>7</v>
      </c>
      <c r="D1" s="1" t="s">
        <v>8</v>
      </c>
      <c r="E1" s="1" t="s">
        <v>9</v>
      </c>
      <c r="F1" s="1" t="s">
        <v>13</v>
      </c>
      <c r="G1" s="1" t="s">
        <v>15</v>
      </c>
      <c r="H1" s="1" t="s">
        <v>16</v>
      </c>
      <c r="I1" s="1" t="s">
        <v>17</v>
      </c>
      <c r="J1" s="1" t="s">
        <v>134</v>
      </c>
    </row>
    <row r="2" spans="1:10">
      <c r="A2" t="s">
        <v>42</v>
      </c>
      <c r="B2" t="s">
        <v>43</v>
      </c>
      <c r="C2" t="s">
        <v>33</v>
      </c>
      <c r="D2" t="s">
        <v>44</v>
      </c>
      <c r="E2" t="s">
        <v>35</v>
      </c>
      <c r="F2" t="s">
        <v>36</v>
      </c>
      <c r="G2" t="s">
        <v>37</v>
      </c>
      <c r="H2" t="s">
        <v>45</v>
      </c>
      <c r="I2" t="s">
        <v>46</v>
      </c>
      <c r="J2" t="s">
        <v>32</v>
      </c>
    </row>
    <row r="3" spans="1:10">
      <c r="A3" t="s">
        <v>30</v>
      </c>
      <c r="B3" t="s">
        <v>47</v>
      </c>
      <c r="C3" t="s">
        <v>48</v>
      </c>
      <c r="D3" t="s">
        <v>49</v>
      </c>
      <c r="E3" t="s">
        <v>50</v>
      </c>
      <c r="F3" t="s">
        <v>51</v>
      </c>
      <c r="G3" t="s">
        <v>52</v>
      </c>
      <c r="H3" t="s">
        <v>53</v>
      </c>
      <c r="I3" t="s">
        <v>54</v>
      </c>
      <c r="J3" t="s">
        <v>135</v>
      </c>
    </row>
    <row r="4" spans="1:10">
      <c r="B4" t="s">
        <v>55</v>
      </c>
      <c r="C4" t="s">
        <v>56</v>
      </c>
      <c r="D4" t="s">
        <v>57</v>
      </c>
      <c r="E4" t="s">
        <v>58</v>
      </c>
      <c r="F4" t="s">
        <v>59</v>
      </c>
      <c r="G4" t="s">
        <v>60</v>
      </c>
      <c r="H4" t="s">
        <v>61</v>
      </c>
      <c r="I4" t="s">
        <v>62</v>
      </c>
      <c r="J4" t="s">
        <v>136</v>
      </c>
    </row>
    <row r="5" spans="1:10">
      <c r="B5" t="s">
        <v>31</v>
      </c>
      <c r="C5" t="s">
        <v>63</v>
      </c>
      <c r="D5" t="s">
        <v>34</v>
      </c>
      <c r="E5" t="s">
        <v>64</v>
      </c>
      <c r="F5" t="s">
        <v>65</v>
      </c>
      <c r="G5" t="s">
        <v>66</v>
      </c>
      <c r="H5" t="s">
        <v>67</v>
      </c>
      <c r="I5" t="s">
        <v>68</v>
      </c>
      <c r="J5" t="s">
        <v>187</v>
      </c>
    </row>
    <row r="6" spans="1:10">
      <c r="B6" t="s">
        <v>69</v>
      </c>
      <c r="D6" t="s">
        <v>70</v>
      </c>
      <c r="F6" t="s">
        <v>71</v>
      </c>
      <c r="G6" t="s">
        <v>72</v>
      </c>
      <c r="H6" t="s">
        <v>73</v>
      </c>
      <c r="I6" t="s">
        <v>74</v>
      </c>
      <c r="J6" t="s">
        <v>202</v>
      </c>
    </row>
    <row r="7" spans="1:10">
      <c r="B7" t="s">
        <v>46</v>
      </c>
      <c r="D7" t="s">
        <v>75</v>
      </c>
      <c r="F7" t="s">
        <v>76</v>
      </c>
      <c r="G7" t="s">
        <v>77</v>
      </c>
      <c r="H7" t="s">
        <v>78</v>
      </c>
      <c r="I7" t="s">
        <v>79</v>
      </c>
      <c r="J7" t="s">
        <v>258</v>
      </c>
    </row>
    <row r="8" spans="1:10">
      <c r="B8" t="s">
        <v>80</v>
      </c>
      <c r="D8" t="s">
        <v>81</v>
      </c>
      <c r="G8" t="s">
        <v>82</v>
      </c>
      <c r="H8" t="s">
        <v>83</v>
      </c>
      <c r="I8" t="s">
        <v>84</v>
      </c>
      <c r="J8" t="s">
        <v>737</v>
      </c>
    </row>
    <row r="9" spans="1:10">
      <c r="B9" t="s">
        <v>62</v>
      </c>
      <c r="D9" t="s">
        <v>22</v>
      </c>
      <c r="G9" t="s">
        <v>84</v>
      </c>
      <c r="J9" t="s">
        <v>957</v>
      </c>
    </row>
    <row r="10" spans="1:10" ht="28.5">
      <c r="B10" t="s">
        <v>84</v>
      </c>
      <c r="D10" t="s">
        <v>84</v>
      </c>
      <c r="G10" s="10" t="s">
        <v>126</v>
      </c>
      <c r="J10" t="s">
        <v>1021</v>
      </c>
    </row>
    <row r="11" spans="1:10">
      <c r="G11" t="s">
        <v>189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1"/>
  <sheetViews>
    <sheetView workbookViewId="0">
      <selection sqref="A1:F1"/>
    </sheetView>
  </sheetViews>
  <sheetFormatPr baseColWidth="10" defaultColWidth="9" defaultRowHeight="14.25"/>
  <cols>
    <col min="1" max="1" width="9" customWidth="1"/>
    <col min="2" max="2" width="34" customWidth="1"/>
    <col min="3" max="3" width="38" customWidth="1"/>
    <col min="4" max="4" width="22" customWidth="1"/>
    <col min="5" max="5" width="30" customWidth="1"/>
    <col min="6" max="6" width="14" customWidth="1"/>
  </cols>
  <sheetData>
    <row r="1" spans="1:6" ht="33.950000000000003" customHeight="1">
      <c r="A1" s="14" t="s">
        <v>85</v>
      </c>
      <c r="B1" s="14"/>
      <c r="C1" s="14"/>
      <c r="D1" s="14"/>
      <c r="E1" s="14"/>
      <c r="F1" s="14"/>
    </row>
    <row r="3" spans="1:6" ht="15">
      <c r="A3" s="9" t="s">
        <v>86</v>
      </c>
      <c r="B3" s="9" t="s">
        <v>87</v>
      </c>
      <c r="C3" s="9" t="s">
        <v>88</v>
      </c>
      <c r="D3" s="9" t="s">
        <v>89</v>
      </c>
      <c r="E3" s="9" t="s">
        <v>90</v>
      </c>
      <c r="F3" s="9" t="s">
        <v>91</v>
      </c>
    </row>
    <row r="4" spans="1:6" ht="28.5">
      <c r="A4" s="4">
        <v>1</v>
      </c>
      <c r="B4" s="4" t="s">
        <v>92</v>
      </c>
      <c r="C4" s="4" t="s">
        <v>93</v>
      </c>
      <c r="D4" s="4" t="s">
        <v>94</v>
      </c>
      <c r="E4" s="4" t="s">
        <v>95</v>
      </c>
      <c r="F4" s="4" t="s">
        <v>42</v>
      </c>
    </row>
    <row r="5" spans="1:6" ht="28.5">
      <c r="A5" s="4">
        <v>2</v>
      </c>
      <c r="B5" s="4" t="s">
        <v>96</v>
      </c>
      <c r="C5" s="4" t="s">
        <v>97</v>
      </c>
      <c r="D5" s="4" t="s">
        <v>6</v>
      </c>
      <c r="E5" s="4" t="s">
        <v>98</v>
      </c>
      <c r="F5" s="4" t="s">
        <v>99</v>
      </c>
    </row>
    <row r="6" spans="1:6">
      <c r="A6" s="4">
        <v>3</v>
      </c>
      <c r="B6" s="4" t="s">
        <v>100</v>
      </c>
      <c r="C6" s="4" t="s">
        <v>101</v>
      </c>
      <c r="D6" s="4" t="s">
        <v>102</v>
      </c>
      <c r="E6" s="4" t="s">
        <v>103</v>
      </c>
      <c r="F6" s="4" t="s">
        <v>104</v>
      </c>
    </row>
    <row r="7" spans="1:6" ht="28.5">
      <c r="A7" s="4">
        <v>4</v>
      </c>
      <c r="B7" s="4" t="s">
        <v>105</v>
      </c>
      <c r="C7" s="4" t="s">
        <v>106</v>
      </c>
      <c r="D7" s="4" t="s">
        <v>107</v>
      </c>
      <c r="E7" s="4" t="s">
        <v>37</v>
      </c>
      <c r="F7" s="4" t="s">
        <v>42</v>
      </c>
    </row>
    <row r="8" spans="1:6">
      <c r="A8" s="4">
        <v>5</v>
      </c>
      <c r="B8" s="4" t="s">
        <v>108</v>
      </c>
      <c r="C8" s="4" t="s">
        <v>109</v>
      </c>
      <c r="D8" s="4" t="s">
        <v>25</v>
      </c>
      <c r="E8" s="4" t="s">
        <v>110</v>
      </c>
      <c r="F8" s="4" t="s">
        <v>42</v>
      </c>
    </row>
    <row r="9" spans="1:6" ht="28.5">
      <c r="A9" s="4">
        <v>6</v>
      </c>
      <c r="B9" s="4" t="s">
        <v>111</v>
      </c>
      <c r="C9" s="4" t="s">
        <v>112</v>
      </c>
      <c r="D9" s="4" t="s">
        <v>27</v>
      </c>
      <c r="E9" s="4" t="s">
        <v>113</v>
      </c>
      <c r="F9" s="4" t="s">
        <v>42</v>
      </c>
    </row>
    <row r="10" spans="1:6">
      <c r="A10" s="4">
        <v>7</v>
      </c>
      <c r="B10" s="4" t="s">
        <v>114</v>
      </c>
      <c r="C10" s="4" t="s">
        <v>115</v>
      </c>
      <c r="D10" s="4" t="s">
        <v>1</v>
      </c>
      <c r="E10" s="4" t="s">
        <v>116</v>
      </c>
      <c r="F10" s="4" t="s">
        <v>42</v>
      </c>
    </row>
    <row r="11" spans="1:6" ht="28.5">
      <c r="A11" s="4">
        <v>8</v>
      </c>
      <c r="B11" s="4" t="s">
        <v>117</v>
      </c>
      <c r="C11" s="4" t="s">
        <v>118</v>
      </c>
      <c r="D11" s="4" t="s">
        <v>10</v>
      </c>
      <c r="E11" s="4" t="s">
        <v>119</v>
      </c>
      <c r="F11" s="4" t="s">
        <v>120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Oportunidades</vt:lpstr>
      <vt:lpstr>Catálogos</vt:lpstr>
      <vt:lpstr>Guía de uso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WILSON RAMIREZ ALMONTE</dc:creator>
  <cp:lastModifiedBy>WILSON RAMIREZ ALMONTE</cp:lastModifiedBy>
  <dcterms:created xsi:type="dcterms:W3CDTF">2026-07-15T13:38:12Z</dcterms:created>
  <dcterms:modified xsi:type="dcterms:W3CDTF">2026-07-21T16:20:08Z</dcterms:modified>
</cp:coreProperties>
</file>