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443" documentId="8_{F39292A8-3C47-4D37-98A0-70F2C0F84FEC}" xr6:coauthVersionLast="36" xr6:coauthVersionMax="36" xr10:uidLastSave="{AE29913B-C06A-47A5-98CE-A090CE324E5A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8" i="1"/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K17" i="1"/>
  <c r="A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<sst xmlns="http://schemas.openxmlformats.org/spreadsheetml/2006/main" count="580" uniqueCount="372">
  <si>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</si>
  <si>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</si>
  <si>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</si>
  <si>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</si>
  <si>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</si>
  <si>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</si>
  <si>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</si>
  <si>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</si>
  <si>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</si>
  <si>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</si>
  <si>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</si>
  <si>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</si>
  <si>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</si>
  <si>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</si>
  <si>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</si>
  <si>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</si>
  <si>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</si>
  <si>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</si>
  <si>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</si>
  <si>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</si>
  <si>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</si>
  <si>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</si>
  <si>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</si>
  <si>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</si>
  <si>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</si>
  <si>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</si>
  <si>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</si>
  <si>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</si>
  <si>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</si>
  <si>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</si>
  <si>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</si>
  <si>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</si>
  <si>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</si>
  <si>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</si>
  <si>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</si>
  <si>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</si>
  <si>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</si>
  <si>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</si>
  <si>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</si>
  <si>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</si>
  <si>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</si>
  <si>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</si>
  <si>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</si>
  <si>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</si>
  <si>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</si>
  <si>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</si>
  <si>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</si>
  <si>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</si>
  <si>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</si>
  <si>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</si>
  <si>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</si>
  <si>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</si>
  <si>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</si>
  <si>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</si>
  <si>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</si>
  <si>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</si>
  <si>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</si>
  <si>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</si>
  <si>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</si>
  <si>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</si>
  <si>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</si>
  <si>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</si>
  <si>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</si>
  <si>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</si>
  <si>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</si>
  <si>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</si>
  <si>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</si>
  <si>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</si>
  <si>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</si>
  <si>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</si>
  <si>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</si>
  <si>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</si>
  <si>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</si>
  <si>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</si>
  <si>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</si>
  <si>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</si>
  <si>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</si>
  <si>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</si>
  <si>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</si>
  <si>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</si>
  <si>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</si>
  <si>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</si>
  <si>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</si>
  <si>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</si>
  <si>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</si>
  <si>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</si>
  <si>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</si>
  <si>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</si>
  <si>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</si>
  <si>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</si>
  <si>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</si>
  <si>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</si>
  <si>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</si>
  <si>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</si>
  <si>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</si>
  <si>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</si>
  <si>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</si>
  <si>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</si>
  <si>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</si>
  <si>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</si>
  <si>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</si>
  <si>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</si>
  <si>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</si>
  <si>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</si>
  <si>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</si>
  <si>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</si>
  <si>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</si>
  <si>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</si>
  <si>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</si>
  <si>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</si>
  <si>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</si>
  <si>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</si>
  <si>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</si>
  <si>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</si>
  <si>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</si>
  <si>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</si>
  <si>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</si>
  <si>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</si>
  <si>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</si>
  <si>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</si>
  <si>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</si>
  <si>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</si>
  <si>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</si>
  <si>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</si>
  <si>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</si>
  <si>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</si>
  <si>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</si>
  <si>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</si>
  <si>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</si>
  <si>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</si>
  <si>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</si>
  <si>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</si>
  <si>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</si>
  <si>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</si>
  <si>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</si>
  <si>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</si>
  <si>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</si>
  <si>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</si>
  <si>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</si>
  <si>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</si>
  <si>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</si>
  <si>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</si>
  <si>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</si>
  <si>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</si>
  <si>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</si>
  <si>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</si>
  <si>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</si>
  <si>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</si>
  <si>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</si>
  <si>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</si>
  <si>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</si>
  <si>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</si>
  <si>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</si>
  <si>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</si>
  <si>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</si>
  <si>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</si>
  <si>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</si>
  <si>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</si>
  <si>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</si>
  <si>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</si>
  <si>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</si>
  <si>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</si>
  <si>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</si>
  <si>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</si>
  <si>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</si>
  <si>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</si>
  <si>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</si>
  <si>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</si>
  <si>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</si>
  <si>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</si>
  <si>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</si>
  <si>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</si>
  <si>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</si>
  <si>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</si>
  <si>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</si>
  <si>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</si>
  <si>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</si>
  <si>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</si>
  <si>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</si>
  <si>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</si>
  <si>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</si>
  <si>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</si>
  <si>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</si>
  <si>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</si>
  <si>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</si>
  <si>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</si>
  <si>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</si>
  <si>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</si>
  <si>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</si>
  <si>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</si>
  <si>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</si>
  <si>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</si>
  <si>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</si>
  <si>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</si>
  <si>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</si>
  <si>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</si>
  <si>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</si>
  <si>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</si>
  <si>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</si>
  <si>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</si>
  <si>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</si>
  <si>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</si>
  <si>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</si>
  <si>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</si>
  <si>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</si>
  <si>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</si>
  <si>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</si>
  <si>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</si>
  <si>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</si>
  <si>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</si>
  <si>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</si>
  <si>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</si>
  <si>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</si>
  <si>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</si>
  <si>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</si>
  <si>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</si>
  <si>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</si>
  <si>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</si>
  <si>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</si>
  <si>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</si>
  <si>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</si>
  <si>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</si>
  <si>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</si>
  <si>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</si>
  <si>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</si>
  <si>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</si>
  <si>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</si>
  <si>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</si>
  <si>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</si>
  <si>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</si>
  <si>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</si>
  <si>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</si>
  <si>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</si>
  <si>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</si>
  <si>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</si>
  <si>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</si>
  <si>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</si>
  <si>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</si>
  <si>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</si>
  <si>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</si>
  <si>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</si>
  <si>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</si>
  <si>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</si>
  <si>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</si>
  <si>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</si>
  <si>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</si>
  <si>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</si>
  <si>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</si>
  <si>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</si>
  <si>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</si>
  <si>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</si>
  <si>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</si>
  <si>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</si>
  <si>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</si>
  <si>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</si>
  <si>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</si>
  <si>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</si>
  <si>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</si>
  <si>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</si>
  <si>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</si>
  <si>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</si>
  <si>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</si>
  <si>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</si>
  <si>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</si>
  <si>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</si>
  <si>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</si>
  <si>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</si>
  <si>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</si>
  <si>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</si>
  <si>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</si>
  <si>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</si>
  <si>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</si>
  <si>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</si>
  <si>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</si>
  <si>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</si>
  <si>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</si>
  <si>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</si>
  <si>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</si>
  <si>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</si>
  <si>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</si>
  <si>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</si>
  <si>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</si>
  <si>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</si>
  <si>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</si>
  <si>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</si>
  <si>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</si>
  <si>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</si>
  <si>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</si>
  <si>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</si>
  <si>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</si>
  <si>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</si>
  <si>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</si>
  <si>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</si>
  <si>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</si>
  <si>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</si>
  <si>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</si>
  <si>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</si>
  <si>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</si>
  <si>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</si>
  <si>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</si>
  <si>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</si>
  <si>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</si>
  <si>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</si>
  <si>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</si>
  <si>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</si>
  <si>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</si>
  <si>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</si>
  <si>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</si>
  <si>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</si>
  <si>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</si>
  <si>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</si>
  <si>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</si>
  <si>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</si>
  <si>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</si>
  <si>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</si>
  <si>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</si>
  <si>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</si>
  <si>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</si>
  <si>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</si>
  <si>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</si>
  <si>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</si>
  <si>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</si>
  <si>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</si>
  <si>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</si>
  <si>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</si>
  <si>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</si>
  <si>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</si>
  <si>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</si>
  <si>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</si>
  <si>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</si>
  <si>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</si>
  <si>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</si>
  <si>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</si>
  <si>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</si>
  <si>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</si>
  <si>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</si>
  <si>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</si>
  <si>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</si>
  <si>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</si>
  <si>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</si>
  <si>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</si>
  <si>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</si>
  <si>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</si>
  <si>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</si>
  <si>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</si>
  <si>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</si>
  <si>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</si>
  <si>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</si>
  <si>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</si>
  <si>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</si>
  <si>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</si>
  <si>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</si>
  <si>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</si>
  <si>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</si>
  <si>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</si>
  <si>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</si>
  <si>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</si>
  <si>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</si>
  <si>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</si>
  <si>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</si>
  <si>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</si>
  <si>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</si>
  <si>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</si>
  <si>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</si>
  <si>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</si>
  <si>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</si>
  <si>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</si>
  <si>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</si>
  <si>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</si>
  <si>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</si>
  <si>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</si>
  <si>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206-09-01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</si>
</sst>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table" Target="../tables/table1.xm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X19" workbookViewId="0">
      <selection activeCell="L19" sqref="L19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65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42.7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/>
      <c r="J16" s="4"/>
      <c r="K16" s="4" t="str">
        <f t="shared" ca="1" si="0"/>
        <v>Abierta</v>
      </c>
      <c r="L16" s="8"/>
      <c r="M16" s="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6"/>
      <c r="AC16" s="4"/>
      <c r="AD16" s="4"/>
    </row>
    <row r="17" spans="1:30" ht="128.25">
      <c r="A17" s="4" t="str">
        <f t="shared" ref="A17:A66" si="1">IF(C17="","","OP-"&amp;TEXT(ROW()-1,"0000"))</f>
        <v>OP-0016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4" t="str">
        <f t="shared" si="1"/>
        <v>OP-0017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 t="s">
        <v>371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4" t="str">
        <f t="shared" si="1"/>
        <v>OP-0018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2" ca="1" si="2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4" t="str">
        <f t="shared" si="1"/>
        <v>OP-0019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2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2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2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2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2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2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2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2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2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2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2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2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2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2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2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2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2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2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2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2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2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2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2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2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2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2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2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2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2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2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2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2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2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2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2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2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2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2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2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2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2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2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2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2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2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2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2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ref="K83:K120" ca="1" si="4">IF(J83="En revisión","Pendiente Apertura",IF(J83="Cerrada","Cerrada",IF(J83="Suspendida","Suspendida",IF(G83="","Sin fecha",IF(G83&lt;TODAY(),"Vencida",IF(G83-TODAY()&lt;=30,"Próxima a vencer","Abierta"))))))</f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4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4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4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4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4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4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4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4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4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4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4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4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4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4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4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4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4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4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4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4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4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4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4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4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4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4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4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4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4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4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4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4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4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4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4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4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4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ref="K66:K129" ca="1" si="5">IF(J121="Cerrada","Cerrada",IF(J121="Suspendida","Suspendida",IF(G121="","Sin fecha",IF(G121&lt;TODAY(),"Vencida",IF(G121-TODAY()&lt;=30,"Próxima a vencer","Abierta")))))</f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5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5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5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5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5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5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5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5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6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7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6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7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6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7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6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7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6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7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6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7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6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7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6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7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6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7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6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7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6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7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6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7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6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7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6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7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6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7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6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7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6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7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6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7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6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7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6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7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6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7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6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7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6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7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6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7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6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7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6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7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6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7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6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7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6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7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6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7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6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7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6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7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6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7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6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7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6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7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6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7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6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7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6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7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6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7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6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7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6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7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6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7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6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7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6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7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6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7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6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7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6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7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6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7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6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7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6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7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6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7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6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7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6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7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6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7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6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7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6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7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6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7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6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7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6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7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6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7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6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7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6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7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6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7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6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7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8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9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8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9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8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9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8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9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8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9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8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9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8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9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8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9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8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9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8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9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8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9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8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9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8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9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8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9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8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9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8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9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8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9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8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9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8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9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8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9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8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9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8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9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8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9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8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9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8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9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8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9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8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9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8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9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8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9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8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9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8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9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8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9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8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9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8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9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8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9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8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9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8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9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8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9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8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9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8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9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8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9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8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9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8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9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8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9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8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9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8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9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8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9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8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9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8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9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8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9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8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9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8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9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8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9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8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9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8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9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8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9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8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9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8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9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8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9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8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9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8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9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8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9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8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9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8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9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10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11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10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1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10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1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10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1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10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1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10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1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10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1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10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1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10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1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10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1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10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1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10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1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10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1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10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1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10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1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10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1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10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1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10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1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10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1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10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1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10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1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10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1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10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1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10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1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10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1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10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1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10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1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10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1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10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1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10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1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10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1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10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1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10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1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10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1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10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1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10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1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10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1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10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1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10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1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10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1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10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1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10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1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10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1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10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1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10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1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10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1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10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1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10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1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10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1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10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1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10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1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10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1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10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1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10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1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10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1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10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1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10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1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10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1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10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1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10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1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10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1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10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1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10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11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0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1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2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3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2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3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2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3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2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3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2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3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2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3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2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3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2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3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2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3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2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3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2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3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2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3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2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3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2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3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2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3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2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3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2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3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2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3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2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3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2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3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2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3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2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3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2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3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2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3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2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3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2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3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2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3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2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3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2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3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2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3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2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3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2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3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2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3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2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3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2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3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2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3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2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3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2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3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2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3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2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3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2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3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2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3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2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3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2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3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2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3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2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3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2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3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2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3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2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3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2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3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2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3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2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3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2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3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2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3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2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3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2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3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2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3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2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3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2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3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2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3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2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3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2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3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2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3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2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3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4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5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4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5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4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5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4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5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4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5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4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5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4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5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4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5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4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5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4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5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4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5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4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5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4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5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4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5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4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5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4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5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4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5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4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5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4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5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4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5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4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5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4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5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4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5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4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5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4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5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4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5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4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5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4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5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4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5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4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5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4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5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4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5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4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5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4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5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4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5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4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5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4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5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4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5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4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5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4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5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4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5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4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5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4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5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4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5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4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5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4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5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4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5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4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5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4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5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4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5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4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5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4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5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4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5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4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5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4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5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4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5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4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5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4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5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4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5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4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5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4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5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4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5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4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5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4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5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01" ca="1" si="16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7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6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7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6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7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6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7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6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7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6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7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6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7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6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7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6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7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6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7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6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7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6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7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6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7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6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7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6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7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6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7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6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7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6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7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6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7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6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7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6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7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6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7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6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7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6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7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6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7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6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7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6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7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6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7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6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7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6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7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6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7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6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7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6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7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6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7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6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7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6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7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6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7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6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7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6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7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6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7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6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7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6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7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6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7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6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7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6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7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6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7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6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7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6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7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6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7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6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7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6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7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6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</hyperlinks>
  <pageMargins left="0.7" right="0.7" top="0.75" bottom="0.75" header="0.3" footer="0.3"/>
  <tableParts count="1">
    <tablePart r:id="rId19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P11 P13 P22:P501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7" sqref="J7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2026-07-17T12:12:20Z</dcterms:modified>
</cp:coreProperties>
</file>