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17" documentId="11_37779F7EE3929347A12679F7C9C99052BD8748E7" xr6:coauthVersionLast="36" xr6:coauthVersionMax="36" xr10:uidLastSave="{5F7C7FF2-D9FF-408F-AA2C-7AA294BFDD7E}"/>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<sst xmlns="http://schemas.openxmlformats.org/spreadsheetml/2006/main" count="3055" uniqueCount="1669">
  <si>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</si>
  <si>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</si>
  <si>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</si>
  <si>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</si>
  <si>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</si>
  <si>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</si>
  <si>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</si>
  <si>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</si>
  <si>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</si>
  <si>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</si>
  <si>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</si>
  <si>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</si>
  <si>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</si>
  <si>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</si>
  <si>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</si>
  <si>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</si>
  <si>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</si>
  <si>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</si>
  <si>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</si>
  <si>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</si>
  <si>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</si>
  <si>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</si>
  <si>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</si>
  <si>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</si>
  <si>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</si>
  <si>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</si>
  <si>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</si>
  <si>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</si>
  <si>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</si>
  <si>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</si>
  <si>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</si>
  <si>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</si>
  <si>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</si>
  <si>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</si>
  <si>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</si>
  <si>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</si>
  <si>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</si>
  <si>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</si>
  <si>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</si>
  <si>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</si>
  <si>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</si>
  <si>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</si>
  <si>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</si>
  <si>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</si>
  <si>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</si>
  <si>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</si>
  <si>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</si>
  <si>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</si>
  <si>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</si>
  <si>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</si>
  <si>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</si>
  <si>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</si>
  <si>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</si>
  <si>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</si>
  <si>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</si>
  <si>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</si>
  <si>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</si>
  <si>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</si>
  <si>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</si>
  <si>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</si>
  <si>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</si>
  <si>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</si>
  <si>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</si>
  <si>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</si>
  <si>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</si>
  <si>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</si>
  <si>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</si>
  <si>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</si>
  <si>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</si>
  <si>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</si>
  <si>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</si>
  <si>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</si>
  <si>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</si>
  <si>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</si>
  <si>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</si>
  <si>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</si>
  <si>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</si>
  <si>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</si>
  <si>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</si>
  <si>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</si>
  <si>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</si>
  <si>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</si>
  <si>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</si>
  <si>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</si>
  <si>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</si>
  <si>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</si>
  <si>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</si>
  <si>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</si>
  <si>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</si>
  <si>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</si>
  <si>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</si>
  <si>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</si>
  <si>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</si>
  <si>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</si>
  <si>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</si>
  <si>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</si>
  <si>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</si>
  <si>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</si>
  <si>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</si>
  <si>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</si>
  <si>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</si>
  <si>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</si>
  <si>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</si>
  <si>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</si>
  <si>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</si>
  <si>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</si>
  <si>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</si>
  <si>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</si>
  <si>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</si>
  <si>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</si>
  <si>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</si>
  <si>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</si>
  <si>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</si>
  <si>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</si>
  <si>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</si>
  <si>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</si>
  <si>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</si>
  <si>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</si>
  <si>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</si>
  <si>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</si>
  <si>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</si>
  <si>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</si>
  <si>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</si>
  <si>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</si>
  <si>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</si>
  <si>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</si>
  <si>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</si>
  <si>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</si>
  <si>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</si>
  <si>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</si>
  <si>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</si>
  <si>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</si>
  <si>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</si>
  <si>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</si>
  <si>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</si>
  <si>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</si>
  <si>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</si>
  <si>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</si>
  <si>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</si>
  <si>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</si>
  <si>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</si>
  <si>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</si>
  <si>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</si>
  <si>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</si>
  <si>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</si>
  <si>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</si>
  <si>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</si>
  <si>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</si>
  <si>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</si>
  <si>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</si>
  <si>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</si>
  <si>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</si>
  <si>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</si>
  <si>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</si>
  <si>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</si>
  <si>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</si>
  <si>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</si>
  <si>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</si>
  <si>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</si>
  <si>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</si>
  <si>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</si>
  <si>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</si>
  <si>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</si>
  <si>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</si>
  <si>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</si>
  <si>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</si>
  <si>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</si>
  <si>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</si>
  <si>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</si>
  <si>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</si>
  <si>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</si>
  <si>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</si>
  <si>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</si>
  <si>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</si>
  <si>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</si>
  <si>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</si>
  <si>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</si>
  <si>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</si>
  <si>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</si>
  <si>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</si>
  <si>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</si>
  <si>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</si>
  <si>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</si>
  <si>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</si>
  <si>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</si>
  <si>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</si>
  <si>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</si>
  <si>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</si>
  <si>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</si>
  <si>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</si>
  <si>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</si>
  <si>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</si>
  <si>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</si>
  <si>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</si>
  <si>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</si>
  <si>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</si>
  <si>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</si>
  <si>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</si>
  <si>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</si>
  <si>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</si>
  <si>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</si>
  <si>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</si>
  <si>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</si>
  <si>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</si>
  <si>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</si>
  <si>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</si>
  <si>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</si>
  <si>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</si>
  <si>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</si>
  <si>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</si>
  <si>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</si>
  <si>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</si>
  <si>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</si>
  <si>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</si>
  <si>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</si>
  <si>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</si>
  <si>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</si>
  <si>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</si>
  <si>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</si>
  <si>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</si>
  <si>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</si>
  <si>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</si>
  <si>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</si>
  <si>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</si>
  <si>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</si>
  <si>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</si>
  <si>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</si>
  <si>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</si>
  <si>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</si>
  <si>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</si>
  <si>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</si>
  <si>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</si>
  <si>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</si>
  <si>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</si>
  <si>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</si>
  <si>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</si>
  <si>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</si>
  <si>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</si>
  <si>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</si>
  <si>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</si>
  <si>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</si>
  <si>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</si>
  <si>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</si>
  <si>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</si>
  <si>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</si>
  <si>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</si>
  <si>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</si>
  <si>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</si>
  <si>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</si>
  <si>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</si>
  <si>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</si>
  <si>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</si>
  <si>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</si>
  <si>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</si>
  <si>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</si>
  <si>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</si>
  <si>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</si>
  <si>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</si>
  <si>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</si>
  <si>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</si>
  <si>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</si>
  <si>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</si>
  <si>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</si>
  <si>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</si>
  <si>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</si>
  <si>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</si>
  <si>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</si>
  <si>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</si>
  <si>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</si>
  <si>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</si>
  <si>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</si>
  <si>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</si>
  <si>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</si>
  <si>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</si>
  <si>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</si>
  <si>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</si>
  <si>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</si>
  <si>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</si>
  <si>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</si>
  <si>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</si>
  <si>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</si>
  <si>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</si>
  <si>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</si>
  <si>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</si>
  <si>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</si>
  <si>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</si>
  <si>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</si>
  <si>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</si>
  <si>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</si>
  <si>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</si>
  <si>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</si>
  <si>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</si>
  <si>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</si>
  <si>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</si>
  <si>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</si>
  <si>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</si>
  <si>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</si>
  <si>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</si>
  <si>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</si>
  <si>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</si>
  <si>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</si>
  <si>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</si>
  <si>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</si>
  <si>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</si>
  <si>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</si>
  <si>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</si>
  <si>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</si>
  <si>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</si>
  <si>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</si>
  <si>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</si>
  <si>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</si>
  <si>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</si>
  <si>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</si>
  <si>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</si>
  <si>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</si>
  <si>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</si>
  <si>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</si>
  <si>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</si>
  <si>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</si>
  <si>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</si>
  <si>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</si>
  <si>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</si>
  <si>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</si>
  <si>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</si>
  <si>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</si>
  <si>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</si>
  <si>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</si>
  <si>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</si>
  <si>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</si>
  <si>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</si>
  <si>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</si>
  <si>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</si>
  <si>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</si>
  <si>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</si>
  <si>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</si>
  <si>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</si>
  <si>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</si>
  <si>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</si>
  <si>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</si>
  <si>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</si>
  <si>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</si>
  <si>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</si>
  <si>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</si>
  <si>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</si>
  <si>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</si>
  <si>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</si>
  <si>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</si>
  <si>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</si>
  <si>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</si>
  <si>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</si>
  <si>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</si>
  <si>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</si>
  <si>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</si>
  <si>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</si>
  <si>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</si>
  <si>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</si>
  <si>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</si>
  <si>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</si>
  <si>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</si>
  <si>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</si>
  <si>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</si>
  <si>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</si>
  <si>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</si>
  <si>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</si>
  <si>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</si>
  <si>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</si>
  <si>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</si>
  <si>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</si>
  <si>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</si>
  <si>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</si>
  <si>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</si>
  <si>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</si>
  <si>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</si>
  <si>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</si>
  <si>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</si>
  <si>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</si>
  <si>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</si>
  <si>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</si>
  <si>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</si>
  <si>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</si>
  <si>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</si>
  <si>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</si>
  <si>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</si>
  <si>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</si>
  <si>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</si>
  <si>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</si>
  <si>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</si>
  <si>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</si>
  <si>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</si>
  <si>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</si>
  <si>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</si>
  <si>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</si>
  <si>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</si>
  <si>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</si>
  <si>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</si>
  <si>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</si>
  <si>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</si>
  <si>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</si>
  <si>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</si>
  <si>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</si>
  <si>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</si>
  <si>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</si>
  <si>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</si>
  <si>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</si>
  <si>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</si>
  <si>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</si>
  <si>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</si>
  <si>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</si>
  <si>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</si>
  <si>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</si>
  <si>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</si>
  <si>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</si>
  <si>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</si>
  <si>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</si>
  <si>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</si>
  <si>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</si>
  <si>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</si>
  <si>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</si>
  <si>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</si>
  <si>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</si>
  <si>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</si>
  <si>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</si>
  <si>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</si>
  <si>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</si>
  <si>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</si>
  <si>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</si>
  <si>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</si>
  <si>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</si>
  <si>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</si>
  <si>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</si>
  <si>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</si>
  <si>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</si>
  <si>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</si>
  <si>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</si>
  <si>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</si>
  <si>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</si>
  <si>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</si>
  <si>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</si>
  <si>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</si>
  <si>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</si>
  <si>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</si>
  <si>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</si>
  <si>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</si>
  <si>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</si>
  <si>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</si>
  <si>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</si>
  <si>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</si>
  <si>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</si>
  <si>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</si>
  <si>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</si>
  <si>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</si>
  <si>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</si>
  <si>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</si>
  <si>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</si>
  <si>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</si>
  <si>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</si>
  <si>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</si>
  <si>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</si>
  <si>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</si>
  <si>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</si>
  <si>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</si>
  <si>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</si>
  <si>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</si>
  <si>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</si>
  <si>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</si>
  <si>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</si>
  <si>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</si>
  <si>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</si>
  <si>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</si>
  <si>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</si>
  <si>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</si>
  <si>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</si>
  <si>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</si>
  <si>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</si>
  <si>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</si>
  <si>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</si>
  <si>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</si>
  <si>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</si>
  <si>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</si>
  <si>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</si>
  <si>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</si>
  <si>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</si>
  <si>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</si>
  <si>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</si>
  <si>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</si>
  <si>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</si>
  <si>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</si>
  <si>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</si>
  <si>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</si>
  <si>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</si>
  <si>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</si>
  <si>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</si>
  <si>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</si>
  <si>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</si>
  <si>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</si>
  <si>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</si>
  <si>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</si>
  <si>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</si>
  <si>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</si>
  <si>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</si>
  <si>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</si>
  <si>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</si>
  <si>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</si>
  <si>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</si>
  <si>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</si>
  <si>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</si>
  <si>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</si>
  <si>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</si>
  <si>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</si>
  <si>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</si>
  <si>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</si>
  <si>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</si>
  <si>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</si>
  <si>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</si>
  <si>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</si>
  <si>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</si>
  <si>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</si>
  <si>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</si>
  <si>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</si>
  <si>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</si>
  <si>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</si>
  <si>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</si>
  <si>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</si>
  <si>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</si>
  <si>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</si>
  <si>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</si>
  <si>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</si>
  <si>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</si>
  <si>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</si>
  <si>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</si>
  <si>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</si>
  <si>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</si>
  <si>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</si>
  <si>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</si>
  <si>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</si>
  <si>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</si>
  <si>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</si>
  <si>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</si>
  <si>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</si>
  <si>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</si>
  <si>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</si>
  <si>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</si>
  <si>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</si>
  <si>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</si>
  <si>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</si>
  <si>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</si>
  <si>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</si>
  <si>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</si>
  <si>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</si>
  <si>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</si>
  <si>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</si>
  <si>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</si>
  <si>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</si>
  <si>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</si>
  <si>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</si>
  <si>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</si>
  <si>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</si>
  <si>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</si>
  <si>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</si>
  <si>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</si>
  <si>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</si>
  <si>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</si>
  <si>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</si>
  <si>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</si>
  <si>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</si>
  <si>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</si>
  <si>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</si>
  <si>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</si>
  <si>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</si>
  <si>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</si>
  <si>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</si>
  <si>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</si>
  <si>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</si>
  <si>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</si>
  <si>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</si>
  <si>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</si>
  <si>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</si>
  <si>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</si>
  <si>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</si>
  <si>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</si>
  <si>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</si>
  <si>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</si>
  <si>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</si>
  <si>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</si>
  <si>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</si>
  <si>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</si>
  <si>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</si>
  <si>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</si>
  <si>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</si>
  <si>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</si>
  <si>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</si>
  <si>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</si>
  <si>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</si>
  <si>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</si>
  <si>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</si>
  <si>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</si>
  <si>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</si>
  <si>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</si>
  <si>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</si>
  <si>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</si>
  <si>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</si>
  <si>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</si>
  <si>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</si>
  <si>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</si>
  <si>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</si>
  <si>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</si>
  <si>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</si>
  <si>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</si>
  <si>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</si>
  <si>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</si>
  <si>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</si>
  <si>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</si>
  <si>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</si>
  <si>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</si>
  <si>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</si>
  <si>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</si>
  <si>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</si>
  <si>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</si>
  <si>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</si>
  <si>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</si>
  <si>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</si>
  <si>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</si>
  <si>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</si>
  <si>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</si>
  <si>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</si>
  <si>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</si>
  <si>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</si>
  <si>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</si>
  <si>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</si>
  <si>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</si>
  <si>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</si>
  <si>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</si>
  <si>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</si>
  <si>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</si>
  <si>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</si>
  <si>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</si>
  <si>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</si>
  <si>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</si>
  <si>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</si>
  <si>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</si>
  <si>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</si>
  <si>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</si>
  <si>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</si>
  <si>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</si>
  <si>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</si>
  <si>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</si>
  <si>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</si>
  <si>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</si>
  <si>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</si>
  <si>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</si>
  <si>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</si>
  <si>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</si>
  <si>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</si>
  <si>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</si>
  <si>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</si>
  <si>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</si>
  <si>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</si>
  <si>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</si>
  <si>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</si>
  <si>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</si>
  <si>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</si>
  <si>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</si>
  <si>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</si>
  <si>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</si>
  <si>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</si>
  <si>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</si>
  <si>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</si>
  <si>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</si>
  <si>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</si>
  <si>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</si>
  <si>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</si>
  <si>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</si>
  <si>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</si>
  <si>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</si>
  <si>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</si>
  <si>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</si>
  <si>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</si>
  <si>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</si>
  <si>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</si>
  <si>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</si>
  <si>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</si>
  <si>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</si>
  <si>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</si>
  <si>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</si>
  <si>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</si>
  <si>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</si>
  <si>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</si>
  <si>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</si>
  <si>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</si>
  <si>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</si>
  <si>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</si>
  <si>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</si>
  <si>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</si>
  <si>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</si>
  <si>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</si>
  <si>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</si>
  <si>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</si>
  <si>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</si>
  <si>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</si>
  <si>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</si>
  <si>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</si>
  <si>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</si>
  <si>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</si>
  <si>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</si>
  <si>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</si>
  <si>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</si>
  <si>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</si>
  <si>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</si>
  <si>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</si>
  <si>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</si>
  <si>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</si>
  <si>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</si>
  <si>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</si>
  <si>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</si>
  <si>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</si>
  <si>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</si>
  <si>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</si>
  <si>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</si>
  <si>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</si>
  <si>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</si>
  <si>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</si>
  <si>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</si>
  <si>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</si>
  <si>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</si>
  <si>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</si>
  <si>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</si>
  <si>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</si>
  <si>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</si>
  <si>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</si>
  <si>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</si>
  <si>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</si>
  <si>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</si>
  <si>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</si>
  <si>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</si>
  <si>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</si>
  <si>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</si>
  <si>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</si>
  <si>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</si>
  <si>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</si>
  <si>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</si>
  <si>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</si>
  <si>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</si>
  <si>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</si>
  <si>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</si>
  <si>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</si>
  <si>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</si>
  <si>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</si>
  <si>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</si>
  <si>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</si>
  <si>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</si>
  <si>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</si>
  <si>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</si>
  <si>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</si>
  <si>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</si>
  <si>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</si>
  <si>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</si>
  <si>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</si>
  <si>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</si>
  <si>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</si>
  <si>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</si>
  <si>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</si>
  <si>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</si>
  <si>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</si>
  <si>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</si>
  <si>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</si>
  <si>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</si>
  <si>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</si>
  <si>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</si>
  <si>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</si>
  <si>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</si>
  <si>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</si>
  <si>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</si>
  <si>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</si>
  <si>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</si>
  <si>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</si>
  <si>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</si>
  <si>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</si>
  <si>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</si>
  <si>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</si>
  <si>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</si>
  <si>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</si>
  <si>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</si>
  <si>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</si>
  <si>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</si>
  <si>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</si>
  <si>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</si>
  <si>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</si>
  <si>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</si>
  <si>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</si>
  <si>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</si>
  <si>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</si>
  <si>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</si>
  <si>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</si>
  <si>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</si>
  <si>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</si>
  <si>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</si>
  <si>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</si>
  <si>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</si>
  <si>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</si>
  <si>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</si>
  <si>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</si>
  <si>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</si>
  <si>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</si>
  <si>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</si>
  <si>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</si>
  <si>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</si>
  <si>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</si>
  <si>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</si>
  <si>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</si>
  <si>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</si>
  <si>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</si>
  <si>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</si>
  <si>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</si>
  <si>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</si>
  <si>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</si>
  <si>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</si>
  <si>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</si>
  <si>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</si>
  <si>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</si>
  <si>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</si>
  <si>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</si>
  <si>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</si>
  <si>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</si>
  <si>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</si>
  <si>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</si>
  <si>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</si>
  <si>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</si>
  <si>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</si>
  <si>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</si>
  <si>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</si>
  <si>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</si>
  <si>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</si>
  <si>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</si>
  <si>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</si>
  <si>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</si>
  <si>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</si>
  <si>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</si>
  <si>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</si>
  <si>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</si>
  <si>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</si>
  <si>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</si>
  <si>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</si>
  <si>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</si>
  <si>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</si>
  <si>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</si>
  <si>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</si>
  <si>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</si>
  <si>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</si>
  <si>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</si>
  <si>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</si>
  <si>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</si>
  <si>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</si>
  <si>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</si>
  <si>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</si>
  <si>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</si>
  <si>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</si>
  <si>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</si>
  <si>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</si>
  <si>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</si>
  <si>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</si>
  <si>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</si>
  <si>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</si>
  <si>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</si>
  <si>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</si>
  <si>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</si>
  <si>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</si>
  <si>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</si>
  <si>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</si>
  <si>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</si>
  <si>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</si>
  <si>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</si>
  <si>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</si>
  <si>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</si>
  <si>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</si>
  <si>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</si>
  <si>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</si>
  <si>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</si>
  <si>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</si>
  <si>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</si>
  <si>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</si>
  <si>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</si>
  <si>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</si>
  <si>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</si>
  <si>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</si>
  <si>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</si>
  <si>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</si>
  <si>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</si>
  <si>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</si>
  <si>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</si>
  <si>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</si>
  <si>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</si>
  <si>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</si>
  <si>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</si>
  <si>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</si>
  <si>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</si>
  <si>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</si>
  <si>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</si>
  <si>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</si>
  <si>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</si>
  <si>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</si>
  <si>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</si>
  <si>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</si>
  <si>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</si>
  <si>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</si>
  <si>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</si>
  <si>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</si>
  <si>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</si>
  <si>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</si>
  <si>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</si>
  <si>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</si>
  <si>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</si>
  <si>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</si>
  <si>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</si>
  <si>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</si>
  <si>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</si>
  <si>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</si>
  <si>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</si>
  <si>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</si>
  <si>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</si>
  <si>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</si>
  <si>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</si>
  <si>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</si>
  <si>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</si>
  <si>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</si>
  <si>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</si>
  <si>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</si>
  <si>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</si>
  <si>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</si>
  <si>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</si>
  <si>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</si>
  <si>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</si>
  <si>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</si>
  <si>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</si>
  <si>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</si>
  <si>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</si>
  <si>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</si>
  <si>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</si>
  <si>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</si>
  <si>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</si>
  <si>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</si>
  <si>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</si>
  <si>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</si>
  <si>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</si>
  <si>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</si>
  <si>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</si>
  <si>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</si>
  <si>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</si>
  <si>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</si>
  <si>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</si>
  <si>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</si>
  <si>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</si>
  <si>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</si>
  <si>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</si>
  <si>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</si>
  <si>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</si>
  <si>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</si>
  <si>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</si>
  <si>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</si>
  <si>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</si>
  <si>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</si>
  <si>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</si>
  <si>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</si>
  <si>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</si>
  <si>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</si>
  <si>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</si>
  <si>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</si>
  <si>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</si>
  <si>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</si>
  <si>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</si>
  <si>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</si>
  <si>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</si>
  <si>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</si>
  <si>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</si>
  <si>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</si>
  <si>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</si>
  <si>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</si>
  <si>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</si>
  <si>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</si>
  <si>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</si>
  <si>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</si>
  <si>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</si>
  <si>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</si>
  <si>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</si>
  <si>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</si>
  <si>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</si>
  <si>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</si>
  <si>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</si>
  <si>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</si>
  <si>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</si>
  <si>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</si>
  <si>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</si>
  <si>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</si>
  <si>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</si>
  <si>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</si>
  <si>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</si>
  <si>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</si>
  <si>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</si>
  <si>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</si>
  <si>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</si>
  <si>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</si>
  <si>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</si>
  <si>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</si>
  <si>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</si>
  <si>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</si>
  <si>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</si>
  <si>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</si>
  <si>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</si>
  <si>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</si>
  <si>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</si>
  <si>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</si>
  <si>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</si>
  <si>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</si>
  <si>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</si>
  <si>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</si>
  <si>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</si>
  <si>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</si>
  <si>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</si>
  <si>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</si>
  <si>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</si>
  <si>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</si>
  <si>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</si>
  <si>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</si>
  <si>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</si>
  <si>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</si>
  <si>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</si>
  <si>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</si>
  <si>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</si>
  <si>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</si>
  <si>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</si>
  <si>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</si>
  <si>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</si>
  <si>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</si>
  <si>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</si>
  <si>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</si>
  <si>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</si>
  <si>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</si>
  <si>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</si>
  <si>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</si>
  <si>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</si>
  <si>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</si>
  <si>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</si>
  <si>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</si>
  <si>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</si>
  <si>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</si>
  <si>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</si>
  <si>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</si>
  <si>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</si>
  <si>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</si>
  <si>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</si>
  <si>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</si>
  <si>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</si>
  <si>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</si>
  <si>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</si>
  <si>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</si>
  <si>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</si>
  <si>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</si>
  <si>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</si>
  <si>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</si>
  <si>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</si>
  <si>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</si>
  <si>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</si>
  <si>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</si>
  <si>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</si>
  <si>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</si>
  <si>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</si>
  <si>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</si>
  <si>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</si>
  <si>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</si>
  <si>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</si>
  <si>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</si>
  <si>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</si>
  <si>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</si>
  <si>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</si>
  <si>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</si>
  <si>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</si>
  <si>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</si>
  <si>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</si>
  <si>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</si>
  <si>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</si>
  <si>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</si>
  <si>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</si>
  <si>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</si>
  <si>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</si>
  <si>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</si>
  <si>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</si>
  <si>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</si>
  <si>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</si>
  <si>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</si>
  <si>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</si>
  <si>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</si>
  <si>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</si>
  <si>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</si>
  <si>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</si>
  <si>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</si>
  <si>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</si>
  <si>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</si>
  <si>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</si>
  <si>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</si>
  <si>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</si>
  <si>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</si>
  <si>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</si>
  <si>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</si>
  <si>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</si>
  <si>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</si>
  <si>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</si>
  <si>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</si>
  <si>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</si>
  <si>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</si>
  <si>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</si>
  <si>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</si>
  <si>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</si>
  <si>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</si>
  <si>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</si>
  <si>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</si>
  <si>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</si>
  <si>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</si>
  <si>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</si>
  <si>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</si>
  <si>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</si>
  <si>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</si>
  <si>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</si>
  <si>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</si>
  <si>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</si>
  <si>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</si>
  <si>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</si>
  <si>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</si>
  <si>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</si>
  <si>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</si>
  <si>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</si>
  <si>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</si>
  <si>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</si>
  <si>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</si>
  <si>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</si>
  <si>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</si>
  <si>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</si>
  <si>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</si>
  <si>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</si>
  <si>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</si>
  <si>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</si>
  <si>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</si>
  <si>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</si>
  <si>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</si>
  <si>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</si>
  <si>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</si>
  <si>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</si>
  <si>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</si>
  <si>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</si>
  <si>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</si>
  <si>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</si>
  <si>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</si>
  <si>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</si>
  <si>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</si>
  <si>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</si>
  <si>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</si>
  <si>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</si>
  <si>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</si>
  <si>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</si>
  <si>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</si>
  <si>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</si>
  <si>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</si>
  <si>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</si>
  <si>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</si>
  <si>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</si>
  <si>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</si>
  <si>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</si>
  <si>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</si>
  <si>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</si>
  <si>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</si>
  <si>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</si>
  <si>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</si>
  <si>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</si>
  <si>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</si>
  <si>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</si>
  <si>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</si>
  <si>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</si>
  <si>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</si>
  <si>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</si>
  <si>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</si>
  <si>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</si>
  <si>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</si>
  <si>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</si>
  <si>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</si>
  <si>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</si>
  <si>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</si>
  <si>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</si>
  <si>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</si>
  <si>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</si>
  <si>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</si>
  <si>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</si>
  <si>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</si>
  <si>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</si>
  <si>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</si>
  <si>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</si>
  <si>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</si>
  <si>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</si>
  <si>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</si>
  <si>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</si>
  <si>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</si>
  <si>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</si>
  <si>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</si>
  <si>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</si>
  <si>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</si>
  <si>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</si>
  <si>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</si>
  <si>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</si>
  <si>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</si>
  <si>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</si>
  <si>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</si>
  <si>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</si>
  <si>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</si>
  <si>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</si>
  <si>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</si>
  <si>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</si>
  <si>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</si>
  <si>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</si>
  <si>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</si>
  <si>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</si>
  <si>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</si>
  <si>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</si>
  <si>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</si>
  <si>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</si>
  <si>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</si>
  <si>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</si>
  <si>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</si>
  <si>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</si>
  <si>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</si>
  <si>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</si>
  <si>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</si>
  <si>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</si>
  <si>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</si>
  <si>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</si>
  <si>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</si>
  <si>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</si>
  <si>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</si>
  <si>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</si>
  <si>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</si>
  <si>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</si>
  <si>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</si>
  <si>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</si>
  <si>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</si>
  <si>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</si>
  <si>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</si>
  <si>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</si>
  <si>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</si>
  <si>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</si>
  <si>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</si>
  <si>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</si>
  <si>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</si>
  <si>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</si>
  <si>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</si>
  <si>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</si>
  <si>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</si>
  <si>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</si>
  <si>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</si>
  <si>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</si>
  <si>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</si>
  <si>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</si>
  <si>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</si>
  <si>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</si>
  <si>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</si>
  <si>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</si>
  <si>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</si>
  <si>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</si>
  <si>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</si>
  <si>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</si>
  <si>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</si>
  <si>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</si>
  <si>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</si>
  <si>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</si>
  <si>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</si>
  <si>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</si>
  <si>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</si>
  <si>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</si>
  <si>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</si>
  <si>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</si>
  <si>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</si>
  <si>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</si>
  <si>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</si>
  <si>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</si>
  <si>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</si>
  <si>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</si>
  <si>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</si>
  <si>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</si>
  <si>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</si>
  <si>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</si>
  <si>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</si>
  <si>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</si>
  <si>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</si>
  <si>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</si>
  <si>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</si>
  <si>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</si>
  <si>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</si>
  <si>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</si>
  <si>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</si>
  <si>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</si>
  <si>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</si>
  <si>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</si>
  <si>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</si>
  <si>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</si>
  <si>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</si>
  <si>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</si>
  <si>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</si>
  <si>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</si>
  <si>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</si>
  <si>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</si>
  <si>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</si>
  <si>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</si>
  <si>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</si>
  <si>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</si>
  <si>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</si>
  <si>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</si>
  <si>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</si>
  <si>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</si>
  <si>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</si>
  <si>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</si>
  <si>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</si>
  <si>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</si>
  <si>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</si>
  <si>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</si>
  <si>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</si>
  <si>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</si>
  <si>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</si>
  <si>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</si>
  <si>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</si>
  <si>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</si>
  <si>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</si>
  <si>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</si>
  <si>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</si>
  <si>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</si>
  <si>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</si>
  <si>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</si>
  <si>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</si>
  <si>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</si>
  <si>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</si>
  <si>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</si>
  <si>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</si>
  <si>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</si>
  <si>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</si>
  <si>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</si>
  <si>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</si>
  <si>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</si>
  <si>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</si>
  <si>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</si>
  <si>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</si>
  <si>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</si>
  <si>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</si>
  <si>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</si>
  <si>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</si>
  <si>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</si>
  <si>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</si>
  <si>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</si>
  <si>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</si>
  <si>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</si>
  <si>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</si>
  <si>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</si>
  <si>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</si>
  <si>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</si>
  <si>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</si>
  <si>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</si>
  <si>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</si>
  <si>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</si>
  <si>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</si>
  <si>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</si>
  <si>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</si>
  <si>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</si>
  <si>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</si>
  <si>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</si>
  <si>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</si>
  <si>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</si>
  <si>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</si>
  <si>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</si>
  <si>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</si>
  <si>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</si>
  <si>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</si>
  <si>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</si>
  <si>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</si>
  <si>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</si>
  <si>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</si>
  <si>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</si>
  <si>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</si>
  <si>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</si>
  <si>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</si>
  <si>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</si>
  <si>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</si>
  <si>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</si>
  <si>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</si>
  <si>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</si>
  <si>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</si>
  <si>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</si>
  <si>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</si>
  <si>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</si>
  <si>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</si>
  <si>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</si>
  <si>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</si>
  <si>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</si>
  <si>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</si>
  <si>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</si>
  <si>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</si>
  <si>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</si>
  <si>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</si>
  <si>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</si>
  <si>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</si>
  <si>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</si>
  <si>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</si>
  <si>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</si>
  <si>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</si>
  <si>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</si>
  <si>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</si>
  <si>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</si>
  <si>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</si>
  <si>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</si>
  <si>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</si>
  <si>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</si>
  <si>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</si>
  <si>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</si>
  <si>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</si>
  <si>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</si>
  <si>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</si>
  <si>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</si>
  <si>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</si>
  <si>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</si>
  <si>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</si>
  <si>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</si>
  <si>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</si>
  <si>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</si>
  <si>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</si>
  <si>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</si>
  <si>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</si>
  <si>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</si>
  <si>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</si>
  <si>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</si>
  <si>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</si>
  <si>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</si>
  <si>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</si>
  <si>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</si>
  <si>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</si>
  <si>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</si>
  <si>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</si>
  <si>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</si>
  <si>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</si>
  <si>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</si>
  <si>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</si>
  <si>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</si>
  <si>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</si>
  <si>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</si>
  <si>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</si>
  <si>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</si>
  <si>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</si>
  <si>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</si>
  <si>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</si>
  <si>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</si>
  <si>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</si>
  <si>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</si>
  <si>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</si>
  <si>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</si>
  <si>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</si>
  <si>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</si>
  <si>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</si>
  <si>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</si>
  <si>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</si>
  <si>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</si>
  <si>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</si>
  <si>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</si>
  <si>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</si>
  <si>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</si>
  <si>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</si>
  <si>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</si>
  <si>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</si>
  <si>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</si>
  <si>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</si>
  <si>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</si>
  <si>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</si>
  <si>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</si>
  <si>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</si>
  <si>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</si>
  <si>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</si>
  <si>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</si>
  <si>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</si>
  <si>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</si>
  <si>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</si>
  <si>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</si>
  <si>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</si>
  <si>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</si>
  <si>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</si>
  <si>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</si>
  <si>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</si>
  <si>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</si>
  <si>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</si>
  <si>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</si>
  <si>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</si>
  <si>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</si>
  <si>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</si>
  <si>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</si>
  <si>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</si>
  <si>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</si>
  <si>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</si>
  <si>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</si>
  <si>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</si>
  <si>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</si>
  <si>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</si>
  <si>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</si>
  <si>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</si>
  <si>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</si>
  <si>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</si>
  <si>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</si>
  <si>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</si>
  <si>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</si>
  <si>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</si>
  <si>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</si>
  <si>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</si>
  <si>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</si>
  <si>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</si>
  <si>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</si>
  <si>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</si>
  <si>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</si>
  <si>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</si>
  <si>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</si>
  <si>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</si>
  <si>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</si>
  <si>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</si>
  <si>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</si>
  <si>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</si>
  <si>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</si>
  <si>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</si>
  <si>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</si>
  <si>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</si>
  <si>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</si>
  <si>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</si>
  <si>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</si>
  <si>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</si>
  <si>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</si>
  <si>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</si>
  <si>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</si>
  <si>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</si>
  <si>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</si>
  <si>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</si>
  <si>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</si>
  <si>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</si>
  <si>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</si>
  <si>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</si>
  <si>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</si>
  <si>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</si>
  <si>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</si>
  <si>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</si>
  <si>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</si>
  <si>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</si>
  <si>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</si>
  <si>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</si>
  <si>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</si>
  <si>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</si>
  <si>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</si>
  <si>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</si>
  <si>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</si>
  <si>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</si>
  <si>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</si>
  <si>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</si>
  <si>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</si>
  <si>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</si>
  <si>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</si>
  <si>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</si>
  <si>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</si>
  <si>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</si>
  <si>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</si>
  <si>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</si>
  <si>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</si>
  <si>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</si>
  <si>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</si>
  <si>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</si>
  <si>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</si>
  <si>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</si>
  <si>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</si>
  <si>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</si>
  <si>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</si>
  <si>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</si>
  <si>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</si>
  <si>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</si>
  <si>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</si>
  <si>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</si>
  <si>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</si>
  <si>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</si>
  <si>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</si>
  <si>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</si>
  <si>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</si>
  <si>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</si>
  <si>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</si>
  <si>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</si>
  <si>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</si>
  <si>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</si>
  <si>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</si>
  <si>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</si>
  <si>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</si>
  <si>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</si>
  <si>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</si>
  <si>
    <t>2026-115</t>
  </si>
  <si>
    <t>Fonds Équipe France — FEF clásico</t>
  </si>
  <si>
    <t>Ministère de l’Europe et des Affaires étrangères — MEAE</t>
  </si>
  <si>
    <t>Investigadores universitarios; médicos; ingenieros; arquitectos; urbanistas; especialistas en innovación, tecnología, medioambiente y políticas públicas</t>
  </si>
  <si>
    <t>República Dominicana y, cuando corresponda, otros países del Caribe</t>
  </si>
  <si>
    <t>Tecnología; medicina y salud; arquitectura, urbanismo y desarrollo sostenible</t>
  </si>
  <si>
    <t>cooperación científica; innovación tecnológica; salud pública; tecnologías médicas; inteligencia artificial; arquitectura sostenible; resiliencia urbana; investigación aplicada</t>
  </si>
  <si>
    <t>Instrumento del Gobierno francés para financiar proyectos locales y regionales de cooperación de alto impacto, diseñados por las embajadas francesas con instituciones del país beneficiario y socios científicos franceses.</t>
  </si>
  <si>
    <t>La UNPHU puede participar como universidad beneficiaria, contraparte científica, coordinadora técnica o ejecutora local. La propuesta formal debe ser construida y presentada por la Embajada de Francia o la administración francesa competente.</t>
  </si>
  <si>
    <t>No existe un formulario público de solicitud directa. La UNPHU debe presentar una nota conceptual al Service de coopération et d’action culturelle — SCAC para valorar su incorporación al calendario interno del FEF.</t>
  </si>
  <si>
    <t>https://www.diplomatie.gouv.fr/fr/services/annuaire-et-contacts/representations-francaises/ambassade-de-france-en-republique-dominicaine/</t>
  </si>
  <si>
    <t>Ministère de l’Europe et des Affaires étrangères / Embajada de Francia en República Dominicana — SCAC</t>
  </si>
  <si>
    <t>Prioridad muy alta. El antecedente FEF-CARIBS confirma la compatibilidad de la UNPHU con el mecanismo. Recomendable incorporar socios científicos franceses y dimensión regional.</t>
  </si>
  <si>
    <t>2026-116</t>
  </si>
  <si>
    <t>Fonds Équipe France Rapide — FEF-R</t>
  </si>
  <si>
    <t>Investigadores; médicos; ingenieros; arquitectos; tecnólogos; especialistas en salud pública, ambiente, resiliencia, innovación y transferencia tecnológica</t>
  </si>
  <si>
    <t>República Dominicana; puede admitir alcance caribeño o regional</t>
  </si>
  <si>
    <t>Tecnología; medicina; arquitectura y urbanismo</t>
  </si>
  <si>
    <t>proyecto piloto; prueba de concepto; prototipo; estudio de viabilidad; formación; tecnología médica; salud digital; arquitectura resiliente; innovación aplicada</t>
  </si>
  <si>
    <t>Modalidad rápida del Fonds Équipe France para proyectos piloto y acciones de cooperación de ejecución breve que permitan demostrar una solución o preparar una iniciativa de mayor escala.</t>
  </si>
  <si>
    <t>La UNPHU puede proponer la iniciativa y actuar como beneficiaria o ejecutora, pero el expediente debe ser construido y canalizado por la Embajada de Francia y su SCAC.</t>
  </si>
  <si>
    <t>Adecuado para estudios de viabilidad, prototipos, movilidad científica, generación de datos, capacitación y preparación de un FEF clásico, FEF+ u otra financiación de mayor escala.</t>
  </si>
  <si>
    <t>Prioridad alta para propuestas de entrada: pilotos de salud digital, biomateriales, sargazo, arquitectura resiliente, monitoreo ambiental o impresión 3D farmacéutica.</t>
  </si>
  <si>
    <t>2026-117</t>
  </si>
  <si>
    <t>Fonds Équipe France Plus — FEF+</t>
  </si>
  <si>
    <t>Generalmente hasta 24 meses</t>
  </si>
  <si>
    <t>Consorcios de investigadores; universidades; organismos públicos; hospitales; centros tecnológicos; arquitectos; ingenieros y organizaciones francesas especializadas</t>
  </si>
  <si>
    <t>República Dominicana y proyectos regionales del Caribe</t>
  </si>
  <si>
    <t>Tecnología y transformación digital; medicina y sistemas sanitarios; arquitectura, vivienda, territorio y resiliencia climática</t>
  </si>
  <si>
    <t>programa regional; infraestructura científica; transferencia tecnológica; investigación aplicada; salud regional; ciudades sostenibles; resiliencia; Caribe</t>
  </si>
  <si>
    <t>Modalidad ampliada del Fonds Équipe France para proyectos estratégicos de mayor escala, con articulación multinacional o interinstitucional y resultados estructurales.</t>
  </si>
  <si>
    <t>La UNPHU puede participar como socio institucional y ejecutor. Requiere que la Embajada de Francia respalde y presente el proyecto, además de un consorcio sólido con instituciones francesas y actores dominicanos o caribeños.</t>
  </si>
  <si>
    <t>No es una convocatoria pública directa. Debe responder a prioridades diplomáticas y de desarrollo, demostrar impacto institucional, sostenibilidad y posibilidades de continuidad o escalamiento.</t>
  </si>
  <si>
    <t>Ministère de l’Europe et des Affaires étrangères / Embajada de Francia en República Dominicana</t>
  </si>
  <si>
    <t>Prioridad media-alta. Recomendable cuando exista un consorcio regional, respaldo institucional o gubernamental y evidencia obtenida mediante pilotos previos.</t>
  </si>
  <si>
    <t>2026-118</t>
  </si>
  <si>
    <t>Fonds d’Innovation pour le Développement — FID</t>
  </si>
  <si>
    <t>Agence Française de Développement — AFD / Fonds d’Innovation pour le Développement</t>
  </si>
  <si>
    <t>Según la etapa y el nivel de madurez de la innovación</t>
  </si>
  <si>
    <t>Investigadores; especialistas en innovación, salud pública, tecnología, ingeniería, urbanismo, evaluación de impacto y políticas públicas</t>
  </si>
  <si>
    <t>Países de ingresos bajos y medios elegibles para ayuda oficial al desarrollo, incluida República Dominicana</t>
  </si>
  <si>
    <t>Tecnología; medicina y salud; arquitectura y urbanismo sostenible bajo enfoque de innovación social</t>
  </si>
  <si>
    <t>innovación para el desarrollo; salud digital; tecnología sanitaria; ciudades sostenibles; servicios urbanos; evaluación de impacto; reducción de desigualdades; escalamiento</t>
  </si>
  <si>
    <t>Financia la preparación, prueba, evaluación de impacto y escalamiento de innovaciones capaces de reducir la pobreza y las desigualdades en países elegibles.</t>
  </si>
  <si>
    <t>La UNPHU puede presentar directamente como persona jurídica o participar en consorcio. República Dominicana es compatible como país de ejecución.</t>
  </si>
  <si>
    <t>La plataforma de las principales etapas reabre el 1 de septiembre de 2026. Las subvenciones preparatorias permanecerán cerradas hasta 2027. No exige cofinanciación obligatoria.</t>
  </si>
  <si>
    <t>https://fundinnovation.dev/launch-project</t>
  </si>
  <si>
    <t>Agence Française de Développement / Fonds d’Innovation pour le Développement</t>
  </si>
  <si>
    <t>Aplicación directa posible. Prioridad alta. Preparar teoría de cambio, indicadores, presupuesto y estrategia de evaluación antes de la reapertura.</t>
  </si>
  <si>
    <t>2026-119</t>
  </si>
  <si>
    <t>Fondo Francés para el Medio Ambiente Mundial — FFEM</t>
  </si>
  <si>
    <t>Fonds Français pour l’Environnement Mondial — FFEM</t>
  </si>
  <si>
    <t>Investigadores en arquitectura bioclimática, urbanismo, ingeniería ambiental, energía, biodiversidad, cambio climático, contaminación, salud ambiental y tecnologías limpias</t>
  </si>
  <si>
    <t>Países en desarrollo elegibles para ayuda oficial al desarrollo, incluida República Dominicana</t>
  </si>
  <si>
    <t>Arquitectura y ciudades sostenibles; tecnología ambiental; salud ambiental y One Health</t>
  </si>
  <si>
    <t>arquitectura bioclimática; resiliencia urbana; eficiencia energética; refrigeración sostenible; biodiversidad; clima; contaminación; economía circular</t>
  </si>
  <si>
    <t>Cofinancia proyectos demostrativos, innovadores y replicables sobre cambio climático, biodiversidad, aguas internacionales, degradación de tierras, contaminantes y desarrollo urbano sostenible.</t>
  </si>
  <si>
    <t>La UNPHU puede figurar como proponente o integrante de un consorcio, pero debe obtener el respaldo de una institución francesa miembro del Comité de Pilotaje del FFEM.</t>
  </si>
  <si>
    <t>Puede financiar hasta el 50 % del presupuesto de determinados proyectos; el resto debe proceder de otras fuentes. Prioriza investigación aplicada y demostración, no investigación básica aislada.</t>
  </si>
  <si>
    <t>https://www.ffem.fr/fr/soumettre-un-projet</t>
  </si>
  <si>
    <t>Fonds Français pour l’Environnement Mondial</t>
  </si>
  <si>
    <t>Prioridad alta para arquitectura sostenible, edificios eficientes, resiliencia urbana, agua, energía, economía circular y tecnologías ambientales.</t>
  </si>
  <si>
    <t>2026-120</t>
  </si>
  <si>
    <t>Programa INTERREG Caraïbes 2021–2027</t>
  </si>
  <si>
    <t>Unión Europea / Région Guadeloupe — Autoridad de gestión</t>
  </si>
  <si>
    <t>Según el proyecto y el eje de intervención</t>
  </si>
  <si>
    <t>Investigadores; universidades; hospitales; centros tecnológicos; arquitectos; urbanistas; ingenieros; autoridades públicas y organizaciones sociales</t>
  </si>
  <si>
    <t>Caribe, con asociación entre territorios franceses ultramarinos y al menos un país o territorio caribeño no perteneciente a la Unión Europea</t>
  </si>
  <si>
    <t>Tecnología, investigación e innovación; medicina y sistemas sanitarios; arquitectura, energía, resiliencia y desarrollo urbano</t>
  </si>
  <si>
    <t>I+D; innovación; digitalización; conectividad; energías renovables; acceso sanitario; enfermedades regionales; resiliencia climática; economía circular; movilidad</t>
  </si>
  <si>
    <t>Programa de cooperación territorial que financia proyectos conjuntos entre los territorios franceses del Caribe y países vecinos en investigación, innovación, salud, clima, biodiversidad, energía, movilidad y formación.</t>
  </si>
  <si>
    <t>La UNPHU puede participar como socia caribeña, pero el jefe de fila debe estar establecido en Guadalupe, Martinica, Guayana Francesa o Saint-Martin.</t>
  </si>
  <si>
    <t>La presentación se realiza mediante la plataforma Synergie CTE. Debe confirmarse con la Secretaría Conjunta el tratamiento presupuestario de los gastos correspondientes al socio dominicano.</t>
  </si>
  <si>
    <t>https://interreg-caraibes.eu/appel-projets</t>
  </si>
  <si>
    <t>Région Guadeloupe — Autoridad de gestión del programa INTERREG Caraïbes</t>
  </si>
  <si>
    <t>Prioridad alta para consorcios con universidades, hospitales o centros de Guadalupe y Martinica. La UNPHU participa como socia, no como coordinadora.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</si>
</sst>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120" zoomScale="90" zoomScaleNormal="90" workbookViewId="0">
      <selection activeCell="I116" sqref="I116"/>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Próxima a vencer</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Vencida</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Próxima a vencer</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Próxima a vencer</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Abierta</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Abierta</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Abierta</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Abierta</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Abierta</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Abierta</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Abierta</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Abierta</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Próxima a vencer</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Abierta</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Abierta</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Próxima a vencer</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Vencida</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Abierta</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Abierta</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Abierta</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Próxima a vencer</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Abierta</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Abierta</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Próxima a vencer</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Vencida</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Vencida</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Abierta</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Abierta</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Abierta</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Próxima a vencer</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Próxima a vencer</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Abierta</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Próxima a vencer</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Abierta</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Próxima a vencer</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Próxima a vencer</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Abierta</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Abierta</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Abierta</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Abierta</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Abierta</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Abierta</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Próxima a vencer</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1263</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1263</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Vencida</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114">
      <c r="A112" s="3" t="s">
        <v>1589</v>
      </c>
      <c r="B112" s="4" t="s">
        <v>54</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54</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54</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Vencida</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ht="128.25" customHeight="1">
      <c r="A116" s="4" t="s">
        <v>1593</v>
      </c>
      <c r="B116" s="4" t="s">
        <v>54</v>
      </c>
      <c r="C116" s="4" t="s">
        <v>1594</v>
      </c>
      <c r="D116" s="4" t="s">
        <v>1595</v>
      </c>
      <c r="E116" s="4" t="s">
        <v>139</v>
      </c>
      <c r="F116" s="4" t="s">
        <v>1136</v>
      </c>
      <c r="G116" s="6"/>
      <c r="H116" s="4" t="s">
        <v>225</v>
      </c>
      <c r="I116" s="4" t="s">
        <v>436</v>
      </c>
      <c r="J116" s="4" t="s">
        <v>38</v>
      </c>
      <c r="K116" s="4" t="str">
        <f t="shared" ca="1" si="2"/>
        <v>Sin fecha</v>
      </c>
      <c r="L116" s="8" t="s">
        <v>1199</v>
      </c>
      <c r="M116" s="8">
        <v>1000000</v>
      </c>
      <c r="N116" s="4" t="s">
        <v>197</v>
      </c>
      <c r="O116" s="4" t="s">
        <v>485</v>
      </c>
      <c r="P116" s="4" t="s">
        <v>124</v>
      </c>
      <c r="Q116" s="4" t="s">
        <v>1596</v>
      </c>
      <c r="R116" s="4" t="s">
        <v>313</v>
      </c>
      <c r="S116" s="4" t="s">
        <v>1597</v>
      </c>
      <c r="T116" s="4" t="s">
        <v>44</v>
      </c>
      <c r="U116" s="4" t="s">
        <v>1598</v>
      </c>
      <c r="V116" s="4" t="s">
        <v>1599</v>
      </c>
      <c r="W116" s="4" t="s">
        <v>1600</v>
      </c>
      <c r="X116" s="4" t="s">
        <v>1601</v>
      </c>
      <c r="Y116" s="4" t="s">
        <v>1602</v>
      </c>
      <c r="Z116" s="4" t="s">
        <v>1603</v>
      </c>
      <c r="AA116" s="4"/>
      <c r="AB116" s="6">
        <v>46238</v>
      </c>
      <c r="AC116" s="4" t="s">
        <v>1604</v>
      </c>
      <c r="AD116" s="4" t="s">
        <v>1605</v>
      </c>
    </row>
    <row r="117" spans="1:30" ht="128.25" customHeight="1">
      <c r="A117" s="4" t="s">
        <v>1606</v>
      </c>
      <c r="B117" s="4" t="s">
        <v>54</v>
      </c>
      <c r="C117" s="4" t="s">
        <v>1607</v>
      </c>
      <c r="D117" s="4" t="s">
        <v>1595</v>
      </c>
      <c r="E117" s="4" t="s">
        <v>139</v>
      </c>
      <c r="F117" s="4" t="s">
        <v>1136</v>
      </c>
      <c r="G117" s="6"/>
      <c r="H117" s="4" t="s">
        <v>225</v>
      </c>
      <c r="I117" s="4" t="s">
        <v>436</v>
      </c>
      <c r="J117" s="4" t="s">
        <v>38</v>
      </c>
      <c r="K117" s="4" t="str">
        <f t="shared" ca="1" si="2"/>
        <v>Sin fecha</v>
      </c>
      <c r="L117" s="8">
        <v>10000</v>
      </c>
      <c r="M117" s="8">
        <v>100000</v>
      </c>
      <c r="N117" s="4" t="s">
        <v>197</v>
      </c>
      <c r="O117" s="4" t="s">
        <v>1077</v>
      </c>
      <c r="P117" s="4" t="s">
        <v>242</v>
      </c>
      <c r="Q117" s="4" t="s">
        <v>1608</v>
      </c>
      <c r="R117" s="4" t="s">
        <v>313</v>
      </c>
      <c r="S117" s="4" t="s">
        <v>1609</v>
      </c>
      <c r="T117" s="4" t="s">
        <v>44</v>
      </c>
      <c r="U117" s="4" t="s">
        <v>1610</v>
      </c>
      <c r="V117" s="4" t="s">
        <v>1611</v>
      </c>
      <c r="W117" s="4" t="s">
        <v>1612</v>
      </c>
      <c r="X117" s="4" t="s">
        <v>1613</v>
      </c>
      <c r="Y117" s="4" t="s">
        <v>1614</v>
      </c>
      <c r="Z117" s="4" t="s">
        <v>1603</v>
      </c>
      <c r="AA117" s="4"/>
      <c r="AB117" s="6">
        <v>46238</v>
      </c>
      <c r="AC117" s="4" t="s">
        <v>1604</v>
      </c>
      <c r="AD117" s="4" t="s">
        <v>1615</v>
      </c>
    </row>
    <row r="118" spans="1:30" ht="128.25" customHeight="1">
      <c r="A118" s="4" t="s">
        <v>1616</v>
      </c>
      <c r="B118" s="4" t="s">
        <v>54</v>
      </c>
      <c r="C118" s="4" t="s">
        <v>1617</v>
      </c>
      <c r="D118" s="4" t="s">
        <v>1595</v>
      </c>
      <c r="E118" s="4" t="s">
        <v>139</v>
      </c>
      <c r="F118" s="4" t="s">
        <v>1136</v>
      </c>
      <c r="G118" s="6"/>
      <c r="H118" s="4" t="s">
        <v>225</v>
      </c>
      <c r="I118" s="4" t="s">
        <v>436</v>
      </c>
      <c r="J118" s="4" t="s">
        <v>38</v>
      </c>
      <c r="K118" s="4" t="str">
        <f t="shared" ca="1" si="2"/>
        <v>Sin fecha</v>
      </c>
      <c r="L118" s="8" t="s">
        <v>1199</v>
      </c>
      <c r="M118" s="8">
        <v>2000000</v>
      </c>
      <c r="N118" s="4" t="s">
        <v>197</v>
      </c>
      <c r="O118" s="4" t="s">
        <v>1618</v>
      </c>
      <c r="P118" s="4" t="s">
        <v>124</v>
      </c>
      <c r="Q118" s="4" t="s">
        <v>1619</v>
      </c>
      <c r="R118" s="4" t="s">
        <v>313</v>
      </c>
      <c r="S118" s="4" t="s">
        <v>1620</v>
      </c>
      <c r="T118" s="4" t="s">
        <v>44</v>
      </c>
      <c r="U118" s="4" t="s">
        <v>1621</v>
      </c>
      <c r="V118" s="4" t="s">
        <v>1622</v>
      </c>
      <c r="W118" s="4" t="s">
        <v>1623</v>
      </c>
      <c r="X118" s="4" t="s">
        <v>1624</v>
      </c>
      <c r="Y118" s="4" t="s">
        <v>1625</v>
      </c>
      <c r="Z118" s="4" t="s">
        <v>1603</v>
      </c>
      <c r="AA118" s="4"/>
      <c r="AB118" s="6">
        <v>46238</v>
      </c>
      <c r="AC118" s="4" t="s">
        <v>1626</v>
      </c>
      <c r="AD118" s="4" t="s">
        <v>1627</v>
      </c>
    </row>
    <row r="119" spans="1:30" ht="128.25" customHeight="1">
      <c r="A119" s="4" t="s">
        <v>1628</v>
      </c>
      <c r="B119" s="4" t="s">
        <v>54</v>
      </c>
      <c r="C119" s="4" t="s">
        <v>1629</v>
      </c>
      <c r="D119" s="4" t="s">
        <v>1630</v>
      </c>
      <c r="E119" s="4" t="s">
        <v>139</v>
      </c>
      <c r="F119" s="4" t="s">
        <v>1136</v>
      </c>
      <c r="G119" s="6"/>
      <c r="H119" s="4" t="s">
        <v>57</v>
      </c>
      <c r="I119" s="4" t="s">
        <v>58</v>
      </c>
      <c r="J119" s="4" t="s">
        <v>38</v>
      </c>
      <c r="K119" s="4" t="str">
        <f t="shared" ref="K119:K127" ca="1" si="3">IF(J119="Cerrada","Cerrada",IF(J119="Suspendida","Suspendida",IF(G119="","Sin fecha",IF(G119&lt;TODAY(),"Vencida",IF(G119-TODAY()&lt;=30,"Próxima a vencer","Abierta")))))</f>
        <v>Sin fecha</v>
      </c>
      <c r="L119" s="8" t="s">
        <v>1199</v>
      </c>
      <c r="M119" s="8">
        <v>4000000</v>
      </c>
      <c r="N119" s="4" t="s">
        <v>197</v>
      </c>
      <c r="O119" s="4" t="s">
        <v>1631</v>
      </c>
      <c r="P119" s="4" t="s">
        <v>242</v>
      </c>
      <c r="Q119" s="4" t="s">
        <v>1632</v>
      </c>
      <c r="R119" s="4" t="s">
        <v>379</v>
      </c>
      <c r="S119" s="4" t="s">
        <v>1633</v>
      </c>
      <c r="T119" s="4" t="s">
        <v>44</v>
      </c>
      <c r="U119" s="4" t="s">
        <v>1634</v>
      </c>
      <c r="V119" s="4" t="s">
        <v>1635</v>
      </c>
      <c r="W119" s="4" t="s">
        <v>1636</v>
      </c>
      <c r="X119" s="4" t="s">
        <v>1637</v>
      </c>
      <c r="Y119" s="4" t="s">
        <v>1638</v>
      </c>
      <c r="Z119" s="4" t="s">
        <v>1639</v>
      </c>
      <c r="AA119" s="4"/>
      <c r="AB119" s="6">
        <v>46238</v>
      </c>
      <c r="AC119" s="4" t="s">
        <v>1640</v>
      </c>
      <c r="AD119" s="4" t="s">
        <v>1641</v>
      </c>
    </row>
    <row r="120" spans="1:30" ht="128.25" customHeight="1">
      <c r="A120" s="4" t="s">
        <v>1642</v>
      </c>
      <c r="B120" s="4" t="s">
        <v>54</v>
      </c>
      <c r="C120" s="4" t="s">
        <v>1643</v>
      </c>
      <c r="D120" s="4" t="s">
        <v>1644</v>
      </c>
      <c r="E120" s="4" t="s">
        <v>139</v>
      </c>
      <c r="F120" s="4" t="s">
        <v>1136</v>
      </c>
      <c r="G120" s="6"/>
      <c r="H120" s="4" t="s">
        <v>57</v>
      </c>
      <c r="I120" s="4" t="s">
        <v>377</v>
      </c>
      <c r="J120" s="4" t="s">
        <v>38</v>
      </c>
      <c r="K120" s="4" t="str">
        <f t="shared" ca="1" si="3"/>
        <v>Sin fecha</v>
      </c>
      <c r="L120" s="8">
        <v>500000</v>
      </c>
      <c r="M120" s="8">
        <v>2000000</v>
      </c>
      <c r="N120" s="4" t="s">
        <v>197</v>
      </c>
      <c r="O120" s="4" t="s">
        <v>1415</v>
      </c>
      <c r="P120" s="4" t="s">
        <v>124</v>
      </c>
      <c r="Q120" s="4" t="s">
        <v>1645</v>
      </c>
      <c r="R120" s="4" t="s">
        <v>313</v>
      </c>
      <c r="S120" s="4" t="s">
        <v>1646</v>
      </c>
      <c r="T120" s="4" t="s">
        <v>44</v>
      </c>
      <c r="U120" s="4" t="s">
        <v>1647</v>
      </c>
      <c r="V120" s="4" t="s">
        <v>1648</v>
      </c>
      <c r="W120" s="4" t="s">
        <v>1649</v>
      </c>
      <c r="X120" s="4" t="s">
        <v>1650</v>
      </c>
      <c r="Y120" s="4" t="s">
        <v>1651</v>
      </c>
      <c r="Z120" s="4" t="s">
        <v>1652</v>
      </c>
      <c r="AA120" s="4"/>
      <c r="AB120" s="6">
        <v>46238</v>
      </c>
      <c r="AC120" s="4" t="s">
        <v>1653</v>
      </c>
      <c r="AD120" s="4" t="s">
        <v>1654</v>
      </c>
    </row>
    <row r="121" spans="1:30" ht="128.25" customHeight="1">
      <c r="A121" s="4" t="s">
        <v>1655</v>
      </c>
      <c r="B121" s="4" t="s">
        <v>54</v>
      </c>
      <c r="C121" s="4" t="s">
        <v>1656</v>
      </c>
      <c r="D121" s="4" t="s">
        <v>1657</v>
      </c>
      <c r="E121" s="4" t="s">
        <v>121</v>
      </c>
      <c r="F121" s="4" t="s">
        <v>1136</v>
      </c>
      <c r="G121" s="6"/>
      <c r="H121" s="4" t="s">
        <v>57</v>
      </c>
      <c r="I121" s="4" t="s">
        <v>87</v>
      </c>
      <c r="J121" s="4" t="s">
        <v>38</v>
      </c>
      <c r="K121" s="4" t="str">
        <f t="shared" ca="1" si="3"/>
        <v>Sin fecha</v>
      </c>
      <c r="L121" s="8" t="s">
        <v>1199</v>
      </c>
      <c r="M121" s="8" t="s">
        <v>1199</v>
      </c>
      <c r="N121" s="4" t="s">
        <v>197</v>
      </c>
      <c r="O121" s="4" t="s">
        <v>1658</v>
      </c>
      <c r="P121" s="4" t="s">
        <v>124</v>
      </c>
      <c r="Q121" s="4" t="s">
        <v>1659</v>
      </c>
      <c r="R121" s="4" t="s">
        <v>313</v>
      </c>
      <c r="S121" s="4" t="s">
        <v>1660</v>
      </c>
      <c r="T121" s="4" t="s">
        <v>44</v>
      </c>
      <c r="U121" s="4" t="s">
        <v>1661</v>
      </c>
      <c r="V121" s="4" t="s">
        <v>1662</v>
      </c>
      <c r="W121" s="4" t="s">
        <v>1663</v>
      </c>
      <c r="X121" s="4" t="s">
        <v>1664</v>
      </c>
      <c r="Y121" s="4" t="s">
        <v>1665</v>
      </c>
      <c r="Z121" s="4" t="s">
        <v>1666</v>
      </c>
      <c r="AA121" s="4"/>
      <c r="AB121" s="6">
        <v>46238</v>
      </c>
      <c r="AC121" s="4" t="s">
        <v>1667</v>
      </c>
      <c r="AD121" s="4" t="s">
        <v>1668</v>
      </c>
    </row>
    <row r="122" spans="1:30">
      <c r="A122" s="4" t="str">
        <f t="shared" ref="A122:A128" si="4">IF(C122="","","OP-"&amp;TEXT(ROW()-1,"0000"))</f>
        <v/>
      </c>
      <c r="B122" s="4"/>
      <c r="C122" s="4"/>
      <c r="D122" s="4"/>
      <c r="E122" s="4"/>
      <c r="F122" s="4"/>
      <c r="G122" s="6"/>
      <c r="H122" s="4"/>
      <c r="I122" s="4"/>
      <c r="J122" s="4"/>
      <c r="K122" s="4" t="str">
        <f t="shared" ca="1" si="3"/>
        <v>Sin fecha</v>
      </c>
      <c r="L122" s="8"/>
      <c r="M122" s="8"/>
      <c r="N122" s="4"/>
      <c r="O122" s="4"/>
      <c r="P122" s="4"/>
      <c r="Q122" s="4"/>
      <c r="R122" s="4"/>
      <c r="S122" s="4"/>
      <c r="T122" s="4"/>
      <c r="U122" s="4"/>
      <c r="V122" s="4"/>
      <c r="W122" s="4"/>
      <c r="X122" s="4"/>
      <c r="Y122" s="4"/>
      <c r="Z122" s="4"/>
      <c r="AA122" s="4"/>
      <c r="AB122" s="6"/>
      <c r="AC122" s="4"/>
      <c r="AD122" s="4"/>
    </row>
    <row r="123" spans="1:30">
      <c r="A123" s="4" t="str">
        <f t="shared" si="4"/>
        <v/>
      </c>
      <c r="B123" s="4"/>
      <c r="C123" s="4"/>
      <c r="D123" s="4"/>
      <c r="E123" s="4"/>
      <c r="F123" s="4"/>
      <c r="G123" s="6"/>
      <c r="H123" s="4"/>
      <c r="I123" s="4"/>
      <c r="J123" s="4"/>
      <c r="K123" s="4" t="str">
        <f t="shared" ca="1" si="3"/>
        <v>Sin fecha</v>
      </c>
      <c r="L123" s="8"/>
      <c r="M123" s="8"/>
      <c r="N123" s="4"/>
      <c r="O123" s="4"/>
      <c r="P123" s="4"/>
      <c r="Q123" s="4"/>
      <c r="R123" s="4"/>
      <c r="S123" s="4"/>
      <c r="T123" s="4"/>
      <c r="U123" s="4"/>
      <c r="V123" s="4"/>
      <c r="W123" s="4"/>
      <c r="X123" s="4"/>
      <c r="Y123" s="4"/>
      <c r="Z123" s="4"/>
      <c r="AA123" s="4"/>
      <c r="AB123" s="6"/>
      <c r="AC123" s="4"/>
      <c r="AD123" s="4"/>
    </row>
    <row r="124" spans="1:30">
      <c r="A124" s="4" t="str">
        <f t="shared" si="4"/>
        <v/>
      </c>
      <c r="B124" s="4"/>
      <c r="C124" s="4"/>
      <c r="D124" s="4"/>
      <c r="E124" s="4"/>
      <c r="F124" s="4"/>
      <c r="G124" s="6"/>
      <c r="H124" s="4"/>
      <c r="I124" s="4"/>
      <c r="J124" s="4"/>
      <c r="K124" s="4" t="str">
        <f t="shared" ca="1" si="3"/>
        <v>Sin fecha</v>
      </c>
      <c r="L124" s="8"/>
      <c r="M124" s="8"/>
      <c r="N124" s="4"/>
      <c r="O124" s="4"/>
      <c r="P124" s="4"/>
      <c r="Q124" s="4"/>
      <c r="R124" s="4"/>
      <c r="S124" s="4"/>
      <c r="T124" s="4"/>
      <c r="U124" s="4"/>
      <c r="V124" s="4"/>
      <c r="W124" s="4"/>
      <c r="X124" s="4"/>
      <c r="Y124" s="4"/>
      <c r="Z124" s="4"/>
      <c r="AA124" s="4"/>
      <c r="AB124" s="6"/>
      <c r="AC124" s="4"/>
      <c r="AD124" s="4"/>
    </row>
    <row r="125" spans="1:30">
      <c r="A125" s="4" t="str">
        <f t="shared" si="4"/>
        <v/>
      </c>
      <c r="B125" s="4"/>
      <c r="C125" s="4"/>
      <c r="D125" s="4"/>
      <c r="E125" s="4"/>
      <c r="F125" s="4"/>
      <c r="G125" s="6"/>
      <c r="H125" s="4"/>
      <c r="I125" s="4"/>
      <c r="J125" s="4"/>
      <c r="K125" s="4" t="str">
        <f t="shared" ca="1" si="3"/>
        <v>Sin fecha</v>
      </c>
      <c r="L125" s="8"/>
      <c r="M125" s="8"/>
      <c r="N125" s="4"/>
      <c r="O125" s="4"/>
      <c r="P125" s="4"/>
      <c r="Q125" s="4"/>
      <c r="R125" s="4"/>
      <c r="S125" s="4"/>
      <c r="T125" s="4"/>
      <c r="U125" s="4"/>
      <c r="V125" s="4"/>
      <c r="W125" s="4"/>
      <c r="X125" s="4"/>
      <c r="Y125" s="4"/>
      <c r="Z125" s="4"/>
      <c r="AA125" s="4"/>
      <c r="AB125" s="6"/>
      <c r="AC125" s="4"/>
      <c r="AD125" s="4"/>
    </row>
    <row r="126" spans="1:30">
      <c r="A126" s="4" t="str">
        <f t="shared" si="4"/>
        <v/>
      </c>
      <c r="B126" s="4"/>
      <c r="C126" s="4"/>
      <c r="D126" s="4"/>
      <c r="E126" s="4"/>
      <c r="F126" s="4"/>
      <c r="G126" s="6"/>
      <c r="H126" s="4"/>
      <c r="I126" s="4"/>
      <c r="J126" s="4"/>
      <c r="K126" s="4" t="str">
        <f t="shared" ca="1" si="3"/>
        <v>Sin fecha</v>
      </c>
      <c r="L126" s="8"/>
      <c r="M126" s="8"/>
      <c r="N126" s="4"/>
      <c r="O126" s="4"/>
      <c r="P126" s="4"/>
      <c r="Q126" s="4"/>
      <c r="R126" s="4"/>
      <c r="S126" s="4"/>
      <c r="T126" s="4"/>
      <c r="U126" s="4"/>
      <c r="V126" s="4"/>
      <c r="W126" s="4"/>
      <c r="X126" s="4"/>
      <c r="Y126" s="4"/>
      <c r="Z126" s="4"/>
      <c r="AA126" s="4"/>
      <c r="AB126" s="6"/>
      <c r="AC126" s="4"/>
      <c r="AD126" s="4"/>
    </row>
    <row r="127" spans="1:30">
      <c r="A127" s="4" t="str">
        <f t="shared" si="4"/>
        <v/>
      </c>
      <c r="B127" s="4"/>
      <c r="C127" s="4"/>
      <c r="D127" s="4"/>
      <c r="E127" s="4"/>
      <c r="F127" s="4"/>
      <c r="G127" s="6"/>
      <c r="H127" s="4"/>
      <c r="I127" s="4"/>
      <c r="J127" s="4"/>
      <c r="K127" s="4" t="str">
        <f t="shared" ca="1" si="3"/>
        <v>Sin fecha</v>
      </c>
      <c r="L127" s="8"/>
      <c r="M127" s="8"/>
      <c r="N127" s="4"/>
      <c r="O127" s="4"/>
      <c r="P127" s="4"/>
      <c r="Q127" s="4"/>
      <c r="R127" s="4"/>
      <c r="S127" s="4"/>
      <c r="T127" s="4"/>
      <c r="U127" s="4"/>
      <c r="V127" s="4"/>
      <c r="W127" s="4"/>
      <c r="X127" s="4"/>
      <c r="Y127" s="4"/>
      <c r="Z127" s="4"/>
      <c r="AA127" s="4"/>
      <c r="AB127" s="6"/>
      <c r="AC127" s="4"/>
      <c r="AD127" s="4"/>
    </row>
    <row r="128" spans="1:30">
      <c r="A128" s="4" t="str">
        <f t="shared" si="4"/>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2026-08-04T19:29:51Z</dcterms:modified>
</cp:coreProperties>
</file>