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ramirez\OneDrive\UNPHU\Fuentes Financiacion Externas 2026\"/>
    </mc:Choice>
  </mc:AlternateContent>
  <xr:revisionPtr revIDLastSave="4" documentId="13_ncr:1_{1C8BC400-E995-42A4-AD2F-852A6B3ABAD0}" xr6:coauthVersionLast="36" xr6:coauthVersionMax="36" xr10:uidLastSave="{0F0C9F12-A666-4DF3-BD4A-93AE0CB7FE66}"/>
  <bookViews>
    <workbookView xWindow="0" yWindow="0" windowWidth="28800" windowHeight="12105" xr2:uid="{00000000-000D-0000-FFFF-FFFF00000000}"/>
  </bookViews>
  <sheets>
    <sheet name="Oportunidades" sheetId="1" r:id="rId1"/>
    <sheet name="Catálogos" sheetId="2" r:id="rId2"/>
    <sheet name="Guía de uso" sheetId="3" r:id="rId3"/>
  </sheets>
  <definedNames>
    <definedName name="ListaPaises">Catálogos!$J$2:INDEX(Catálogos!$J:$J,COUNTA(Catálogos!$J:$J))</definedName>
  </definedNames>
  <calcPr calcId="191029"/>
</workbook>
</file>

<file path=xl/calcChain.xml><?xml version="1.0" encoding="utf-8"?>
<calcChain xmlns="http://schemas.openxmlformats.org/spreadsheetml/2006/main">
  <c r="K499" i="1" l="1"/>
  <c r="A499" i="1"/>
  <c r="K498" i="1"/>
  <c r="A498" i="1"/>
  <c r="K497" i="1"/>
  <c r="A497" i="1"/>
  <c r="K496" i="1"/>
  <c r="A496" i="1"/>
  <c r="K495" i="1"/>
  <c r="A495" i="1"/>
  <c r="K494" i="1"/>
  <c r="A494" i="1"/>
  <c r="K493" i="1"/>
  <c r="A493" i="1"/>
  <c r="K492" i="1"/>
  <c r="A492" i="1"/>
  <c r="K491" i="1"/>
  <c r="A491" i="1"/>
  <c r="K490" i="1"/>
  <c r="A490" i="1"/>
  <c r="K489" i="1"/>
  <c r="A489" i="1"/>
  <c r="K488" i="1"/>
  <c r="A488" i="1"/>
  <c r="K487" i="1"/>
  <c r="A487" i="1"/>
  <c r="K486" i="1"/>
  <c r="A486" i="1"/>
  <c r="K485" i="1"/>
  <c r="A485" i="1"/>
  <c r="K484" i="1"/>
  <c r="A484" i="1"/>
  <c r="K483" i="1"/>
  <c r="A483" i="1"/>
  <c r="K482" i="1"/>
  <c r="A482" i="1"/>
  <c r="K481" i="1"/>
  <c r="A481" i="1"/>
  <c r="K480" i="1"/>
  <c r="A480" i="1"/>
  <c r="K479" i="1"/>
  <c r="A479" i="1"/>
  <c r="K478" i="1"/>
  <c r="A478" i="1"/>
  <c r="K477" i="1"/>
  <c r="A477" i="1"/>
  <c r="K476" i="1"/>
  <c r="A476" i="1"/>
  <c r="K475" i="1"/>
  <c r="A475" i="1"/>
  <c r="K474" i="1"/>
  <c r="A474" i="1"/>
  <c r="K473" i="1"/>
  <c r="A473" i="1"/>
  <c r="K472" i="1"/>
  <c r="A472" i="1"/>
  <c r="K471" i="1"/>
  <c r="A471" i="1"/>
  <c r="K470" i="1"/>
  <c r="A470" i="1"/>
  <c r="K469" i="1"/>
  <c r="A469" i="1"/>
  <c r="K468" i="1"/>
  <c r="A468" i="1"/>
  <c r="K467" i="1"/>
  <c r="A467" i="1"/>
  <c r="K466" i="1"/>
  <c r="A466" i="1"/>
  <c r="K465" i="1"/>
  <c r="A465" i="1"/>
  <c r="K464" i="1"/>
  <c r="A464" i="1"/>
  <c r="K463" i="1"/>
  <c r="A463" i="1"/>
  <c r="K462" i="1"/>
  <c r="A462" i="1"/>
  <c r="K461" i="1"/>
  <c r="A461" i="1"/>
  <c r="K460" i="1"/>
  <c r="A460" i="1"/>
  <c r="K459" i="1"/>
  <c r="A459" i="1"/>
  <c r="K458" i="1"/>
  <c r="A458" i="1"/>
  <c r="K457" i="1"/>
  <c r="A457" i="1"/>
  <c r="K456" i="1"/>
  <c r="A456" i="1"/>
  <c r="K455" i="1"/>
  <c r="A455" i="1"/>
  <c r="K454" i="1"/>
  <c r="A454" i="1"/>
  <c r="K453" i="1"/>
  <c r="A453" i="1"/>
  <c r="K452" i="1"/>
  <c r="A452" i="1"/>
  <c r="K451" i="1"/>
  <c r="A451" i="1"/>
  <c r="K450" i="1"/>
  <c r="A450" i="1"/>
  <c r="K449" i="1"/>
  <c r="A449" i="1"/>
  <c r="K448" i="1"/>
  <c r="A448" i="1"/>
  <c r="K447" i="1"/>
  <c r="A447" i="1"/>
  <c r="K446" i="1"/>
  <c r="A446" i="1"/>
  <c r="K445" i="1"/>
  <c r="A445" i="1"/>
  <c r="K444" i="1"/>
  <c r="A444" i="1"/>
  <c r="K443" i="1"/>
  <c r="A443" i="1"/>
  <c r="K442" i="1"/>
  <c r="A442" i="1"/>
  <c r="K441" i="1"/>
  <c r="A441" i="1"/>
  <c r="K440" i="1"/>
  <c r="A440" i="1"/>
  <c r="K439" i="1"/>
  <c r="A439" i="1"/>
  <c r="K438" i="1"/>
  <c r="A438" i="1"/>
  <c r="K437" i="1"/>
  <c r="A437" i="1"/>
  <c r="K436" i="1"/>
  <c r="A436" i="1"/>
  <c r="K435" i="1"/>
  <c r="A435" i="1"/>
  <c r="K434" i="1"/>
  <c r="A434" i="1"/>
  <c r="K433" i="1"/>
  <c r="A433" i="1"/>
  <c r="K432" i="1"/>
  <c r="A432" i="1"/>
  <c r="K431" i="1"/>
  <c r="A431" i="1"/>
  <c r="K430" i="1"/>
  <c r="A430" i="1"/>
  <c r="K429" i="1"/>
  <c r="A429" i="1"/>
  <c r="K428" i="1"/>
  <c r="A428" i="1"/>
  <c r="K427" i="1"/>
  <c r="A427" i="1"/>
  <c r="K426" i="1"/>
  <c r="A426" i="1"/>
  <c r="K425" i="1"/>
  <c r="A425" i="1"/>
  <c r="K424" i="1"/>
  <c r="A424" i="1"/>
  <c r="K423" i="1"/>
  <c r="A423" i="1"/>
  <c r="K422" i="1"/>
  <c r="A422" i="1"/>
  <c r="K421" i="1"/>
  <c r="A421" i="1"/>
  <c r="K420" i="1"/>
  <c r="A420" i="1"/>
  <c r="K419" i="1"/>
  <c r="A419" i="1"/>
  <c r="K418" i="1"/>
  <c r="A418" i="1"/>
  <c r="K417" i="1"/>
  <c r="A417" i="1"/>
  <c r="K416" i="1"/>
  <c r="A416" i="1"/>
  <c r="K415" i="1"/>
  <c r="A415" i="1"/>
  <c r="K414" i="1"/>
  <c r="A414" i="1"/>
  <c r="K413" i="1"/>
  <c r="A413" i="1"/>
  <c r="K412" i="1"/>
  <c r="A412" i="1"/>
  <c r="K411" i="1"/>
  <c r="A411" i="1"/>
  <c r="K410" i="1"/>
  <c r="A410" i="1"/>
  <c r="K409" i="1"/>
  <c r="A409" i="1"/>
  <c r="K408" i="1"/>
  <c r="A408" i="1"/>
  <c r="K407" i="1"/>
  <c r="A407" i="1"/>
  <c r="K406" i="1"/>
  <c r="A406" i="1"/>
  <c r="K405" i="1"/>
  <c r="A405" i="1"/>
  <c r="K404" i="1"/>
  <c r="A404" i="1"/>
  <c r="K403" i="1"/>
  <c r="A403" i="1"/>
  <c r="K402" i="1"/>
  <c r="A402" i="1"/>
  <c r="K401" i="1"/>
  <c r="A401" i="1"/>
  <c r="K400" i="1"/>
  <c r="A400" i="1"/>
  <c r="K399" i="1"/>
  <c r="A399" i="1"/>
  <c r="K398" i="1"/>
  <c r="A398" i="1"/>
  <c r="K397" i="1"/>
  <c r="A397" i="1"/>
  <c r="K396" i="1"/>
  <c r="A396" i="1"/>
  <c r="K395" i="1"/>
  <c r="A395" i="1"/>
  <c r="K394" i="1"/>
  <c r="A394" i="1"/>
  <c r="K393" i="1"/>
  <c r="A393" i="1"/>
  <c r="K392" i="1"/>
  <c r="A392" i="1"/>
  <c r="K391" i="1"/>
  <c r="A391" i="1"/>
  <c r="K390" i="1"/>
  <c r="A390" i="1"/>
  <c r="K389" i="1"/>
  <c r="A389" i="1"/>
  <c r="K388" i="1"/>
  <c r="A388" i="1"/>
  <c r="K387" i="1"/>
  <c r="A387" i="1"/>
  <c r="K386" i="1"/>
  <c r="A386" i="1"/>
  <c r="K385" i="1"/>
  <c r="A385" i="1"/>
  <c r="K384" i="1"/>
  <c r="A384" i="1"/>
  <c r="K383" i="1"/>
  <c r="A383" i="1"/>
  <c r="K382" i="1"/>
  <c r="A382" i="1"/>
  <c r="K381" i="1"/>
  <c r="A381" i="1"/>
  <c r="K380" i="1"/>
  <c r="A380" i="1"/>
  <c r="K379" i="1"/>
  <c r="A379" i="1"/>
  <c r="K378" i="1"/>
  <c r="A378" i="1"/>
  <c r="K377" i="1"/>
  <c r="A377" i="1"/>
  <c r="K376" i="1"/>
  <c r="A376" i="1"/>
  <c r="K375" i="1"/>
  <c r="A375" i="1"/>
  <c r="K374" i="1"/>
  <c r="A374" i="1"/>
  <c r="K373" i="1"/>
  <c r="A373" i="1"/>
  <c r="K372" i="1"/>
  <c r="A372" i="1"/>
  <c r="K371" i="1"/>
  <c r="A371" i="1"/>
  <c r="K370" i="1"/>
  <c r="A370" i="1"/>
  <c r="K369" i="1"/>
  <c r="A369" i="1"/>
  <c r="K368" i="1"/>
  <c r="A368" i="1"/>
  <c r="K367" i="1"/>
  <c r="A367" i="1"/>
  <c r="K366" i="1"/>
  <c r="A366" i="1"/>
  <c r="K365" i="1"/>
  <c r="A365" i="1"/>
  <c r="K364" i="1"/>
  <c r="A364" i="1"/>
  <c r="K363" i="1"/>
  <c r="A363" i="1"/>
  <c r="K362" i="1"/>
  <c r="A362" i="1"/>
  <c r="K361" i="1"/>
  <c r="A361" i="1"/>
  <c r="K360" i="1"/>
  <c r="A360" i="1"/>
  <c r="K359" i="1"/>
  <c r="A359" i="1"/>
  <c r="K358" i="1"/>
  <c r="A358" i="1"/>
  <c r="K357" i="1"/>
  <c r="A357" i="1"/>
  <c r="K356" i="1"/>
  <c r="A356" i="1"/>
  <c r="K355" i="1"/>
  <c r="A355" i="1"/>
  <c r="K354" i="1"/>
  <c r="A354" i="1"/>
  <c r="K353" i="1"/>
  <c r="A353" i="1"/>
  <c r="K352" i="1"/>
  <c r="A352" i="1"/>
  <c r="K351" i="1"/>
  <c r="A351" i="1"/>
  <c r="K350" i="1"/>
  <c r="A350" i="1"/>
  <c r="K349" i="1"/>
  <c r="A349" i="1"/>
  <c r="K348" i="1"/>
  <c r="A348" i="1"/>
  <c r="K347" i="1"/>
  <c r="A347" i="1"/>
  <c r="K346" i="1"/>
  <c r="A346" i="1"/>
  <c r="K345" i="1"/>
  <c r="A345" i="1"/>
  <c r="K344" i="1"/>
  <c r="A344" i="1"/>
  <c r="K343" i="1"/>
  <c r="A343" i="1"/>
  <c r="K342" i="1"/>
  <c r="A342" i="1"/>
  <c r="K341" i="1"/>
  <c r="A341" i="1"/>
  <c r="K340" i="1"/>
  <c r="A340" i="1"/>
  <c r="K339" i="1"/>
  <c r="A339" i="1"/>
  <c r="K338" i="1"/>
  <c r="A338" i="1"/>
  <c r="K337" i="1"/>
  <c r="A337" i="1"/>
  <c r="K336" i="1"/>
  <c r="A336" i="1"/>
  <c r="K335" i="1"/>
  <c r="A335" i="1"/>
  <c r="K334" i="1"/>
  <c r="A334" i="1"/>
  <c r="K333" i="1"/>
  <c r="A333" i="1"/>
  <c r="K332" i="1"/>
  <c r="A332" i="1"/>
  <c r="K331" i="1"/>
  <c r="A331" i="1"/>
  <c r="K330" i="1"/>
  <c r="A330" i="1"/>
  <c r="K329" i="1"/>
  <c r="A329" i="1"/>
  <c r="K328" i="1"/>
  <c r="A328" i="1"/>
  <c r="K327" i="1"/>
  <c r="A327" i="1"/>
  <c r="K326" i="1"/>
  <c r="A326" i="1"/>
  <c r="K325" i="1"/>
  <c r="A325" i="1"/>
  <c r="K324" i="1"/>
  <c r="A324" i="1"/>
  <c r="K323" i="1"/>
  <c r="A323" i="1"/>
  <c r="K322" i="1"/>
  <c r="A322" i="1"/>
  <c r="K321" i="1"/>
  <c r="A321" i="1"/>
  <c r="K320" i="1"/>
  <c r="A320" i="1"/>
  <c r="K319" i="1"/>
  <c r="A319" i="1"/>
  <c r="K318" i="1"/>
  <c r="A318" i="1"/>
  <c r="K317" i="1"/>
  <c r="A317" i="1"/>
  <c r="K316" i="1"/>
  <c r="A316" i="1"/>
  <c r="K315" i="1"/>
  <c r="A315" i="1"/>
  <c r="K314" i="1"/>
  <c r="A314" i="1"/>
  <c r="K313" i="1"/>
  <c r="A313" i="1"/>
  <c r="K312" i="1"/>
  <c r="A312" i="1"/>
  <c r="K311" i="1"/>
  <c r="A311" i="1"/>
  <c r="K310" i="1"/>
  <c r="A310" i="1"/>
  <c r="K309" i="1"/>
  <c r="A309" i="1"/>
  <c r="K308" i="1"/>
  <c r="A308" i="1"/>
  <c r="K307" i="1"/>
  <c r="A307" i="1"/>
  <c r="K306" i="1"/>
  <c r="A306" i="1"/>
  <c r="K305" i="1"/>
  <c r="A305" i="1"/>
  <c r="K304" i="1"/>
  <c r="A304" i="1"/>
  <c r="K303" i="1"/>
  <c r="A303" i="1"/>
  <c r="K302" i="1"/>
  <c r="A302" i="1"/>
  <c r="K301" i="1"/>
  <c r="A301" i="1"/>
  <c r="K300" i="1"/>
  <c r="A300" i="1"/>
  <c r="K299" i="1"/>
  <c r="A299" i="1"/>
  <c r="K298" i="1"/>
  <c r="A298" i="1"/>
  <c r="K297" i="1"/>
  <c r="A297" i="1"/>
  <c r="K296" i="1"/>
  <c r="A296" i="1"/>
  <c r="K295" i="1"/>
  <c r="A295" i="1"/>
  <c r="K294" i="1"/>
  <c r="A294" i="1"/>
  <c r="K293" i="1"/>
  <c r="A293" i="1"/>
  <c r="K292" i="1"/>
  <c r="A292" i="1"/>
  <c r="K291" i="1"/>
  <c r="A291" i="1"/>
  <c r="K290" i="1"/>
  <c r="A290" i="1"/>
  <c r="K289" i="1"/>
  <c r="A289" i="1"/>
  <c r="K288" i="1"/>
  <c r="A288" i="1"/>
  <c r="K287" i="1"/>
  <c r="A287" i="1"/>
  <c r="K286" i="1"/>
  <c r="A286" i="1"/>
  <c r="K285" i="1"/>
  <c r="A285" i="1"/>
  <c r="K284" i="1"/>
  <c r="A284" i="1"/>
  <c r="K283" i="1"/>
  <c r="A283" i="1"/>
  <c r="K282" i="1"/>
  <c r="A282" i="1"/>
  <c r="K281" i="1"/>
  <c r="A281" i="1"/>
  <c r="K280" i="1"/>
  <c r="A280" i="1"/>
  <c r="K279" i="1"/>
  <c r="A279" i="1"/>
  <c r="K278" i="1"/>
  <c r="A278" i="1"/>
  <c r="K277" i="1"/>
  <c r="A277" i="1"/>
  <c r="K276" i="1"/>
  <c r="A276" i="1"/>
  <c r="K275" i="1"/>
  <c r="A275" i="1"/>
  <c r="K274" i="1"/>
  <c r="A274" i="1"/>
  <c r="K273" i="1"/>
  <c r="A273" i="1"/>
  <c r="K272" i="1"/>
  <c r="A272" i="1"/>
  <c r="K271" i="1"/>
  <c r="A271" i="1"/>
  <c r="K270" i="1"/>
  <c r="A270" i="1"/>
  <c r="K269" i="1"/>
  <c r="A269" i="1"/>
  <c r="K268" i="1"/>
  <c r="A268" i="1"/>
  <c r="K267" i="1"/>
  <c r="A267" i="1"/>
  <c r="K266" i="1"/>
  <c r="A266" i="1"/>
  <c r="K265" i="1"/>
  <c r="A265" i="1"/>
  <c r="K264" i="1"/>
  <c r="A264" i="1"/>
  <c r="K263" i="1"/>
  <c r="A263" i="1"/>
  <c r="K262" i="1"/>
  <c r="A262" i="1"/>
  <c r="K261" i="1"/>
  <c r="A261" i="1"/>
  <c r="K260" i="1"/>
  <c r="A260" i="1"/>
  <c r="K259" i="1"/>
  <c r="A259" i="1"/>
  <c r="K258" i="1"/>
  <c r="A258" i="1"/>
  <c r="K257" i="1"/>
  <c r="A257" i="1"/>
  <c r="K256" i="1"/>
  <c r="A256" i="1"/>
  <c r="K255" i="1"/>
  <c r="A255" i="1"/>
  <c r="K254" i="1"/>
  <c r="A254" i="1"/>
  <c r="K253" i="1"/>
  <c r="A253" i="1"/>
  <c r="K252" i="1"/>
  <c r="A252" i="1"/>
  <c r="K251" i="1"/>
  <c r="A251" i="1"/>
  <c r="K250" i="1"/>
  <c r="A250" i="1"/>
  <c r="K249" i="1"/>
  <c r="A249" i="1"/>
  <c r="K248" i="1"/>
  <c r="A248" i="1"/>
  <c r="K247" i="1"/>
  <c r="A247" i="1"/>
  <c r="K246" i="1"/>
  <c r="A246" i="1"/>
  <c r="K245" i="1"/>
  <c r="A245" i="1"/>
  <c r="K244" i="1"/>
  <c r="A244" i="1"/>
  <c r="K243" i="1"/>
  <c r="A243" i="1"/>
  <c r="K242" i="1"/>
  <c r="A242" i="1"/>
  <c r="K241" i="1"/>
  <c r="A241" i="1"/>
  <c r="K240" i="1"/>
  <c r="A240" i="1"/>
  <c r="K239" i="1"/>
  <c r="A239" i="1"/>
  <c r="K238" i="1"/>
  <c r="A238" i="1"/>
  <c r="K237" i="1"/>
  <c r="A237" i="1"/>
  <c r="K236" i="1"/>
  <c r="A236" i="1"/>
  <c r="K235" i="1"/>
  <c r="A235" i="1"/>
  <c r="K234" i="1"/>
  <c r="A234" i="1"/>
  <c r="K233" i="1"/>
  <c r="A233" i="1"/>
  <c r="K232" i="1"/>
  <c r="A232" i="1"/>
  <c r="K231" i="1"/>
  <c r="A231" i="1"/>
  <c r="K230" i="1"/>
  <c r="A230" i="1"/>
  <c r="K229" i="1"/>
  <c r="A229" i="1"/>
  <c r="K228" i="1"/>
  <c r="A228" i="1"/>
  <c r="K227" i="1"/>
  <c r="A227" i="1"/>
  <c r="K226" i="1"/>
  <c r="A226" i="1"/>
  <c r="K225" i="1"/>
  <c r="A225" i="1"/>
  <c r="K224" i="1"/>
  <c r="A224" i="1"/>
  <c r="K223" i="1"/>
  <c r="A223" i="1"/>
  <c r="K222" i="1"/>
  <c r="A222" i="1"/>
  <c r="K221" i="1"/>
  <c r="A221" i="1"/>
  <c r="K220" i="1"/>
  <c r="A220" i="1"/>
  <c r="K219" i="1"/>
  <c r="A219" i="1"/>
  <c r="K218" i="1"/>
  <c r="A218" i="1"/>
  <c r="K217" i="1"/>
  <c r="A217" i="1"/>
  <c r="K216" i="1"/>
  <c r="A216" i="1"/>
  <c r="K215" i="1"/>
  <c r="A215" i="1"/>
  <c r="K214" i="1"/>
  <c r="A214" i="1"/>
  <c r="K213" i="1"/>
  <c r="A213" i="1"/>
  <c r="K212" i="1"/>
  <c r="A212" i="1"/>
  <c r="K211" i="1"/>
  <c r="A211" i="1"/>
  <c r="K210" i="1"/>
  <c r="A210" i="1"/>
  <c r="K209" i="1"/>
  <c r="A209" i="1"/>
  <c r="K208" i="1"/>
  <c r="A208" i="1"/>
  <c r="K207" i="1"/>
  <c r="A207" i="1"/>
  <c r="K206" i="1"/>
  <c r="A206" i="1"/>
  <c r="K205" i="1"/>
  <c r="A205" i="1"/>
  <c r="K204" i="1"/>
  <c r="A204" i="1"/>
  <c r="K203" i="1"/>
  <c r="A203" i="1"/>
  <c r="K202" i="1"/>
  <c r="A202" i="1"/>
  <c r="K201" i="1"/>
  <c r="A201" i="1"/>
  <c r="K200" i="1"/>
  <c r="A200" i="1"/>
  <c r="K199" i="1"/>
  <c r="A199" i="1"/>
  <c r="K198" i="1"/>
  <c r="A198" i="1"/>
  <c r="K197" i="1"/>
  <c r="A197" i="1"/>
  <c r="K196" i="1"/>
  <c r="A196" i="1"/>
  <c r="K195" i="1"/>
  <c r="A195" i="1"/>
  <c r="K194" i="1"/>
  <c r="A194" i="1"/>
  <c r="K193" i="1"/>
  <c r="A193" i="1"/>
  <c r="K192" i="1"/>
  <c r="A192" i="1"/>
  <c r="K191" i="1"/>
  <c r="A191" i="1"/>
  <c r="K190" i="1"/>
  <c r="A190" i="1"/>
  <c r="K189" i="1"/>
  <c r="A189" i="1"/>
  <c r="K188" i="1"/>
  <c r="A188" i="1"/>
  <c r="K187" i="1"/>
  <c r="A187" i="1"/>
  <c r="K186" i="1"/>
  <c r="A186" i="1"/>
  <c r="K185" i="1"/>
  <c r="A185" i="1"/>
  <c r="K184" i="1"/>
  <c r="A184" i="1"/>
  <c r="K183" i="1"/>
  <c r="A183" i="1"/>
  <c r="K182" i="1"/>
  <c r="A182" i="1"/>
  <c r="K181" i="1"/>
  <c r="A181" i="1"/>
  <c r="K180" i="1"/>
  <c r="A180" i="1"/>
  <c r="K179" i="1"/>
  <c r="A179" i="1"/>
  <c r="K178" i="1"/>
  <c r="A178" i="1"/>
  <c r="K177" i="1"/>
  <c r="A177" i="1"/>
  <c r="K176" i="1"/>
  <c r="A176" i="1"/>
  <c r="K175" i="1"/>
  <c r="A175" i="1"/>
  <c r="K174" i="1"/>
  <c r="A174" i="1"/>
  <c r="K173" i="1"/>
  <c r="A173" i="1"/>
  <c r="K172" i="1"/>
  <c r="A172" i="1"/>
  <c r="K171" i="1"/>
  <c r="A171" i="1"/>
  <c r="K170" i="1"/>
  <c r="A170" i="1"/>
  <c r="K169" i="1"/>
  <c r="A169" i="1"/>
  <c r="K168" i="1"/>
  <c r="A168" i="1"/>
  <c r="K167" i="1"/>
  <c r="A167" i="1"/>
  <c r="K166" i="1"/>
  <c r="A166" i="1"/>
  <c r="K165" i="1"/>
  <c r="A165" i="1"/>
  <c r="K164" i="1"/>
  <c r="A164" i="1"/>
  <c r="K163" i="1"/>
  <c r="A163" i="1"/>
  <c r="K162" i="1"/>
  <c r="A162" i="1"/>
  <c r="K161" i="1"/>
  <c r="A161" i="1"/>
  <c r="K160" i="1"/>
  <c r="A160" i="1"/>
  <c r="K159" i="1"/>
  <c r="A159" i="1"/>
  <c r="K158" i="1"/>
  <c r="A158" i="1"/>
  <c r="K157" i="1"/>
  <c r="A157" i="1"/>
  <c r="K156" i="1"/>
  <c r="A156" i="1"/>
  <c r="K155" i="1"/>
  <c r="A155" i="1"/>
  <c r="K154" i="1"/>
  <c r="A154" i="1"/>
  <c r="K153" i="1"/>
  <c r="A153" i="1"/>
  <c r="K152" i="1"/>
  <c r="A152" i="1"/>
  <c r="K151" i="1"/>
  <c r="A151" i="1"/>
  <c r="K150" i="1"/>
  <c r="A150" i="1"/>
  <c r="K149" i="1"/>
  <c r="A149" i="1"/>
  <c r="K148" i="1"/>
  <c r="A148" i="1"/>
  <c r="K147" i="1"/>
  <c r="A147" i="1"/>
  <c r="K146" i="1"/>
  <c r="A146" i="1"/>
  <c r="K145" i="1"/>
  <c r="A145" i="1"/>
  <c r="K144" i="1"/>
  <c r="A144" i="1"/>
  <c r="K143" i="1"/>
  <c r="A143" i="1"/>
  <c r="K142" i="1"/>
  <c r="A142" i="1"/>
  <c r="K141" i="1"/>
  <c r="A141" i="1"/>
  <c r="K140" i="1"/>
  <c r="A140" i="1"/>
  <c r="K139" i="1"/>
  <c r="A139" i="1"/>
  <c r="K138" i="1"/>
  <c r="A138" i="1"/>
  <c r="K137" i="1"/>
  <c r="A137" i="1"/>
  <c r="K136" i="1"/>
  <c r="A136" i="1"/>
  <c r="K135" i="1"/>
  <c r="A135" i="1"/>
  <c r="K134" i="1"/>
  <c r="A134" i="1"/>
  <c r="K133" i="1"/>
  <c r="A133" i="1"/>
  <c r="K132" i="1"/>
  <c r="A132" i="1"/>
  <c r="K131" i="1"/>
  <c r="A131" i="1"/>
  <c r="K130" i="1"/>
  <c r="A130" i="1"/>
  <c r="K129" i="1"/>
  <c r="A129" i="1"/>
  <c r="K128" i="1"/>
  <c r="A128" i="1"/>
  <c r="K127" i="1"/>
  <c r="A127" i="1"/>
  <c r="K126" i="1"/>
  <c r="A126" i="1"/>
  <c r="K125" i="1"/>
  <c r="A125" i="1"/>
  <c r="K124" i="1"/>
  <c r="A124" i="1"/>
  <c r="K123" i="1"/>
  <c r="A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Z20" i="1"/>
  <c r="K20" i="1"/>
  <c r="Z19" i="1"/>
  <c r="K19" i="1"/>
  <c r="Z18" i="1"/>
  <c r="K18" i="1"/>
  <c r="Z17"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<sst xmlns="http://schemas.openxmlformats.org/spreadsheetml/2006/main" count="3433" uniqueCount="1860">
  <si>
    <t>ID</t>
  </si>
  <si>
    <t>Publicar</t>
  </si>
  <si>
    <t>Título de la oportunidad</t>
  </si>
  <si>
    <t>Financiador</t>
  </si>
  <si>
    <t>Tipo de financiador</t>
  </si>
  <si>
    <t>País del financiador</t>
  </si>
  <si>
    <t>Fecha límite</t>
  </si>
  <si>
    <t>Tipo de fecha</t>
  </si>
  <si>
    <t>Tipo de entrega</t>
  </si>
  <si>
    <t>Estado manual</t>
  </si>
  <si>
    <t>Estado calculado</t>
  </si>
  <si>
    <t>Monto mínimo</t>
  </si>
  <si>
    <t>Monto máximo</t>
  </si>
  <si>
    <t>Moneda</t>
  </si>
  <si>
    <t>Duración</t>
  </si>
  <si>
    <t>Tipo de financiamiento</t>
  </si>
  <si>
    <t>Perfil profesional</t>
  </si>
  <si>
    <t>Tipo de solicitante</t>
  </si>
  <si>
    <t>Ubicación elegible</t>
  </si>
  <si>
    <t>Ciudadanía elegible</t>
  </si>
  <si>
    <t>Área temática principal</t>
  </si>
  <si>
    <t>Palabras clave</t>
  </si>
  <si>
    <t>Resumen</t>
  </si>
  <si>
    <t>Elegibilidad</t>
  </si>
  <si>
    <t>Notas de la convocatoria</t>
  </si>
  <si>
    <t>Enlace oficial</t>
  </si>
  <si>
    <t>Enlace Pivot-RP</t>
  </si>
  <si>
    <t>Fecha de verificación</t>
  </si>
  <si>
    <t>Fuente / responsable</t>
  </si>
  <si>
    <t>Observaciones internas</t>
  </si>
  <si>
    <t>2026-001</t>
  </si>
  <si>
    <t>Si</t>
  </si>
  <si>
    <t>Vision Grants</t>
  </si>
  <si>
    <t>Spencer Foundation</t>
  </si>
  <si>
    <t>Fundación privada</t>
  </si>
  <si>
    <t>Estados Unidos</t>
  </si>
  <si>
    <t>Confirmada</t>
  </si>
  <si>
    <t>Carta de intención</t>
  </si>
  <si>
    <t>Abierta</t>
  </si>
  <si>
    <t>USD</t>
  </si>
  <si>
    <t>12-18 meses</t>
  </si>
  <si>
    <t>Planificacion de investigación</t>
  </si>
  <si>
    <t>Investigador emergente; Investigador establecido</t>
  </si>
  <si>
    <t>Institución académica; ONG</t>
  </si>
  <si>
    <t>Sin restricción</t>
  </si>
  <si>
    <t>Multidisciplinar</t>
  </si>
  <si>
    <t>IA; aprendizaje automático; innovación</t>
  </si>
  <si>
    <t>Financia la planificación de estudios o programas de investigación de gran escala orientados a transformar sistemas educativos mediante colaboración entre investigadores, profesor, comunidades y responsables de políticas.</t>
  </si>
  <si>
    <t>La propuesta debe ser administrada por una organización sin fines de lucro. UNPHU podría presentar institucionalmente.</t>
  </si>
  <si>
    <t>Formulario de intención: 12/08/2026. Propuesta completa: 16/09/2026.</t>
  </si>
  <si>
    <t>https://www.spencer.org/grant_types/vision-grants</t>
  </si>
  <si>
    <t>Spencer Foundation – Vision Grants</t>
  </si>
  <si>
    <t>Excelente para diseñar y validar un sistema de gamificación adaptativa para enseñanza de programación.</t>
  </si>
  <si>
    <t>2026-002</t>
  </si>
  <si>
    <t>Sí</t>
  </si>
  <si>
    <t>AWS Cloud Credit for Research</t>
  </si>
  <si>
    <t>Amazon Web Services</t>
  </si>
  <si>
    <t>Continua</t>
  </si>
  <si>
    <t>Solicitud</t>
  </si>
  <si>
    <t>sin limite</t>
  </si>
  <si>
    <t>12 meses</t>
  </si>
  <si>
    <t>Otro</t>
  </si>
  <si>
    <t>profesor, investigadores y estudiantes de posgrado o doctorado</t>
  </si>
  <si>
    <t>Investigador afiliado a institución 
acreditada</t>
  </si>
  <si>
    <t>IA; Cloud; AWS</t>
  </si>
  <si>
    <t>Proporciona infraestructura en la nube para pruebas de concepto, procesamiento de datos, modelos de IA y herramientas científicas.</t>
  </si>
  <si>
    <t>profesor e investigadores de tiempo completo 
y estudiantes de posgrado de instituciones acreditadas.</t>
  </si>
  <si>
    <t>Evaluación continua. La revisión puede tardar entre 90 y 120 días. No entrega efectivo</t>
  </si>
  <si>
    <t>https://aws.amazon.com/es/government-education/research-and-technical-computing/cloud-credit-for-research/?</t>
  </si>
  <si>
    <t>Puede financiar entrenamiento, despliegue, almacenamiento y experimentación del sistema adaptativo.</t>
  </si>
  <si>
    <t>2026-003</t>
  </si>
  <si>
    <t>OpenAI Researcher Access Program</t>
  </si>
  <si>
    <t>OpenAI</t>
  </si>
  <si>
    <t>Créditos de API</t>
  </si>
  <si>
    <t>Investigador individual o afiliado a institución  acreditada</t>
  </si>
  <si>
    <t xml:space="preserve">Paises selectos </t>
  </si>
  <si>
    <t>IA;OpenIA; LLM</t>
  </si>
  <si>
    <t>Apoya investigaciones sobre despliegue responsable, riesgos, representación e impacto social de sistemas de inteligencia artificial.</t>
  </si>
  <si>
    <t>El investigador debe estar ubicado en un país admitido y explicar la pregunta de investigación y el uso de los modelos.</t>
  </si>
  <si>
    <t>Las solicitudes se revisan en marzo, junio, septiembre y diciembre.</t>
  </si>
  <si>
    <t>https://openai.com/form/researcher-access-program/</t>
  </si>
  <si>
    <t>OpenAI – Researcher Access Program</t>
  </si>
  <si>
    <t>2026-004</t>
  </si>
  <si>
    <t>FONDOCYT</t>
  </si>
  <si>
    <t>MESCyT</t>
  </si>
  <si>
    <t>Gobierno nacional</t>
  </si>
  <si>
    <t>República Dominicana</t>
  </si>
  <si>
    <t>Propuesta completa</t>
  </si>
  <si>
    <t>Cerrada</t>
  </si>
  <si>
    <t>DOP</t>
  </si>
  <si>
    <t>Investigación, I+D+i; transferencia tecnológica</t>
  </si>
  <si>
    <t>Investigador principal y coinvestigadores inscritos y activos en la carrera nacional de investigadores</t>
  </si>
  <si>
    <t>Institucion de Educacion Superior dominicana o centro de investigación reconocido</t>
  </si>
  <si>
    <t xml:space="preserve"> Ciencias básicas;Medio ambiente; recursos naturales; cambio climático; economía azul; Salud; biomedicina; epidemiología; insumos biomédicos y ciencias
farmacéuticas; 5. Ingeniería, energía; materiales avanzados; mecatrónica; economía circular
de residuos; Tecnologías de la información, software e inteligencia artificial; Ciencias sociales, humanísticas; educaciónsuperior; cultura;
ciencia abierta y ciencia ciudadana; Políticas públicas; modernización del Estado; ciudades,territorio;
logística; servicios públicos y seguridad nacional</t>
  </si>
  <si>
    <t>Financia investigación básica, aplicada, I+D+i y transferencia tecnológica. Reconoce la IA y la ciencia de datos como tecnologías estratégicas.</t>
  </si>
  <si>
    <t>UNPHU es elegible. El IP y los coinvestigadores deben pertenecer a la Carrera Nacional de Investigadores.</t>
  </si>
  <si>
    <t>Para I+D+i y transferencia puede requerirse empresa asociada y aporte mínimo del 20 %</t>
  </si>
  <si>
    <t>https://mescyt.gob.do/wp-content/uploads/2026/03/Llamado-Convocatoria-FONDOCYT-2025-2026-2.pdf</t>
  </si>
  <si>
    <t>MESCyT – Convocatoria FONDOCYT 2025-2026</t>
  </si>
  <si>
    <t>Preparar desde ahora la propuesta para el próximo ciclo.</t>
  </si>
  <si>
    <t>2026-005</t>
  </si>
  <si>
    <t>Google.org Generative AI Accelerator</t>
  </si>
  <si>
    <t>Google</t>
  </si>
  <si>
    <t>Empresa privada / filantropía corporativa</t>
  </si>
  <si>
    <t xml:space="preserve"> 6 meses</t>
  </si>
  <si>
    <t>Subvención, asistencia técnica y créditos Google Cloud</t>
  </si>
  <si>
    <t>Equipos de universidades, organizaciones sociales y empresas sociales</t>
  </si>
  <si>
    <t>Universidad, entidad cívica, ONG o empresa social</t>
  </si>
  <si>
    <t>Sin restriccion</t>
  </si>
  <si>
    <t xml:space="preserve">IA generativa para aprendizaje </t>
  </si>
  <si>
    <t>GenAI; aprendizaje; habilidades; programación; Google Cloud; impacto social</t>
  </si>
  <si>
    <t>Programa global para desarrollar soluciones de IA generativa con impacto social en conocimiento, aprendizaje y habilidades.</t>
  </si>
  <si>
    <t>UNPHU puede postular como institución académica. Se valoran alianzas con organizaciones de aplicación práctica.</t>
  </si>
  <si>
    <t>Vigilar una nueva edición.</t>
  </si>
  <si>
    <t>https://impactchallenge.withgoogle.com/genaiaccelerator</t>
  </si>
  <si>
    <t>https://pivot.proquest.com/funding_opps/eab18edd-bc1f-4f00-b3ad-f2f1552f7976</t>
  </si>
  <si>
    <t>Google.org Accelerator: Generative AI</t>
  </si>
  <si>
    <t>Presentar la solución como mejora medible del aprendizaje y de la empleabilidad digital.</t>
  </si>
  <si>
    <t>2026-006</t>
  </si>
  <si>
    <t>UNU-WIDER: IA y mercado laboral</t>
  </si>
  <si>
    <t>UNU-WIDER / Naciones Unidas</t>
  </si>
  <si>
    <t>Organización internacional</t>
  </si>
  <si>
    <t>Internacional</t>
  </si>
  <si>
    <t>24 meses</t>
  </si>
  <si>
    <t>Subvención de investigación</t>
  </si>
  <si>
    <t>Institución de investigación</t>
  </si>
  <si>
    <t>Internacional, con énfasis en países de ingresos bajos y medios</t>
  </si>
  <si>
    <t>IA; habilidades y mercado laboral</t>
  </si>
  <si>
    <t>IA; programación; empleabilidad; productividad; desigualdad; experimento de campo</t>
  </si>
  <si>
    <t>Financia estudios rigurosos sobre efectos de herramientas de IA en empresas, trabajadores, productividad, empleo e inequidad.</t>
  </si>
  <si>
    <t>Favorece investigadores de carrera temprana y del Sur Global.</t>
  </si>
  <si>
    <t>Requiere relacionar la formación adaptativa con productividad, empleo o resultados laborales.</t>
  </si>
  <si>
    <t>https://www.wider.unu.edu/opportunity/effects-artificial-intelligence-firm-and-labour-market-outcomes</t>
  </si>
  <si>
    <t>https://pivot.proquest.com/funding_opps/7c1ebfe4-9115-40a7-af84-f2f1552f7976</t>
  </si>
  <si>
    <t>UNU-WIDER – Effects of AI on firm and labour market outcomes</t>
  </si>
  <si>
    <t>Encaje indirecto, pero viable como experimento sobre formación y empleabilidad.</t>
  </si>
  <si>
    <t>2026-007</t>
  </si>
  <si>
    <t>ARIA Mathematics for Safe AI</t>
  </si>
  <si>
    <t>Advanced Research + Invention Agency</t>
  </si>
  <si>
    <t>Gobierno internacional</t>
  </si>
  <si>
    <t>Reino Unido</t>
  </si>
  <si>
    <t>GBP</t>
  </si>
  <si>
    <t>Proyecto de investigación</t>
  </si>
  <si>
    <t>Investigadores, estudiantes, empresas y entidades públicas</t>
  </si>
  <si>
    <t>Individuo, universidad, empresa 
u organización</t>
  </si>
  <si>
    <t>Prioridad a UK</t>
  </si>
  <si>
    <t>Tecnologia; Medio Ambiente; Matematicas</t>
  </si>
  <si>
    <t>IA; Cambio Climatico; Ciberseguridad</t>
  </si>
  <si>
    <t>Financia ideas audaces basadas en matemáticas y métodos formales para asegurar que los sistemas de IA actúen como se espera.</t>
  </si>
  <si>
    <t>Se consideran solicitantes internacionales cuando el proyecto beneficia significativamente al Reino Unido.</t>
  </si>
  <si>
    <t>Van abriendo convocatorias durante año</t>
  </si>
  <si>
    <t>https://aria.org.uk/funding-opportunities</t>
  </si>
  <si>
    <t>https://pivot.proquest.com/funding_opps/83ca791d-b275-4b81-9778-f2f1552f7976</t>
  </si>
  <si>
    <t>ARIA – Mathematics for Safe AI</t>
  </si>
  <si>
    <t>Solo recomendable con socio británico.</t>
  </si>
  <si>
    <t>2026-008</t>
  </si>
  <si>
    <t>Google PhD Fellowship</t>
  </si>
  <si>
    <t>Empresa privada</t>
  </si>
  <si>
    <t>Nominación</t>
  </si>
  <si>
    <t>Fellowship / posdoctorado</t>
  </si>
  <si>
    <t>Estudiantes de doctorado  de computaciones o ciencias similares</t>
  </si>
  <si>
    <t>Ciencias de la computacion y ciencias de la salud</t>
  </si>
  <si>
    <t>Computación; Salud; Algoritmos y Optimizacion; IA; Redes; Cloud</t>
  </si>
  <si>
    <t>Apoya estudiantes doctorales destacados en áreas de investigación informática, y ciencias de la salud.</t>
  </si>
  <si>
    <t>La universidad debe nominar al estudiante</t>
  </si>
  <si>
    <t>No financia directamente el proyecto institucional.</t>
  </si>
  <si>
    <t>https://research.google/programs-and-events/phd-fellowship/</t>
  </si>
  <si>
    <t>Google Research – PhD Fellowship Program</t>
  </si>
  <si>
    <t>Abre cada año. estar atento</t>
  </si>
  <si>
    <t>2026-009</t>
  </si>
  <si>
    <t>Improving Capability Evaluations</t>
  </si>
  <si>
    <t>Open Philanthropy</t>
  </si>
  <si>
    <t>Universidad, ONG, empresa o nueva organización</t>
  </si>
  <si>
    <t>Amplia elegibilidad internacional.</t>
  </si>
  <si>
    <t>Medio Ambiente; Ciencias de Salud; Computacion</t>
  </si>
  <si>
    <t>IA; Calidad del Aire; Salud y Bienestar</t>
  </si>
  <si>
    <t>No funciona como una agencia tradicional con un calendario anual uniforme: la mayoría de sus subvenciones se identifica mediante investigación propia y contacto directo con posibles beneficiarios</t>
  </si>
  <si>
    <t>No existe una única regla de elegibilidad para todos los fondos. Depende de cada convocatoria, pero el espectro de beneficiarios es amplio.</t>
  </si>
  <si>
    <t>https://coefficientgiving.org/funds/</t>
  </si>
  <si>
    <t>https://pivot.proquest.com/funding_opps/f6991b86-5e72-4139-9013-f2f1552f7976</t>
  </si>
  <si>
    <t>Coefficient Giving – Improving Capability Evaluations</t>
  </si>
  <si>
    <t>No existe un calendario, estar atento</t>
  </si>
  <si>
    <t>2026-010</t>
  </si>
  <si>
    <t xml:space="preserve"> IBM Ph.D. Fellowship</t>
  </si>
  <si>
    <t>IBM</t>
  </si>
  <si>
    <t>Beca</t>
  </si>
  <si>
    <t>IA y computación responsable</t>
  </si>
  <si>
    <t>Doctorado; IA; programación; nube híbrida; computación responsable; educación</t>
  </si>
  <si>
    <t>Beca doctoral alineada con áreas estratégicas de IBM, incluyendo IA y computación responsable.</t>
  </si>
  <si>
    <t>El estudiante debe ser nominado por un docente. Existen límites institucionales de nominaciones.</t>
  </si>
  <si>
    <t>https://research.ibm.com/labs/yorktown-heights/ibm-academic-awards-program</t>
  </si>
  <si>
    <t>https://pivot.proquest.com/funding_opps/95edca90-0c52-429e-8e63-d1d75de8f0f3</t>
  </si>
  <si>
    <t>IBM Research – Academic Awards Program</t>
  </si>
  <si>
    <t>2026-011</t>
  </si>
  <si>
    <t>Horizon Europe — New European Bauhaus</t>
  </si>
  <si>
    <t>Comisión Europea</t>
  </si>
  <si>
    <t>Union Europea</t>
  </si>
  <si>
    <t>EUR</t>
  </si>
  <si>
    <t>Arquitectos, urbanistas, diseñadores, investigadores sociales, científicos de datos, especialistas en participación y sostenibilidad</t>
  </si>
  <si>
    <t>Consorcio internacional de universidades, autoridades públicas, organizaciones sociales, empresas y centros de investigación</t>
  </si>
  <si>
    <t>Estados miembros, países asociados y terceros países admitidos conforme a Horizon Europe</t>
  </si>
  <si>
    <t>No se basa principalmente en ciudadanía; prevalecen la entidad participante, su país y las reglas de financiación</t>
  </si>
  <si>
    <t>Diseño espacial participativo de barrios y entornos urbanos</t>
  </si>
  <si>
    <t>urban design; barrios; espacio público; cocreación; inclusión; sostenibilidad; IA; gemelos digitales; participación digital</t>
  </si>
  <si>
    <t>Financia soluciones innovadoras para que residentes y actores locales participen en el diseño espacial de sus barrios, con énfasis en sostenibilidad, inclusión, calidad del entorno y belleza.</t>
  </si>
  <si>
    <t>UNPHU puede integrarse como socio académico de un consorcio internacional. Deben comprobarse en el portal las condiciones específicas de financiación para una entidad dominicana y la composición obligatoria del consorcio.</t>
  </si>
  <si>
    <t>https://ec.europa.eu/info/funding-tenders/opportunities/portal/screen/opportunities/calls-for-proposals?callIdentifier=HORIZON-NEB-2026-01</t>
  </si>
  <si>
    <t>Comisión Europea, Funding &amp; Tenders Portal y programa de trabajo New European Bauhaus</t>
  </si>
  <si>
    <t>2026-012</t>
  </si>
  <si>
    <t>Erasmus+ Capacity Building in Higher Education 2026 — Region 11 Caribbean</t>
  </si>
  <si>
    <t>Comisión Europea / European Education and Culture Executive Agency</t>
  </si>
  <si>
    <t>48 meses</t>
  </si>
  <si>
    <t>profesor, investigadores educativos, especialistas en IA, programación, arquitectura digital, diseño curricular y aseguramiento de la calidad</t>
  </si>
  <si>
    <t>Instituciones de educación superior y otras entidades educativas, públicas, sociales o del mercado laboral</t>
  </si>
  <si>
    <t>República Dominicana está incluida en la Región 11 — Caribe</t>
  </si>
  <si>
    <t>Modernización universitaria, innovación curricular y transformación digital</t>
  </si>
  <si>
    <t>IA educativa; aprendizaje adaptativo; gamificación; programación; formación docente;  transformación curricular</t>
  </si>
  <si>
    <t>Apoya la modernización de la educación superior mediante nuevos programas, innovación pedagógica, capacidades digitales, formación docente, gobernanza universitaria y cooperación internacional.</t>
  </si>
  <si>
    <t>UNPHU puede participar como institución de educación superior caribeña dentro de un consorcio que cumpla la composición mínima aplicable al strand seleccionado.</t>
  </si>
  <si>
    <t>Es la oportunidad con mejor correspondencia directa con “Inteligencia Artificial y Gamificación Personalizada-Adaptativa para la Formación en Programación”. Para integrarla con arquitectura, podría proponerse programación aplicada al diseño paramétrico, BIM, análisis urbano, SIG y gemelos digitales.</t>
  </si>
  <si>
    <t>https://erasmus-plus.ec.europa.eu/funding-opportunities/capacity-building-in-higher-education-caribbean</t>
  </si>
  <si>
    <t>Comisión Europea, Erasmus+ Programme Guide 2026</t>
  </si>
  <si>
    <t>2026-013</t>
  </si>
  <si>
    <t>AIA Upjohn Research Initiative</t>
  </si>
  <si>
    <t>American Institute of Architects — AIA</t>
  </si>
  <si>
    <t>Sin fecha</t>
  </si>
  <si>
    <t>En revisión</t>
  </si>
  <si>
    <t>18 meses</t>
  </si>
  <si>
    <t>Investigadores en arquitectura, tecnología del diseño, sostenibilidad, materiales, salud,  e innovación profesional</t>
  </si>
  <si>
    <t>Instituciones académicas y equipos de investigación; se admiten postulaciones internacionales</t>
  </si>
  <si>
    <t>Sin restricción general de ciudadanía; presentación y evaluación en inglés</t>
  </si>
  <si>
    <t>Investigación aplicada a la arquitectura y a la práctica profesional</t>
  </si>
  <si>
    <t>arquitectura; IA; diseño computacional; automatización; BIM; cero carbono; resiliencia; comunidades equitativas; innovación profesional</t>
  </si>
  <si>
    <t>Financia hasta seis investigaciones anuales destinadas a generar conocimiento directamente útil para arquitectos y para la práctica del diseño. Sus prioridades incluyen cero carbono, resiliencia, salud, comunidades equitativas e innovación de la práctica.</t>
  </si>
  <si>
    <t>La documentación de referencia señala que las solicitudes internacionales son elegibles y que los fondos se desembolsan en dólares estadounidenses.</t>
  </si>
  <si>
    <t>Es una de las oportunidades más claras para investigar IA generativa en diseño, automatización de procesos, evaluación del desempeño de edificaciones, diseño basado en evidencia o herramientas de aprendizaje para arquitectura.</t>
  </si>
  <si>
    <t>https://www.aia.org/advocacy/research/grants-fellowships/upjohn-research-initiative?utm_source=chatgpt.com</t>
  </si>
  <si>
    <t>AIA y antecedente de Pivot-RP aportado en el documento</t>
  </si>
  <si>
    <t>Pendiente abrir en Octubre</t>
  </si>
  <si>
    <t>2026-014</t>
  </si>
  <si>
    <t>LAF Fellowship for Innovation and Leadership</t>
  </si>
  <si>
    <t>Landscape Architecture Foundation — LAF</t>
  </si>
  <si>
    <t>Innovación</t>
  </si>
  <si>
    <t>Arquitectos paisajistas y profesionales afines con trayectoria media o sénior</t>
  </si>
  <si>
    <t>Arquitectura del paisaje, innovación, liderazgo y transformación del entorno</t>
  </si>
  <si>
    <t>paisaje; urbanismo; resiliencia; infraestructura verde; IA geoespacial; análisis urbano; justicia ambiental; liderazgo</t>
  </si>
  <si>
    <t>Fellowship para que profesionales desarrollen y prueben ideas innovadoras que impulsen una sociedad más saludable, equitativa y sostenible mediante la arquitectura del paisaje.</t>
  </si>
  <si>
    <t>Se requiere grado en arquitectura del paisaje o, en países donde la disciplina no esté formalmente reconocida, formación relacionada y ejercicio profesional como arquitecto paisajista; mínimo seis años de experiencia, dominio avanzado de inglés y disponibilidad institucional.</t>
  </si>
  <si>
    <t>Puede sustentar proyectos sobre IA para planificación de infraestructura verde, análisis adaptativo del paisaje, resiliencia climática, confort térmico urbano o participación comunitaria gamificada.</t>
  </si>
  <si>
    <t>https://www.lafoundation.org/what-we-do/leadership/laf-fellowship?</t>
  </si>
  <si>
    <t>https://pivot.proquest.com/funding_opps/3dae87f6-c1a1-4ce2-9d84-d1d75de8f0f3</t>
  </si>
  <si>
    <t>LAF, ASLA y antecedente de Pivot-RP</t>
  </si>
  <si>
    <t>especialmente para un profesor con experiencia profesional demostrable en paisaje o planificación urbana. No es una subvención institucional convencional</t>
  </si>
  <si>
    <t>2026-015</t>
  </si>
  <si>
    <t>Graham Foundation — Grants to Individuals</t>
  </si>
  <si>
    <t>Graham Foundation for Advanced Studies in the Fine Arts</t>
  </si>
  <si>
    <t>Arquitectos, urbanistas, historiadores, diseñadores, investigadores, curadores, escritores y productores culturales</t>
  </si>
  <si>
    <t>Personas físicas</t>
  </si>
  <si>
    <t>Arquitectura y entorno diseñado</t>
  </si>
  <si>
    <t>arquitectura; ciudad; urbanismo; investigación crítica; publicación; exposición; medios digitales; IA; diseño experimental</t>
  </si>
  <si>
    <t>Apoya ideas originales que amplíen el discurso sobre arquitectura y el entorno diseñado, ya sea mediante investigación, publicaciones, exposiciones, películas, medios digitales u otros formatos públicos.</t>
  </si>
  <si>
    <t>Individuos con capacidad demostrada para ejecutar el proyecto. Las solicitudes deben conectar claramente con la misión de la Fundación y evidenciar originalidad, impacto y viabilidad.</t>
  </si>
  <si>
    <t>Puede financiar la fase conceptual o la divulgación de una investigación sobre IA y arquitectura, atlas urbanos interactivos, exposiciones digitales, plataformas educativas o documentación crítica de nuevas tecnologías de diseño.</t>
  </si>
  <si>
    <t>https://www.grahamfoundation.org/grant_programs/?mode=individual</t>
  </si>
  <si>
    <t>Graham Foundation, ciclo de subvenciones 2027</t>
  </si>
  <si>
    <t>El Inquiry Form está disponible desde el 15/07/2026. Conviene plantear un producto público concreto, no solamente una investigación académica convencional.</t>
  </si>
  <si>
    <t>2026-016</t>
  </si>
  <si>
    <t>Getty Conservation Guest Scholars Program 2027–2028</t>
  </si>
  <si>
    <t>Getty Conservation Institute</t>
  </si>
  <si>
    <t>3 meses</t>
  </si>
  <si>
    <t>Investigador establecido</t>
  </si>
  <si>
    <t>Persona individual</t>
  </si>
  <si>
    <t>Internacional; residencia presencial de tres meses en el Getty Conservation Institute, Los Ángeles</t>
  </si>
  <si>
    <t>Conservación del patrimonio cultural y del entorno construido</t>
  </si>
  <si>
    <t>conservación; patrimonio arquitectónico; preservación histórica; ciencia del patrimonio; documentación digital; HBIM; IA; visión computacional</t>
  </si>
  <si>
    <t>Programa de residencia para que profesionales e investigadores consolidados desarrollen un proyecto independiente que aporte nuevos conocimientos y perspectivas a la conservación del patrimonio cultural.</t>
  </si>
  <si>
    <t>Se admiten investigadores y profesionales de cualquier nacionalidad en conservación, preservación histórica, ciencias del patrimonio y campos relacionados. Se requieren al menos siete años de experiencia profesional y una trayectoria establecida de publicaciones u otras contribuciones. No admite investigación posdoctoral ni trabajos conducentes a un grado académico.</t>
  </si>
  <si>
    <t>La convocatoria 2026–2027 ya cerró. El ciclo para residencias 2027–2028 abrirá en agosto de 2026; la fecha límite aún no ha sido publicada. La ayuda incluye US$21,500, alojamiento, estación de trabajo, asistencia de investigación, estipendio de viaje y opción de cobertura médica.</t>
  </si>
  <si>
    <t>Getty Conservation Institute – Conservation Guest Scholars</t>
  </si>
  <si>
    <t>Oportunidad individual para investigadores sénior de UNPHU. Recomendable para proyectos de conservación arquitectónica, documentación patrimonial, HBIM o IA aplicada a la detección de daños. Vigilar la apertura en agosto de 2026.</t>
  </si>
  <si>
    <t>2026-017</t>
  </si>
  <si>
    <t>CCA–WRI Research Fellowship Program 2027 — Vacancy</t>
  </si>
  <si>
    <t>Canadian Centre for Architecture (CCA) / Window Research Institute (WRI)</t>
  </si>
  <si>
    <t>Anticipada</t>
  </si>
  <si>
    <t>CAD</t>
  </si>
  <si>
    <t>1-3 meses</t>
  </si>
  <si>
    <t>Investigador establecido; Profesor</t>
  </si>
  <si>
    <t>Internacional; residencia presencial en el CCA, Montreal, entre agosto y octubre</t>
  </si>
  <si>
    <t xml:space="preserve">Sin restricción </t>
  </si>
  <si>
    <t>Arquitectura, urbanismo, paisaje y terrenos desocupados</t>
  </si>
  <si>
    <t xml:space="preserve"> edificios desocupados; suelo vacante; reutilización adaptativa; urbanismo; paisaje; vivienda; IA; visión computacional; teledetección</t>
  </si>
  <si>
    <t>Fellowship de investigación sobre la vacancia como condición social, cultural, política y espacial en contextos urbanos y rurales. Busca modelos teóricos y resultados capaces de informar la práctica del diseño.</t>
  </si>
  <si>
    <t>Abierta a profesionales con experiencia sustancial —arquitectos, paisajistas, urbanistas, responsables urbanos, artistas y productores culturales— y a investigadores con doctorado en áreas pertinentes. No se financia investigación con fines comerciales. El beneficiario debe residir en Montreal de uno a tres meses y participar en actividades públicas y académicas.</t>
  </si>
  <si>
    <t>La convocatoria 2026 está cerrada. La siguiente convocatoria se lanzará a comienzos de septiembre de 2026. Ofrece CAD$5,000 mensuales por un máximo de tres meses, más apoyo adicional para viaje y visado, oficina y acceso a las colecciones del CCA.</t>
  </si>
  <si>
    <t>Canadian Centre for Architecture / Window Research Institute</t>
  </si>
  <si>
    <t>Muy pertinente para investigar vacancia, reutilización adaptativa y regeneración urbana en Santo Domingo. Puede incorporar IA para detectar inmuebles vacíos, analizar imágenes urbanas o modelar escenarios de reocupación.</t>
  </si>
  <si>
    <t>2026-018</t>
  </si>
  <si>
    <t>Urban Studies Foundation International Fellowships 2026</t>
  </si>
  <si>
    <t>Urban Studies Foundation</t>
  </si>
  <si>
    <t>3-9 meses</t>
  </si>
  <si>
    <t>Investigadores afiliados a organizaciones de investigación ubicadas en países de la lista OECD-DAC; universidad anfitriona en cualquier país</t>
  </si>
  <si>
    <t>Nacionales de países incluidos en la lista OECD-DAC de receptores de AOD; República Dominicana es elegible</t>
  </si>
  <si>
    <t>Estudios urbanos</t>
  </si>
  <si>
    <t>urbanismo; ciudades del Sur Global; vivienda; movilidad; planificación; sostenibilidad; tecnología urbana; desigualdad espacial; gobernanza; IA urbana</t>
  </si>
  <si>
    <t>Financia una estancia sabática de escritura en una universidad anfitriona para transformar resultados de investigación urbana ya existentes en artículos, capítulos de libro o libros publicables, bajo la mentoría de un académico sénior.</t>
  </si>
  <si>
    <t>Dirigida a investigadores urbanos de carrera temprana o intermedia con doctorado obtenido dentro de los diez años anteriores al cierre, nacionalidad de un país OECD-DAC y afiliación formal a una organización de investigación ubicada en uno de esos países. La recopilación y el análisis primario de datos deben estar completados; no financia nueva recolección ni nuevos análisis primarios.</t>
  </si>
  <si>
    <t>Cerró el 6 de julio de 2026 a las 23:59 UTC+1. El presupuesto se determina según costes justificados de alojamiento, manutención, viaje de retorno y algunos gastos de investigación; no se publica un monto mínimo o máximo único. La estancia debe comenzar entre cuatro y catorce meses después del cierre.</t>
  </si>
  <si>
    <t>Urban Studies Foundation – International Fellowships</t>
  </si>
  <si>
    <t>UNPHU es elegible por ubicación en República Dominicana. Preparar para una futura edición con resultados urbanos ya analizados, publicaciones previstas, mentor internacional y universidad anfitriona.</t>
  </si>
  <si>
    <t>2026-019</t>
  </si>
  <si>
    <t>CYTED — Convocatoria 2026 de Redes Temáticas</t>
  </si>
  <si>
    <t>Programa Iberoamericano de Ciencia y Tecnología para el Desarrollo (CYTED)</t>
  </si>
  <si>
    <t>Hasta 48 meses</t>
  </si>
  <si>
    <t>Consorcio</t>
  </si>
  <si>
    <t>Países signatarios del Programa CYTED, incluida República Dominicana</t>
  </si>
  <si>
    <t>No se basa en ciudadanía; el coordinador y los responsables deben pertenecer a entidades elegibles con sede en países signatarios</t>
  </si>
  <si>
    <t>Multidisciplinar: desarrollo sostenible, TIC, ciencia y sociedad, energía e innovación</t>
  </si>
  <si>
    <t>red temática; cooperación iberoamericana; I+D+i; ciudades resilientes; urbanismo sostenible; IA de código abierto; formación; transferencia; movilidad</t>
  </si>
  <si>
    <t>Financia redes de grupos de investigación y empresas de Iberoamérica que cooperan para resolver problemas comunes y generar nuevas actividades de I+D+i, transferencia, formación, movilidad, publicaciones y coordinación.</t>
  </si>
  <si>
    <t>El coordinador debe pertenecer a una universidad, centro público o privado de I+D o empresa con capacidad demostrada, con sede en un país signatario. La red debe incluir grupos de al menos seis países iberoamericanos diferentes; cada grupo debe estar formado por más de una persona y acreditar actividad en I+D+i.</t>
  </si>
  <si>
    <t>El plazo fue del 6 de abril al 15 de mayo de 2026 a las 17:00, hora de Madrid. El máximo solicitado para el primer año es €20,000; los presupuestos posteriores se solicitan anualmente. Cubre coordinación, movilidad, reuniones, publicaciones y formación; no es una subvención convencional para financiar todos los costes de investigación.</t>
  </si>
  <si>
    <t>Secretaría General del Programa CYTED – Convocatoria 2026 de Redes Temáticas</t>
  </si>
  <si>
    <t>Oportunidad estratégica para internacionalización. UNPHU podría integrar o coordinar una red sobre comunidades resilientes, urbanismo sostenible, restauración urbana, IA de código abierto o formación tecnológica. Preparar consorcio para la próxima edición.</t>
  </si>
  <si>
    <t>2026-020</t>
  </si>
  <si>
    <t>CBE JU — Polímeros biobasados de fuentes alternativas</t>
  </si>
  <si>
    <t>Circular Bio-based Europe Joint Undertaking (CBE JU)</t>
  </si>
  <si>
    <t>No especificada</t>
  </si>
  <si>
    <t>Unión Europea, países asociados y terceros elegibles, incluida República Dominicana</t>
  </si>
  <si>
    <t>Ingeniería agronómica; biomateriales y polímeros biobasados</t>
  </si>
  <si>
    <t>biopolímeros; biomasa residual; fuentes alternativas; extracción; síntesis; biodegradación; circularidad</t>
  </si>
  <si>
    <t>Desarrolla procesos eficientes y escalables para producir polímeros biobasados a partir de fuentes alternativas a la biomasa agrícola o forestal primaria.</t>
  </si>
  <si>
    <t>UNPHU puede participar como beneficiaria adicional dentro de un consorcio que cumpla los requisitos mínimos de Horizon Europe.</t>
  </si>
  <si>
    <t>Research and Innovation Action. Contribución estimada de EUR 3.25 millones por proyecto y TRL final 5. La biomasa primaria agrícola y forestal está fuera del alcance.</t>
  </si>
  <si>
    <t>https://ec.europa.eu/info/funding-tenders/opportunities/portal/screen/opportunities/topic-details/HORIZON-JU-CBE-2026-RIA-02?callIdentifier=HORIZON-JU-CBE-2026</t>
  </si>
  <si>
    <t>CBE JU — HORIZON-JU-CBE-2026-RIA-02</t>
  </si>
  <si>
    <t>Prioridad media-alta para residuos, subproductos u otras fuentes no primarias. Verificar cuidadosamente la materia prima propuesta.</t>
  </si>
  <si>
    <t>2026-021</t>
  </si>
  <si>
    <t>FONTAGRO — Convocatoria 2026: sistemas agroalimentarios con menor huella ambiental</t>
  </si>
  <si>
    <t>FONTAGRO / BID / IICA</t>
  </si>
  <si>
    <t>Según proyecto</t>
  </si>
  <si>
    <t>Agrónomos, biotecnólogos, especialistas en agroindustria, bioeconomía, suelos, producción y extensión</t>
  </si>
  <si>
    <t>Países miembros de FONTAGRO, incluida República Dominicana</t>
  </si>
  <si>
    <t>Ingeniería agronómica; sistemas agroalimentarios sostenibles</t>
  </si>
  <si>
    <t>bioeconomía; biomasa; residuos agrícolas; valorización; bioproductos; agroindustria; bajas emisiones</t>
  </si>
  <si>
    <t>Cofinancia proyectos regionales de I+D+i que mejoren productividad, rentabilidad y competitividad con una menor huella ambiental.</t>
  </si>
  <si>
    <t>Consorcio de hasta tres organizaciones coejecutoras de al menos dos países miembros; una debe ser una institución pública de investigación.</t>
  </si>
  <si>
    <t>Aporte máximo de USD 250,000. Las organizaciones deben aportar contrapartida conjunta equivalente al menos al doble de lo solicitado y participar con productores beneficiarios.</t>
  </si>
  <si>
    <t>https://fontagro.org/en/iniciativas/convocatorias/convocatoria-2026</t>
  </si>
  <si>
    <t>FONTAGRO — Secretaría Técnica Administrativa; fontagro@iica.int</t>
  </si>
  <si>
    <t xml:space="preserve"> UNPHU necesita otro país miembro y una institución pública de investigación.</t>
  </si>
  <si>
    <t>2026-022</t>
  </si>
  <si>
    <t>CBE JU — Separación y purificación en biorrefinerías</t>
  </si>
  <si>
    <t>Ingeniería química, bioprocesos, química analítica, materiales y biotecnología</t>
  </si>
  <si>
    <t>Biorrefinerías y tecnologías de separación</t>
  </si>
  <si>
    <t>separación; purificación; solventes verdes; biomasa; bioproductos; eficiencia hídrica; intensificación de procesos</t>
  </si>
  <si>
    <t>Desarrolla plataformas escalables de separación y purificación para reducir costes, consumo de energía y agua y uso de solventes agresivos en biorrefinerías.</t>
  </si>
  <si>
    <t>UNPHU puede integrarse como beneficiaria adicional en un consorcio internacional elegible.</t>
  </si>
  <si>
    <t>Research and Innovation Action. Contribución estimada de EUR 3.25 millones por proyecto, TRL final 5 y validación en al menos tres casos de biorrefinería.</t>
  </si>
  <si>
    <t>https://ec.europa.eu/info/funding-tenders/opportunities/portal/screen/opportunities/topic-details/HORIZON-JU-CBE-2026-RIA-01?callIdentifier=HORIZON-JU-CBE-2026</t>
  </si>
  <si>
    <t>CBE JU — HORIZON-JU-CBE-2026-RIA-01</t>
  </si>
  <si>
    <t>Adecuada para grupos con capacidad en extracción, membranas, cromatografía o purificación de compuestos vegetales.</t>
  </si>
  <si>
    <t>2026-023</t>
  </si>
  <si>
    <t>CYTED 2026 — Inocuidad alimentaria y reducción del desperdicio alimentario</t>
  </si>
  <si>
    <t xml:space="preserve">Investigadores agroalimentarios, agrónomos, especialistas en desperdicio, bioeconomía </t>
  </si>
  <si>
    <t>Universidades, centros de I+D</t>
  </si>
  <si>
    <t>Países signatarios de CYTED, incluida República Dominicana</t>
  </si>
  <si>
    <t>Agroalimentación</t>
  </si>
  <si>
    <t>desperdicio alimentario; residuos orgánicos; valorización; inocuidad; economía circular; cooperación científica</t>
  </si>
  <si>
    <t>Financia redes temáticas iberoamericanas para reducir el desperdicio alimentario, con posible incorporación de valorización de subproductos.</t>
  </si>
  <si>
    <t>La red debe integrar grupos de al menos seis países iberoamericanos diferentes; cada grupo debe estar formado por más de una persona.</t>
  </si>
  <si>
    <t>Máximo EUR 20,000 para el primer año. Financia coordinación, movilidad, reuniones, formación, publicaciones y difusión, no un proyecto experimental completo.</t>
  </si>
  <si>
    <t>https://www.cyted.org/assets/img/cyted/Convocatoria%202026/Castellano/01_Convocatoria_oficial_bases_y_lineas_2026_SP.pdf</t>
  </si>
  <si>
    <t>Programa CYTED — Convocatoria Redes Temáticas 2026</t>
  </si>
  <si>
    <t>Útil para construir una red iberoamericana que posteriormente someta proyectos FONTAGRO, Horizon Europe o FONDOCYT.</t>
  </si>
  <si>
    <t>2026-024</t>
  </si>
  <si>
    <t>EREF Research Grants</t>
  </si>
  <si>
    <t>Environmental Research &amp; Education Foundation (EREF)</t>
  </si>
  <si>
    <t>Prepropuesta</t>
  </si>
  <si>
    <t>Investigadores de residuos sólidos, compostaje, digestión anaerobia, circularidad y emisiones</t>
  </si>
  <si>
    <t>Institución académica</t>
  </si>
  <si>
    <t>Gestión sostenible de residuos y circularidad</t>
  </si>
  <si>
    <t>residuos orgánicos; compostaje; digestión anaerobia; biogás; emisiones; circularidad</t>
  </si>
  <si>
    <t>Financia investigación sobre impactos climáticos de los residuos, contaminantes emergentes y circularidad de materiales.</t>
  </si>
  <si>
    <t>Instituciones estadounidenses y extranjeras pueden aplicar. El IP debe ser profesor, posdoctorado o investigador sénior cualificado.</t>
  </si>
  <si>
    <t>Los USD 15,000 a más de USD 500,000 son rangos históricos, no límites formales. Excluye proyectos centrados en residuos agrícolas no gestionados por la industria de residuos.</t>
  </si>
  <si>
    <t>https://erefdn.org/research-grants/</t>
  </si>
  <si>
    <t>https://pivot.proquest.com/funding_opps/14453c4e-25e7-4fd9-b39b-f2f1552f7976</t>
  </si>
  <si>
    <t>EREF — proposals@erefdn.org</t>
  </si>
  <si>
    <t>Usar solamente para residuos alimentarios, municipales o agroindustriales que entren formalmente en la definición de residuo sólido de EREF.</t>
  </si>
  <si>
    <t>2026-025</t>
  </si>
  <si>
    <t>CBE JU — Valorización biotecnológica de biomasa residual</t>
  </si>
  <si>
    <t>Agrónomos, biotecnólogos, microbiólogos, químicos, ingenieros de procesos y especialistas en residuos</t>
  </si>
  <si>
    <t>Valorización de biomasa residual</t>
  </si>
  <si>
    <t>residuos agrícolas; estiércol; subproductos forestales; biorrefinería; enzimas; microorganismos; bioproductos</t>
  </si>
  <si>
    <t>Convierte residuos agrícolas, forestales, ganaderos, acuáticos, alimentarios, urbanos o industriales en químicos, materiales, polímeros, ingredientes o enzimas.</t>
  </si>
  <si>
    <t>UNPHU puede recibir financiación como integrante adicional de un consorcio elegible de Horizon Europe.</t>
  </si>
  <si>
    <t>Innovation Action. Contribución estimada de EUR 7 millones por proyecto y TRL final 6-7. Debe integrar pretratamiento, conversión, separación, purificación y logística.</t>
  </si>
  <si>
    <t>https://ec.europa.eu/info/funding-tenders/opportunities/portal/screen/opportunities/topic-details/HORIZON-JU-CBE-2026-IA-01?callIdentifier=HORIZON-JU-CBE-2026</t>
  </si>
  <si>
    <t>CBE JU — HORIZON-JU-CBE-2026-IA-01</t>
  </si>
  <si>
    <t xml:space="preserve"> UNPHU debe incorporarse a un consorcio europeo en preparación.</t>
  </si>
  <si>
    <t>2026-026</t>
  </si>
  <si>
    <t>CBE JU — Biofertilizantes y bioprotectores</t>
  </si>
  <si>
    <t>Agrónomos, fitopatólogos, biotecnólogos, microbiólogos, edafólogos e ingenieros agroindustriales</t>
  </si>
  <si>
    <t>Bioinsumos agrícolas</t>
  </si>
  <si>
    <t>biofertilizantes; bioestimulantes; biopesticidas; biomasa; microorganismos; suelo; protección vegetal</t>
  </si>
  <si>
    <t>Desarrolla alternativas biológicas seguras y sostenibles para fertilización o protección de cultivos, con producción industrial y validación agronómica.</t>
  </si>
  <si>
    <t>UNPHU puede participar como entidad financiada adicional aportando ensayos tropicales, cultivos caribeños y validación agronómica.</t>
  </si>
  <si>
    <t>Innovation Action-Flagship. Contribución estimada de EUR 20 millones y TRL final 8. Exige agricultores, proveedores de biomasa, industria y usuarios finales.</t>
  </si>
  <si>
    <t>https://ec.europa.eu/info/funding-tenders/opportunities/portal/screen/opportunities/topic-details/HORIZON-JU-CBE-2026-IAFlag-02?callIdentifier=HORIZON-JU-CBE-2026</t>
  </si>
  <si>
    <t>CBE JU — HORIZON-JU-CBE-2026-IAFlag-02</t>
  </si>
  <si>
    <t xml:space="preserve"> Identificar biomasa dominicana y cultivos concretos para validar el producto.</t>
  </si>
  <si>
    <t>2026-027</t>
  </si>
  <si>
    <t>CBE JU — Competitividad de biorrefinerías mediante biotecnología</t>
  </si>
  <si>
    <t>Biotecnología industrial, ingeniería química, agroindustria, logística de biomasa y evaluación ambiental</t>
  </si>
  <si>
    <t>Biorrefinerías y biomanufactura</t>
  </si>
  <si>
    <t>biorrefinería; biomanufactura; biomasa; enzimas; fermentación; químicos; polímeros</t>
  </si>
  <si>
    <t>Demuestra a escala industrial una ruta biotecnológica para producir químicos, intermediarios, polímeros, ingredientes o enzimas biobasados.</t>
  </si>
  <si>
    <t>UNPHU debe incorporarse como socio de un consorcio con infraestructura industrial y entidades europeas elegibles.</t>
  </si>
  <si>
    <t>Innovation Action-Flagship. Contribución estimada de EUR 20 millones y TRL final 8. Alimentos y piensos como aplicación principal quedan fuera.</t>
  </si>
  <si>
    <t>https://ec.europa.eu/info/funding-tenders/opportunities/portal/screen/opportunities/topic-details/HORIZON-JU-CBE-2026-IAFlag-01?callIdentifier=HORIZON-JU-CBE-2026</t>
  </si>
  <si>
    <t>CBE JU — HORIZON-JU-CBE-2026-IAFlag-01</t>
  </si>
  <si>
    <t>Viable con un demostrador industrial europeo; UNPHU puede aportar caracterización y cadenas de biomasa tropical.</t>
  </si>
  <si>
    <t>2026-028</t>
  </si>
  <si>
    <t>CBE JU — Químicos y materiales a partir de residuos leñosos</t>
  </si>
  <si>
    <t>Agronomía forestal, química, materiales, ingeniería de procesos, agroforestería y sostenibilidad</t>
  </si>
  <si>
    <t>Valorización de biomasa forestal residual</t>
  </si>
  <si>
    <t>residuos leñosos; aserrín; corteza; poda; lignocelulosa; químicos; biomateriales</t>
  </si>
  <si>
    <t>Demuestra tecnologías escalables para producir químicos o materiales a partir de corteza, aserrín y residuos de cosecha o procesamiento de madera.</t>
  </si>
  <si>
    <t>UNPHU puede participar como beneficiaria adicional, especialmente aportando cadenas de biomasa tropical y agroforestal.</t>
  </si>
  <si>
    <t>Innovation Action. Contribución estimada de EUR 7 millones por proyecto y TRL final 6-7. Debe demostrar rendimiento, selectividad y sostenibilidad.</t>
  </si>
  <si>
    <t>https://ec.europa.eu/info/funding-tenders/opportunities/portal/screen/opportunities/topic-details/HORIZON-JU-CBE-2026-IA-03?callIdentifier=HORIZON-JU-CBE-2026</t>
  </si>
  <si>
    <t>CBE JU — HORIZON-JU-CBE-2026-IA-03</t>
  </si>
  <si>
    <t xml:space="preserve"> poda, aserrín, residuos leñosos de café/cacao o sistemas agroforestales.</t>
  </si>
  <si>
    <t>2026-029</t>
  </si>
  <si>
    <t>UNESCO–IGCP — Financiación de geociencias para América Latina y el Caribe</t>
  </si>
  <si>
    <t>UNESCO e International Union of Geological Sciences (IUGS)</t>
  </si>
  <si>
    <t>Expresión de interés</t>
  </si>
  <si>
    <t>36 meses</t>
  </si>
  <si>
    <t>Investigadores en geociencias, geomática, hidrogeología, geodinámica, recursos terrestres y riesgos geológicos</t>
  </si>
  <si>
    <t>América Latina y el Caribe, incluida República Dominicana</t>
  </si>
  <si>
    <t>Geomática y ciencias de la Tierra</t>
  </si>
  <si>
    <t>geociencias; geomática; SIG; teledetección; hidrogeología; geodinámica; riesgos geológicos; recursos terrestres</t>
  </si>
  <si>
    <t>Apoya investigaciones regionales en recursos terrestres, cambio global, riesgos geológicos, hidrogeología, geodinámica y geopatrimonio, con énfasis en cooperación y desarrollo de capacidades.</t>
  </si>
  <si>
    <t>El líder debe poseer doctorado o grado equivalente y trabajar en una universidad, centro de investigación u otra institución científica de América Latina o el Caribe.</t>
  </si>
  <si>
    <t>Hasta USD 50,000 para un año inicial, renovable hasta tres años. Cubre trabajo de campo, análisis de laboratorio, viajes científicos y capacitación; no cubre salarios, equipos, software ni publicación.</t>
  </si>
  <si>
    <t>https://www.unesco.org/en/articles/call-expressions-interest-geoscience-funding-latin-america-and-caribbean</t>
  </si>
  <si>
    <t>UNESCO — International Geoscience Programme (IGCP); iggp@unesco.org</t>
  </si>
  <si>
    <t>Convocatoria especialmente pertinente para geomática, riesgos, aguas subterráneas, cartografía y teledetección. Monitorear la siguiente edición.</t>
  </si>
  <si>
    <t>2026-030</t>
  </si>
  <si>
    <t>CYTED 2026 — Ingeniería y modernización de procesos en la industria minera</t>
  </si>
  <si>
    <t>Investigadores en ingeniería industrial, química, procesos, minería, materiales, logística, mantenimiento y control de calidad</t>
  </si>
  <si>
    <t>Ingeniería industrial y minería sostenible</t>
  </si>
  <si>
    <t>procesos industriales; minería sostenible; relaves; residuos mineros; economía circular; mantenimiento; productividad</t>
  </si>
  <si>
    <t>Promueve redes iberoamericanas para modernizar la extracción y el reprocesamiento de recursos mineros, recuperar relaves y fortalecer la transferencia tecnológica.</t>
  </si>
  <si>
    <t>La red debe integrar grupos de al menos seis países miembros de CYTED e involucrar al menos dos subsectores de la cadena minera.</t>
  </si>
  <si>
    <t>Máximo EUR 20,000 para el primer año. Financia coordinación, movilidad, reuniones, publicaciones y formación; no equivale a una subvención de infraestructura o nómina.</t>
  </si>
  <si>
    <t>Programa CYTED — Convocatoria Redes Temáticas 2026; proyectos@cyted.org</t>
  </si>
  <si>
    <t>Adecuada si UNPHU identifica socios mineros, industriales o ambientales de otros cinco países iberoamericanos.</t>
  </si>
  <si>
    <t>2026-031</t>
  </si>
  <si>
    <t>CYTED 2026 — Optimización de procesos industriales sostenibles con IA</t>
  </si>
  <si>
    <t>Investigadores en ingeniería industrial, manufactura, automatización, operaciones, ciencia de datos e inteligencia artificial</t>
  </si>
  <si>
    <t>Ingeniería industrial y manufactura sostenible</t>
  </si>
  <si>
    <t>IA industrial; manufactura; optimización; automatización; productividad; sostenibilidad; control de procesos</t>
  </si>
  <si>
    <t>Busca desarrollar aplicaciones concretas de IA para automatizar, predecir y optimizar procesos manufactureros y reducir costos, tiempos, consumo de recursos y residuos.</t>
  </si>
  <si>
    <t>Requiere una red con participación de al menos seis países y dos o más industrias, y el desarrollo de al menos un proceso, producto o servicio mejorado mediante IA.</t>
  </si>
  <si>
    <t>Máximo EUR 20,000 para el primer año. La ayuda cubre actividades de red, movilidad, reuniones, publicaciones y formación.</t>
  </si>
  <si>
    <t xml:space="preserve"> requiere conformar anticipadamente una red internacional y vincular empresas manufactureras.</t>
  </si>
  <si>
    <t>2026-032</t>
  </si>
  <si>
    <t>Data Science and Modeling for Green Chemistry</t>
  </si>
  <si>
    <t>American Chemical Society Green Chemistry Institute Pharmaceutical Roundtable</t>
  </si>
  <si>
    <t>Asociación profesional</t>
  </si>
  <si>
    <t>Premio</t>
  </si>
  <si>
    <t>profesor, grupos académicos e investigadores industriales en química, procesos, IA y modelización</t>
  </si>
  <si>
    <t>Persona individual; equipo académico o industrial</t>
  </si>
  <si>
    <t>Ingeniería química y química verde</t>
  </si>
  <si>
    <t>química verde; ciencia de datos; modelización; aprendizaje automático; procesos sostenibles; eficiencia; residuos</t>
  </si>
  <si>
    <t>Reconoce herramientas computacionales, algoritmos o software que permitan diseñar, implementar o evaluar procesos químicos más seguros, eficientes y sostenibles.</t>
  </si>
  <si>
    <t>Pueden postular grupos académicos e industriales internacionales. No exige membresía en ACS; la herramienta debe tener aplicación demostrable en química verde.</t>
  </si>
  <si>
    <t>Premio de hasta USD 5,000. Puede reembolsar hasta USD 2,500 para presentar el trabajo en la Green Chemistry &amp; Engineering Conference. No financia el inicio de un proyecto nuevo.</t>
  </si>
  <si>
    <t>https://www.acs.org/funding/awards/data-science-and-modeling-for-green-chemistry.html</t>
  </si>
  <si>
    <t>ACS Green Chemistry Institute; gcipr@acs.org</t>
  </si>
  <si>
    <t>Registrar como premio de innovación, diferenciándolo de una subvención para ejecutar investigación.</t>
  </si>
  <si>
    <t>2026-033</t>
  </si>
  <si>
    <t>Geoscientists Without Borders</t>
  </si>
  <si>
    <t>SEG Foundation / Society of Exploration Geophysicists</t>
  </si>
  <si>
    <t>Hasta 24 meses</t>
  </si>
  <si>
    <t>Investigador establecido en geociencias, geofísica o hidrogeología</t>
  </si>
  <si>
    <t>Institución académica; ONG; entidad sin fines de lucro</t>
  </si>
  <si>
    <t>Hidrogeología y geofísica aplicada</t>
  </si>
  <si>
    <t>aguas subterráneas; acuíferos; prospección geofísica; agua potable; resistividad eléctrica; vulnerabilidad comunitaria</t>
  </si>
  <si>
    <t>Financia proyectos humanitarios que aplican geofísica y geociencias para resolver necesidades de comunidades vulnerables, incluida la localización y caracterización de fuentes de agua subterránea.</t>
  </si>
  <si>
    <t>Investigador principal establecido; la entidad administradora debe ser una institución académica u organización sin fines de lucro equivalente a una 501(c)(3). Se espera participación estudiantil.</t>
  </si>
  <si>
    <t>Carta de intención y plantilla en inglés; propuesta completa solo por invitación. No financia individuos, entidades con fines de lucro ni costos indirectos. Tope de USD 50,000 por año.</t>
  </si>
  <si>
    <t>https://seg.org/programs/geoscientists-without-borders/apply/</t>
  </si>
  <si>
    <t>SEG Foundation; withoutborders@seg.org</t>
  </si>
  <si>
    <t>plantear prospección de aguas subterráneas y beneficio comunitario medible.</t>
  </si>
  <si>
    <t>2026-034</t>
  </si>
  <si>
    <t>IAS Post-Doctoral Research Grants — Fall 2026</t>
  </si>
  <si>
    <t>International Association of Sedimentologists</t>
  </si>
  <si>
    <t>Aproximadamente 12 meses</t>
  </si>
  <si>
    <t>Postdoctorado o investigador en etapa inicial</t>
  </si>
  <si>
    <t>Persona individual afiliada a institución académica o centro de investigación</t>
  </si>
  <si>
    <t>Sedimentología e hidrogeología de acuíferos sedimentarios</t>
  </si>
  <si>
    <t>acuíferos sedimentarios; porosidad; permeabilidad; facies; sedimentos; hidroestratigrafía</t>
  </si>
  <si>
    <t>Subvención semilla para probar conceptos o cubrir brechas de un proyecto. Es pertinente cuando la porosidad, permeabilidad y respuesta del acuífero dependen de facies y estructuras sedimentarias.</t>
  </si>
  <si>
    <t>Ser miembro pleno de IAS, haber obtenido el doctorado en los siete años anteriores al cierre y no haber recibido anteriormente esta subvención.</t>
  </si>
  <si>
    <t>Financia trabajo de campo, laboratorio y equipo especializado. No cubre salario, costos indirectos, matrícula ni viajes a congresos.</t>
  </si>
  <si>
    <t>https://www.sedimentologists.org/resources/grants/</t>
  </si>
  <si>
    <t>Adecuada para investigadores postdoctorales de UNPHU con proyecto de acuíferos sedimentarios.</t>
  </si>
  <si>
    <t>2026-035</t>
  </si>
  <si>
    <t>IAS Institutional Grants — Fall 2026</t>
  </si>
  <si>
    <t>Profesor o investigador permanente en ciencias de la Tierra</t>
  </si>
  <si>
    <t>Institución académica; departamento universitario</t>
  </si>
  <si>
    <t>Países con capacidad limitada de investigación y desarrollo</t>
  </si>
  <si>
    <t>Fortalecimiento de capacidades en sedimentología e hidrogeología</t>
  </si>
  <si>
    <t>barrenas; tamices; microscopios; software; sedimentos; formación; acuíferos</t>
  </si>
  <si>
    <t>Proporciona equipos y materiales para docencia e investigación sedimentológica en instituciones de países con capacidad limitada, aplicables al estudio de sedimentos y acuíferos.</t>
  </si>
  <si>
    <t>El solicitante debe ser miembro pleno de IAS y ocupar un puesto universitario permanente. Se priorizan países que históricamente invierten menos del 1 % del PIB en I+D; otros deben justificar la necesidad.</t>
  </si>
  <si>
    <t>Es una ayuda en especie: IAS compra y envía el equipo; no transfiere efectivo. Puede cubrir barrenas, tamices, microscopios, software especializado y materiales profesor.</t>
  </si>
  <si>
    <t>International Association of Sedimentologists; eo@sedimentologists.org</t>
  </si>
  <si>
    <t>Prioridad alta para fortalecer laboratorio. Confirmar la clasificación aplicable a República Dominicana y costos de envío.</t>
  </si>
  <si>
    <t>2026-036</t>
  </si>
  <si>
    <t>First Rufford Small Grant for Nature Conservation</t>
  </si>
  <si>
    <t>The Rufford Foundation</t>
  </si>
  <si>
    <t>Investigador emergente; estudiante de maestría o doctorado; graduado reciente</t>
  </si>
  <si>
    <t>Persona individual; equipo pequeño</t>
  </si>
  <si>
    <t>Conservación de ecosistemas dependientes de aguas subterráneas</t>
  </si>
  <si>
    <t>manantiales; humedales; acuíferos costeros; ecosistemas subterráneos; biodiversidad; conservación</t>
  </si>
  <si>
    <t>Financia trabajo de campo de conservación. La hidrogeología es pertinente cuando el proyecto demuestra un beneficio directo para especies, hábitats, manantiales, humedales o ecosistemas dependientes de aguas subterráneas.</t>
  </si>
  <si>
    <t>Dirigida principalmente a conservacionistas en etapas iniciales. República Dominicana figura como país elegible y el proyecto debe tener objetivos concretos de conservación en campo.</t>
  </si>
  <si>
    <t>No financia investigación puramente académica. La primera subvención es de hasta GBP 7,000; existen etapas posteriores de GBP 8,000, 12,000 y 18,000.</t>
  </si>
  <si>
    <t>https://apply.ruffordsmallgrants.org/</t>
  </si>
  <si>
    <t>Presentar la hidrogeología como herramienta para proteger biodiversidad y hábitats, con indicadores de conservación.</t>
  </si>
  <si>
    <t>2026-037</t>
  </si>
  <si>
    <t>Horton Research Grant</t>
  </si>
  <si>
    <t>American Geophysical Union</t>
  </si>
  <si>
    <t>Estudiante de doctorado en hidrología, hidrogeología o recursos hídricos</t>
  </si>
  <si>
    <t>Hidrología, aguas subterráneas y recursos hídricos</t>
  </si>
  <si>
    <t>hidrología; hidrogeología; acuíferos; recursos hídricos; modelación; calidad del agua</t>
  </si>
  <si>
    <t>Otorga hasta tres subvenciones anuales para apoyar la investigación doctoral en hidrología, recursos hídricos y áreas relacionadas, incluida la hidrogeología.</t>
  </si>
  <si>
    <t>Ser miembro estudiantil activo de AGU y permanecer matriculado en un programa doctoral durante todo el año de la subvención.</t>
  </si>
  <si>
    <t>El ciclo 2026 cerró el 13/03/2026. La solicitud incluye resumen, propósito, presupuesto, CV, expediente académico y recomendaciones. Solicitantes internacionales pueden recibir hasta USD 1,000 adicionales para viaje.</t>
  </si>
  <si>
    <t>https://www.agu.org/honors/horton-grant</t>
  </si>
  <si>
    <t>American Geophysical Union; Grants@agu.org</t>
  </si>
  <si>
    <t xml:space="preserve"> monitorear el ciclo anual de enero a marzo de 2027.</t>
  </si>
  <si>
    <t>2026-038</t>
  </si>
  <si>
    <t>Beca José Juan Vilar Martínez — Excelencia en Investigación en Periodoncia 2026</t>
  </si>
  <si>
    <t>Sociedad Española de Periodoncia y Oseointegración (SEPA)</t>
  </si>
  <si>
    <t>España</t>
  </si>
  <si>
    <t>Investigador emergente</t>
  </si>
  <si>
    <t>Internacional; estancia en un centro distinto al de origen</t>
  </si>
  <si>
    <t>Sin restricción; exige membresía SEPA, incluida la categoría internacional</t>
  </si>
  <si>
    <t>Periodoncia, implantes dentales y biomateriales</t>
  </si>
  <si>
    <t>periodontitis; implantes; biomateriales; regeneración; movilidad; investigación clínica</t>
  </si>
  <si>
    <t>Financia una estancia de al menos tres meses y un proyecto vinculado en periodoncia, implantes dentales o biomateriales.</t>
  </si>
  <si>
    <t>Miembro de SEPA con proyecto clínico o preclínico, protocolo y aprobación ética. Las revisiones sistemáticas están excluidas.</t>
  </si>
  <si>
    <t>Hasta EUR 10.000 para viaje, alojamiento y manutención y al menos EUR 5.000 para investigación. Exige publicación Q1 antes del 30/11/2027, salvo prórroga excepcional.</t>
  </si>
  <si>
    <t>https://sepa.es/web/_public/downloads/becas/Beca-Jos%C3%A9%20Juan%20Vilar%20Mart%C3%ADnez%202026%20ES.pdf?20260426114110=</t>
  </si>
  <si>
    <t>Convocatoria 2026 cerrada. Para una edición futura, formalizar membresía internacional de SEPA y asegurar centro anfitrión y estrategia de publicación Q1.</t>
  </si>
  <si>
    <t>2026-039</t>
  </si>
  <si>
    <t>David Steflik Memorial Student Research Grant 2026</t>
  </si>
  <si>
    <t>American Academy of Implant Dentistry Foundation</t>
  </si>
  <si>
    <t>Estudiante de posgrado</t>
  </si>
  <si>
    <t>Sin restricción; los estudiantes internacionales son bienvenidos</t>
  </si>
  <si>
    <t>Implantología, biomateriales y respuesta tisular</t>
  </si>
  <si>
    <t>implantes; estudiantes; biomateriales; oseointegración; tejidos; investigación piloto</t>
  </si>
  <si>
    <t>Apoya proyectos estudiantiles en implantología, biomateriales y respuesta de los tejidos a los implantes.</t>
  </si>
  <si>
    <t>Estudiantes de odontología y participantes en programas de posgrado o residencia, con tutor y respaldo institucional.</t>
  </si>
  <si>
    <t>Financiamiento directo máximo de USD 7.000. Puede incluir hasta USD 1.500 adicionales para presentar resultados en la reunión anual de AAID.</t>
  </si>
  <si>
    <t>https://www.aaid.com/aaidf-grants</t>
  </si>
  <si>
    <t>Convocatoria 2026 cerrada. Monitorear el próximo ciclo para tesis o proyectos piloto de residentes y estudiantes de posgrado de UNPHU.</t>
  </si>
  <si>
    <t>2026-040</t>
  </si>
  <si>
    <t>AAID Foundation Large Research Grant 2026</t>
  </si>
  <si>
    <t>Internacional; confirmar la elegibilidad geográfica en el próximo ciclo</t>
  </si>
  <si>
    <t>No especificada en la página pública</t>
  </si>
  <si>
    <t>Implantología oral</t>
  </si>
  <si>
    <t>implantes; factibilidad; nuevas técnicas; modelos animales; datos clínicos; biomateriales; respuesta tisular</t>
  </si>
  <si>
    <t>Apoya estudios de factibilidad, nuevas técnicas o procedimientos, pequeños estudios clínicos o animales y análisis de datos existentes relacionados con implantología.</t>
  </si>
  <si>
    <t>Dirigida a investigadores en implantología. Deben cumplirse las condiciones institucionales y éticas de las bases de cada ciclo.</t>
  </si>
  <si>
    <t>Permite suministros, equipos pequeños y salarios de apoyo técnico. No permite salario del PI, consultores, grandes equipos ni costos indirectos.</t>
  </si>
  <si>
    <t>Convocatoria 2026 cerrada. Confirmar la elegibilidad internacional antes de preparar una propuesta del siguiente ciclo.</t>
  </si>
  <si>
    <t>2026-041</t>
  </si>
  <si>
    <t>ITI Research Mentoring Program 2026</t>
  </si>
  <si>
    <t>International Team for Implantology (ITI Foundation)</t>
  </si>
  <si>
    <t>De 1 a 12 meses</t>
  </si>
  <si>
    <t>Sin restricción publicada</t>
  </si>
  <si>
    <t>Formación investigadora en implantología</t>
  </si>
  <si>
    <t>mentoría; movilidad; implantología; periimplantitis; regeneración; capacitación; colaboración internacional</t>
  </si>
  <si>
    <t>Apoya estancias en una institución mentora para adquirir métodos, desarrollar colaboraciones y fortalecer la carrera científica en implantología.</t>
  </si>
  <si>
    <t>Investigador emergente; solicitud en inglés, CV, plan de estancia y referencias. Debe poder desplazarse al centro anfitrión.</t>
  </si>
  <si>
    <t>Apertura prevista el 01/08/2026. Tramos de USD 1.500–7.500, USD 7.500–10.000 y USD 10.000–20.000; compensación adicional al centro anfitrión de hasta USD 5.000.</t>
  </si>
  <si>
    <t>https://www.iti.org/science/research-mentoring-program/</t>
  </si>
  <si>
    <t>International Team for Implantology (ITI) Research Committee</t>
  </si>
  <si>
    <t>Próxima a abrir al verificarla. Recomendable para formar investigadores jóvenes de UNPHU en microbiología periimplantaria, regeneración o investigación clínica.</t>
  </si>
  <si>
    <t>2026-042</t>
  </si>
  <si>
    <t>ITI Targeted Call 2026 — Long-Term Outcomes of Single Implants versus 3-Unit Tooth-Borne Bridges</t>
  </si>
  <si>
    <t>Según proyecto; resultados con seguimiento mínimo de 5 años</t>
  </si>
  <si>
    <t>Resultados clínicos de implantes unitarios</t>
  </si>
  <si>
    <t>implante unitario; puente dentosoportado; supervivencia; PROMs; costo-efectividad; complicaciones; seguimiento longitudinal</t>
  </si>
  <si>
    <t>Compara resultados a largo plazo de implantes unitarios y puentes dentosoportados de tres unidades, incluida supervivencia, complicaciones, experiencia del paciente y economía de la salud.</t>
  </si>
  <si>
    <t>El primer solicitante debe estar afiliado a una institución académica acreditada. Se aceptan estudios retrospectivos y multicéntricos con datos de al menos cinco años.</t>
  </si>
  <si>
    <t>Modalidad pequeña hasta USD 50.000 y grande hasta USD 200.000. La notificación está prevista para noviembre de 2026.</t>
  </si>
  <si>
    <t>https://www.iti.org/science/research-grants/</t>
  </si>
  <si>
    <t>ID de referencia de la búsqueda: OD-2026-002. UNPHU necesitaría expedientes longitudinales o integrarse en una red multicéntrica.</t>
  </si>
  <si>
    <t>2026-043</t>
  </si>
  <si>
    <t>FY26 Epilepsy Research Program — Leveraging Research Award</t>
  </si>
  <si>
    <t>Defense Health Agency / CDMRP — Epilepsy Research Program</t>
  </si>
  <si>
    <t>Máximo 3 años</t>
  </si>
  <si>
    <t>Investigador independiente de cualquier etapa; equipo con experiencia en lesión cerebral traumática y epilepsia</t>
  </si>
  <si>
    <t>Organización extranjera o estadounidense, pública, privada, con o sin fines de lucro</t>
  </si>
  <si>
    <t>Internacional, incluida República Dominicana</t>
  </si>
  <si>
    <t>Cualquier nacionalidad o ciudadanía</t>
  </si>
  <si>
    <t>Epilepsia postraumática</t>
  </si>
  <si>
    <t>epilepsia postraumática; PTE; neuroestimulación;  lesión cerebral traumática; dispositivos avanzados</t>
  </si>
  <si>
    <t>Permite adaptar o ampliar una cohorte, herramienta, intervención o recurso existente que anteriormente no estuviera enfocado en epilepsia postraumática.</t>
  </si>
  <si>
    <t>UNPHU es elegible como organización extranjera. El PI debe ser investigador independiente. Se requieren datos preliminares y acceso demostrado al recurso que se pretende aprovechar.</t>
  </si>
  <si>
    <t>Carta de intención: 03/08/2026, 5:00 p. m. ET. Solicitud completa: 17/08/2026, 11:59 p. m. ET. Solo aplica si la neuroestimulación se orienta explícitamente a epilepsia postraumática; puede incluir ensayos clínicos.</t>
  </si>
  <si>
    <t>https://cdmrp.health.mil/funding/pa/HT942526ERPLRA_GG.pdf</t>
  </si>
  <si>
    <t>CDMRP — Epilepsy Research Program</t>
  </si>
  <si>
    <t>solo si existe una cohorte o intervención reutilizable y la población es PTE. Confirmar SAM/UEI, eBRAP y Grants.gov activos.</t>
  </si>
  <si>
    <t>2026-044</t>
  </si>
  <si>
    <t>FY26 PRMRP — Impact Award</t>
  </si>
  <si>
    <t>Defense Health Agency / CDMRP — PRMRP</t>
  </si>
  <si>
    <t>Máximo 4 años</t>
  </si>
  <si>
    <t>Investigador independiente; en modalidad asociada, uno de los PI debe ser investigador clínico</t>
  </si>
  <si>
    <t>Endometriosis y neuropatía periférica</t>
  </si>
  <si>
    <t>endometriosis;  mecanismos; biomarcadores; soluciones clínicas; investigación traslacional</t>
  </si>
  <si>
    <t>Apoya conceptos maduros de investigación aplicada que puedan convertirse en soluciones clínicas con impacto importante a corto plazo.</t>
  </si>
  <si>
    <t>UNPHU es elegible. Los postdoctorados, fellows clínicos y científicos bajo mentoría no pueden ser PI.</t>
  </si>
  <si>
    <t>Carta de intención: 23/07/2026, 5:00 p. m. ET. Solicitud completa: 06/08/2026, 11:59 p. m. ET. Tope: USD 2.8 millones con PI único o USD 3.6 millones con PI asociado. No permite ensayos clínicos; sí investigación clínica no intervencional.</t>
  </si>
  <si>
    <t>https://cdmrp.health.mil/funding/pa/HT942526PRMRPIPA_GG.pdf</t>
  </si>
  <si>
    <t>CDMRP — PRMRP</t>
  </si>
  <si>
    <t xml:space="preserve"> biomarcadores, diagnóstico o tratamiento traslacional de CIPN/endometriosis.</t>
  </si>
  <si>
    <t>2026-045</t>
  </si>
  <si>
    <t>FY26 PRMRP — Technology/Therapeutic Development Award</t>
  </si>
  <si>
    <t>Investigador independiente con equipo de desarrollo de producto, regulación y transición clínica</t>
  </si>
  <si>
    <t>Organización extranjera o estadounidense, pública o privada</t>
  </si>
  <si>
    <t>neuroprotección; fármaco; diagnóstico; dispositivo; endometriosis; biomarcadores; IND; IDE</t>
  </si>
  <si>
    <t>Apoya la transformación de resultados preclínicos prometedores en productos clínicos para prevención, diagnóstico, tratamiento o mejora de calidad de vida.</t>
  </si>
  <si>
    <t>UNPHU es elegible como institución extranjera. Se requiere prueba de concepto preliminar y una estrategia clara de transición regulatoria o clínica.</t>
  </si>
  <si>
    <t>Carta de intención: 23/07/2026, 5:00 p. m. ET. Solicitud completa: 06/08/2026, 11:59 p. m. ET. Debe conducir a un expediente regulatorio o a implementación clínica. No permite ensayos clínicos.</t>
  </si>
  <si>
    <t>https://cdmrp.health.mil/funding/pa/HT942526PRMRPTTDA_GG2.pdf</t>
  </si>
  <si>
    <t>existe candidato terapéutico, dispositivo, biomarcador o prueba diagnóstica para CIPN/endometriosis.</t>
  </si>
  <si>
    <t>2026-046</t>
  </si>
  <si>
    <t>2027–2029 Clinical Research Training Scholarship in Peripheral Neuropathy</t>
  </si>
  <si>
    <t>Foundation for Peripheral Neuropathy / American Brain Foundation / American Academy of Neurology</t>
  </si>
  <si>
    <t>Investigador individual respaldado por una institución anfitriona</t>
  </si>
  <si>
    <t>Internacional; existen antecedentes de beneficiarios fuera de Estados Unidos</t>
  </si>
  <si>
    <t>No se publica restricción de nacionalidad; confirmar en el portal de solicitud</t>
  </si>
  <si>
    <t>Neuropatía periférica</t>
  </si>
  <si>
    <t xml:space="preserve"> neuropatía inducida por quimioterapia; mecanismos; diagnóstico; tratamiento; ensayo clínico; tecnología</t>
  </si>
  <si>
    <t>Financia estudios epidemiológicos, conductuales, clínicos, mecanismos de enfermedad, tecnologías, servicios de salud y modelos traslacionales de neuropatía periférica.</t>
  </si>
  <si>
    <t>Investigadores MD o PhD de carrera temprana comprometidos con investigación en neuropatía, con apoyo institucional y cumplimiento de los criterios completos de ABF.</t>
  </si>
  <si>
    <t>Solicitud presentada en 2026 para el período 2027–2029. Correspondencia directa con CIPN; una beneficiaria 2026 recibió apoyo específicamente para investigación de neuropatía inducida por quimioterapia.</t>
  </si>
  <si>
    <t>https://www.foundationforpn.org/peripheral-neuropathy-research-training-grant-2027/</t>
  </si>
  <si>
    <t>Foundation for Peripheral Neuropathy / American Brain Foundation</t>
  </si>
  <si>
    <t xml:space="preserve"> Verificar criterios exactos de etapa profesional en el portal ABF.</t>
  </si>
  <si>
    <t>2026-047</t>
  </si>
  <si>
    <t>World Endometriosis Society Early Career Investigator Awards 2027</t>
  </si>
  <si>
    <t>World Endometriosis Society</t>
  </si>
  <si>
    <t>Canadá / Internacional</t>
  </si>
  <si>
    <t>Clínicos, científicos básicos o sociales en etapa inicial</t>
  </si>
  <si>
    <t>Investigador individual miembro de WES; institución o mentor administra fondos cuando corresponda</t>
  </si>
  <si>
    <t>No se publica restricción de ciudadanía</t>
  </si>
  <si>
    <t>Endometriosis o adenomiosis</t>
  </si>
  <si>
    <t>endometriosis; manejo integral; dolor pélvico; calidad de vida; cirugía; epidemiología; salud pública; ciencias sociales</t>
  </si>
  <si>
    <t>Otorga seis catalyst grants: dos para clínicos y profesionales aliados, dos para científicos básicos y dos para científicos sociales.</t>
  </si>
  <si>
    <t>Requiere membresía WES. Clínicos y profesionales aliados: dentro de seis años de práctica independiente. Científicos básicos o sociales: dentro de diez años del doctorado o formación equivalente.</t>
  </si>
  <si>
    <t>Admite faculty de carrera temprana, postdoctorados y asociados de investigación. Quienes no tengan posición independiente deben identificar supervisor o mentor que administre los fondos.</t>
  </si>
  <si>
    <t>https://www.worldendosociety.org/mentoring-grants-awards/research-grants</t>
  </si>
  <si>
    <t xml:space="preserve"> calidad de vida o investigación social en endometriosis.</t>
  </si>
  <si>
    <t>2026-048</t>
  </si>
  <si>
    <t>Dissemination and Implementation Research in Health — R03; PAR-25-233</t>
  </si>
  <si>
    <t>National Institutes of Health — NIH</t>
  </si>
  <si>
    <t>Investigadores en salud pública, epidemiología, implementación, servicios de salud, ginecología, neurología u oncología</t>
  </si>
  <si>
    <t>Universidad u organización de investigación; entidades extranjeras elegibles</t>
  </si>
  <si>
    <t>Sin restricción específica para PI de entidad extranjera elegible</t>
  </si>
  <si>
    <t>Implementación de intervenciones y prácticas de salud basadas en evidencia</t>
  </si>
  <si>
    <t>manejo integral; endometriosis;  implementación; ruta clínica; acceso; adherencia; calidad de atención</t>
  </si>
  <si>
    <t>Financia estudios pequeños sobre adopción, adaptación, implementación, escalamiento y sostenibilidad de prácticas, guías o intervenciones de salud basadas en evidencia.</t>
  </si>
  <si>
    <t>UNPHU puede solicitar directamente. El PI debe poseer los conocimientos, recursos y respaldo institucional necesarios.</t>
  </si>
  <si>
    <t>Máximo USD 50,000 en costos directos por año y USD 100,000 en dos años. No permite ensayos clínicos de eficacia; es adecuada para implementar una ruta integral de endometriosis o un protocolo para CIPN.</t>
  </si>
  <si>
    <t>https://grants.nih.gov/grants/guide/pa-files/PAR-25-233.html</t>
  </si>
  <si>
    <t>NIH / NICHD / NINDS / Fogarty International Center</t>
  </si>
  <si>
    <t xml:space="preserve"> manejo integral y servicios de salud. La intervención o guía debe contar con evidencia previa.</t>
  </si>
  <si>
    <t>2026-049</t>
  </si>
  <si>
    <t>Wellcome Discovery Awards — September 2026 round</t>
  </si>
  <si>
    <t>Wellcome</t>
  </si>
  <si>
    <t>Normalmente 3–8 años; promedio cercano a 7 años</t>
  </si>
  <si>
    <t>Investigador establecido; se permiten co-solicitantes</t>
  </si>
  <si>
    <t>Universidad, instituto de investigación, organización sanitaria o entidad sin fines de lucro</t>
  </si>
  <si>
    <t>Reino Unido, Irlanda y países de ingresos bajos y medios; República Dominicana es elegible para esta ronda</t>
  </si>
  <si>
    <t>Elegibilidad basada en institución y ubicación, no en ciudadanía</t>
  </si>
  <si>
    <t>Investigación de descubrimiento en salud y bienestar</t>
  </si>
  <si>
    <t>epilepsia; neuroestimulación; neuropatía;  endometriosis; mecanismos; medicina experimental</t>
  </si>
  <si>
    <t>Apoya programas ambiciosos que generen cambios importantes en la comprensión de la vida, la salud y el bienestar, incluyendo ciencia básica, experimental, clínica o poblacional.</t>
  </si>
  <si>
    <t>La organización administradora debe ser sin fines de lucro. República Dominicana figura en la lista vigente de países de ingresos bajos y medios de Wellcome para esta ronda.</t>
  </si>
  <si>
    <t>Cierre: 22/09/2026, 3:00 p. m. BST. No hay tope formal; el promedio es aproximadamente GBP 3.5 millones y solicitudes superiores a GBP 5 millones reciben escrutinio adicional. La elegibilidad geográfica cambia después del 29/10/2026.</t>
  </si>
  <si>
    <t>https://wellcome.org/research-funding/schemes/wellcome-discovery-awards</t>
  </si>
  <si>
    <t>2026-050</t>
  </si>
  <si>
    <t>IBSA Foundation Fellowships — 2026 Call</t>
  </si>
  <si>
    <t>IBSA Foundation for Scientific Research</t>
  </si>
  <si>
    <t>Suiza</t>
  </si>
  <si>
    <t>Menor de 40 años; medicina, biología, farmacia, biotecnología o bioingeniería; PhD student, PhD, postdoc o residente</t>
  </si>
  <si>
    <t>Investigador individual activo en una institución anfitriona de investigación</t>
  </si>
  <si>
    <t>Cualquier nacionalidad</t>
  </si>
  <si>
    <t>Medicina del dolor; ortopedia/reumatología; fertilidad/urología; medicina regenerativa</t>
  </si>
  <si>
    <t>dolor neuropático;  dolor pélvico; endometriosis; fertilidad; rehabilitación; medicina del dolor</t>
  </si>
  <si>
    <t>Ofrece siete fellowships de EUR 32,000. Las áreas de medicina del dolor y fertilidad/urología permiten proyectos relacionados con CIPN, dolor pélvico y endometriosis.</t>
  </si>
  <si>
    <t>Menor de 40 años al cierre, título elegible y actividad durante toda la beca en universidad, hospital o centro de investigación. profesor con posición permanente no son elegibles.</t>
  </si>
  <si>
    <t>No cubre bench fees, overhead, consumibles ni beneficios para el supervisor o institución. Incluye un Research Equity Prize adicional de EUR 5,000 para el mejor proyecto desarrollado en un país en desarrollo.</t>
  </si>
  <si>
    <t>https://www.ibsafoundation.org/en/fellowship/call-2026</t>
  </si>
  <si>
    <t>IBSA Foundation</t>
  </si>
  <si>
    <t xml:space="preserve"> investigador joven; no financia costos institucionales.</t>
  </si>
  <si>
    <t>2026-051</t>
  </si>
  <si>
    <t>Darwin Initiative Main — Round 32</t>
  </si>
  <si>
    <t>UK Department for Environment, Food &amp; Rural Affairs — Defra</t>
  </si>
  <si>
    <t>2-5 años</t>
  </si>
  <si>
    <t>Investigador establecido; equipo interdisciplinario</t>
  </si>
  <si>
    <t>Institución académica; ONG; entidad pública o privada registrada</t>
  </si>
  <si>
    <t>Países y hotspots elegibles; República Dominicana e Islas del Caribe</t>
  </si>
  <si>
    <t>Conservación de biodiversidad y reducción multidimensional de la pobreza</t>
  </si>
  <si>
    <t>biodiversidad; conservación; restauración; comunidades; pobreza; escalamiento; Caribe</t>
  </si>
  <si>
    <t>Financia proyectos grandes, basados en evidencia y con potencial de escala, que produzcan resultados simultáneos para la conservación de la biodiversidad y la reducción de la pobreza.</t>
  </si>
  <si>
    <t>UNPHU puede postular como organización líder. República Dominicana figura como país elegible dentro del hotspot Islas del Caribe; por ser país UMIC debe justificarse especialmente la necesidad del financiamiento y el beneficio a población vulnerable.</t>
  </si>
  <si>
    <t>Etapa 1: nota conceptual. Cierre 20/07/2026 a las 23:59 BST (18:59 AST). Solo una solicitud líder por organización y esquema. Inicio previsto desde abril de 2027.</t>
  </si>
  <si>
    <t>https://www.darwininitiative.org.uk/how-to-apply/main-applications/</t>
  </si>
  <si>
    <t>https://pivot.proquest.com/funding_opps/00d28df5-0db9-4812-8c68-d1d75de8f0f3</t>
  </si>
  <si>
    <t>UK Defra / NIRAS Biodiversity Challenge Funds</t>
  </si>
  <si>
    <t>Referencia de búsqueda BIO-2026-002. La ficha Pivot del adjunto contenía datos de una edición anterior; usar los datos oficiales de Round 32.</t>
  </si>
  <si>
    <t>2026-052</t>
  </si>
  <si>
    <t>Darwin Initiative Capability &amp; Capacity — Round 32</t>
  </si>
  <si>
    <t>Capacitación</t>
  </si>
  <si>
    <t>Investigador establecido; especialista en fortalecimiento institucional</t>
  </si>
  <si>
    <t>Institución académica; instituto de investigación; ONG; entidad pública</t>
  </si>
  <si>
    <t>Fortalecimiento de capacidades institucionales para la conservación</t>
  </si>
  <si>
    <t>biodiversidad; formación; gobernanza; redes; capacidades locales; pobreza; Caribe</t>
  </si>
  <si>
    <t>Apoya proyectos que desarrollen la capacidad de organizaciones locales y nacionales para producir impactos sostenibles en conservación de biodiversidad y reducción de pobreza.</t>
  </si>
  <si>
    <t>UNPHU puede participar como organización local, entidad líder o institución beneficiaria, siempre que el proyecto contribuya a abordar la pérdida de biodiversidad y la pobreza dentro del hotspot elegible.</t>
  </si>
  <si>
    <t>Proceso de una sola etapa. Cierre 31/08/2026 a las 23:59 BST (18:59 AST). Duración máxima de tres años; inicio previsto desde abril de 2027.</t>
  </si>
  <si>
    <t>https://www.darwininitiative.org.uk/how-to-apply/capability-capacity-applications/</t>
  </si>
  <si>
    <t>Muy buen encaje institucional para UNPHU; coordinar internamente porque solo se permite una solicitud líder por esquema.</t>
  </si>
  <si>
    <t>2026-053</t>
  </si>
  <si>
    <t>Conservation, Food &amp; Health Foundation — Conservation Grants</t>
  </si>
  <si>
    <t>Conservation, Food &amp; Health Foundation</t>
  </si>
  <si>
    <t>Investigador emergente; investigador establecido</t>
  </si>
  <si>
    <t>Institución académica; ONG; organización sin fines de lucro</t>
  </si>
  <si>
    <t>Caribe, América Latina, África, Asia y Medio Oriente</t>
  </si>
  <si>
    <t>Conservación e investigación aplicada</t>
  </si>
  <si>
    <t>biodiversidad; recursos naturales; cambio climático; comunidades; capacidades; políticas</t>
  </si>
  <si>
    <t>Apoya investigación de campo, proyectos piloto y acciones aplicadas que generen soluciones locales y vinculen científicos, comunidades, organizaciones y responsables de políticas.</t>
  </si>
  <si>
    <t>Las universidades son elegibles si demuestran finalidad no gubernamental o benéfica. República Dominicana es elegible como país del Caribe.</t>
  </si>
  <si>
    <t>La próxima ventana para conceptos abre el 15/10/2026 y cierra el 22/12/2026. No existen límites formales; la mayoría de las subvenciones se sitúa entre USD 25,000 y 50,000 por año. Solo una propuesta por organización y año; no cubre overhead.</t>
  </si>
  <si>
    <t>https://cfhfoundation.grantsmanagement08.com/</t>
  </si>
  <si>
    <t>Conservation, Food &amp; Health Foundation / GMA Foundations</t>
  </si>
  <si>
    <t>2026-054</t>
  </si>
  <si>
    <t>FY 2024–2026 Broad Agency Announcement for the Office of Education</t>
  </si>
  <si>
    <t>National Oceanic and Atmospheric Administration — NOAA</t>
  </si>
  <si>
    <t>Investigador emergente; investigador establecido; equipo interdisciplinario</t>
  </si>
  <si>
    <t>Institución académica; ONG; empresa; gobierno; organización extranjera</t>
  </si>
  <si>
    <t>Biodiversidad marina, ecosistemas costeros, clima y educación</t>
  </si>
  <si>
    <t>océanos saludables; hábitats; biodiversidad marina; costas resilientes; cambio climático; educación</t>
  </si>
  <si>
    <t>Broad Agency Announcement para investigación, educación, divulgación y proyectos innovadores vinculados con los objetivos estratégicos de NOAA.</t>
  </si>
  <si>
    <t>Las instituciones de educación superior y organizaciones extranjeras son elegibles, siempre que NOAA disponga de autoridad legal para financiar la actividad propuesta.</t>
  </si>
  <si>
    <t>Cierre 30/09/2026 a las 23:59 ET. Financiamiento sujeto a disponibilidad presupuestaria. Conviene consultar previamente a la oficina programática y completar los registros federales requeridos.</t>
  </si>
  <si>
    <t>https://www.grants.gov/search-results-detail/356002</t>
  </si>
  <si>
    <t>https://pivot.proquest.com/funding_opps/1b3a4403-d139-491a-aae6-f2f1552f7976</t>
  </si>
  <si>
    <t>NOAA Office of Education / U.S. Department of Commerce</t>
  </si>
  <si>
    <t xml:space="preserve"> Utilizar el identificador oficial NOAA-SEC-OED-2024-28060 y no confundir con otros BAA de NOAA.</t>
  </si>
  <si>
    <t>2026-055</t>
  </si>
  <si>
    <t>Nestlé Foundation Research Grants</t>
  </si>
  <si>
    <t>Nestlé Foundation for the Study of Problems of Nutrition in the World</t>
  </si>
  <si>
    <t>Países de ingresos bajos y medios; República Dominicana elegible</t>
  </si>
  <si>
    <t>Nutrición materna, infantil y adolescente; seguridad nutricional</t>
  </si>
  <si>
    <t>Seguridad alimentaria; nutrición; malnutrición; salud materno-infantil; adolescentes; países de ingresos bajos y medios</t>
  </si>
  <si>
    <t>Apoya investigación aplicada e innovadora orientada a mejorar la nutrición materna, infantil y adolescente en países de ingresos bajos y medios.</t>
  </si>
  <si>
    <t>El investigador principal colaborador debe estar radicado en un país elegible y al menos 75 % del presupuesto debe ejecutarse allí. Estudiantes de maestría o doctorado pueden solicitar con supervisión.</t>
  </si>
  <si>
    <t>Carta de intención recibida de forma continua. Las propuestas completas son solo por invitación, con cortes habituales el 10 de enero y el 10 de julio. Regular: hasta USD 100,000 por año y USD 300,000 en total; Training: hasta USD 20,000 por año; Mobility: hasta USD 30,000. No financia estudios solo con animales o in vitro.</t>
  </si>
  <si>
    <t>https://www.nestlefoundation.org/research</t>
  </si>
  <si>
    <t>Nestlé Foundation; nf@nestlefoundation.org</t>
  </si>
  <si>
    <t>Alta afinidad con Nutrición, Medicina y Salud Pública de la UNPHU. República Dominicana figura dentro del universo general de países de ingresos medios.</t>
  </si>
  <si>
    <t>2026-056</t>
  </si>
  <si>
    <t>Seeding the Future Global Food System Challenge 2026</t>
  </si>
  <si>
    <t>Seeding The Future Foundation / Welthungerhilfe</t>
  </si>
  <si>
    <t>Según el cronograma del proyecto</t>
  </si>
  <si>
    <t>Internacional, salvo jurisdicciones sujetas a sanciones integrales</t>
  </si>
  <si>
    <t>Transformación de sistemas alimentarios</t>
  </si>
  <si>
    <t>Seguridad alimentaria; alimentos seguros y nutritivos; agricultura regenerativa; desperdicio de alimentos; acceso equitativo; innovación</t>
  </si>
  <si>
    <t>Premia innovaciones validadas que integren nutrición, sostenibilidad ambiental y acceso equitativo para transformar los sistemas alimentarios.</t>
  </si>
  <si>
    <t>Pueden participar universidades, institutos de investigación, ONG y empresas emergentes de todo el mundo. Las personas deben postular mediante una organización y se requiere prototipo o prueba de concepto.</t>
  </si>
  <si>
    <t>Próximo ciclo previsto del 15 de octubre al 15 de diciembre de 2026, sujeto a activación oficial. Seed Grants: USD 25,000; Growth Grants: USD 100,000; Grand Prizes: USD 250,000. No acepta ideas meramente teóricas.</t>
  </si>
  <si>
    <t>https://www.welthungerhilfe.org/global-food-system-challenge</t>
  </si>
  <si>
    <t>Welthungerhilfe / Seeding The Future Foundation; globalfoodsystemchallenge@welthungerhilfe.de</t>
  </si>
  <si>
    <t>La fecha 2026 se basa en el calendario recurrente publicado; confirmar la apertura efectiva antes de difundir o presentar.</t>
  </si>
  <si>
    <t>2026-057</t>
  </si>
  <si>
    <t>Sylvia Lane Mentor Fellowship</t>
  </si>
  <si>
    <t>Agricultural &amp; Applied Economics Association — AAEA Trust</t>
  </si>
  <si>
    <t>Según el plan de mentoría</t>
  </si>
  <si>
    <t>Sin restricción indicada</t>
  </si>
  <si>
    <t>Economía agrícola, alimentaria y de recursos</t>
  </si>
  <si>
    <t>Seguridad alimentaria; economía agrícola; políticas alimentarias; desarrollo rural; mentoría; mujeres</t>
  </si>
  <si>
    <t>Financia a mujeres en etapas iniciales de su carrera para desarrollar una colaboración de investigación y mentoría con una especialista de otra institución.</t>
  </si>
  <si>
    <t>Dirigida a mujeres en etapa inicial de carrera en economía agrícola, alimentaria o de recursos. Se prefieren nuevas relaciones de mentoría y la mentora debe pertenecer a una institución distinta.</t>
  </si>
  <si>
    <t>Requiere carta de presentación, CV, propuesta de investigación de hasta 3 páginas, recomendación, carta de intención de la mentora y presupuesto. La página menciona uso de fondos en 2026 pese al cierre de octubre; confirmar el cronograma con AAEA.</t>
  </si>
  <si>
    <t>https://www.aaea.org/trust/special-purpose-funds/sylvia-lane-mentorship-fund/call-for-applications</t>
  </si>
  <si>
    <t>https://pivot.proquest.com/funding_opps/dc186f8c-3a85-4d35-9c72-d1d75de8f0f3</t>
  </si>
  <si>
    <t>AAEA Trust; Jeanne Rhodes, jrhodes@aaea.org</t>
  </si>
  <si>
    <t>Incluida por su afinidad con seguridad alimentaria y economía agrícola; conviene validar la aparente inconsistencia temporal con AAEA.</t>
  </si>
  <si>
    <t>2026-058</t>
  </si>
  <si>
    <t>McCorkle Student Scholarship</t>
  </si>
  <si>
    <t>Economía agrícola y de alimentos</t>
  </si>
  <si>
    <t>Seguridad alimentaria; economía agrícola; precios; mercados; cadenas de valor; pobreza; desarrollo rural</t>
  </si>
  <si>
    <t>Apoya proyectos aplicados de estudiantes de posgrado sobre problemas económicos relacionados con la agricultura y los alimentos.</t>
  </si>
  <si>
    <t>Estudiante de posgrado con un proyecto aplicado y respaldo de su asesor o asesora académica.</t>
  </si>
  <si>
    <t>Puede cubrir recolección de datos, gastos de investigación, matrícula, cuotas, libros, suministros y equipo necesario. Requiere propuesta de hasta 5 páginas, presupuesto, carta del asesor y expediente académico. Confirmar expresamente la elegibilidad internacional.</t>
  </si>
  <si>
    <t>https://www.aaea.org/trust/special-purpose-funds/chester-o-mccorkle-jr-special-purpose-fund/mccorkle-scholarship-applications</t>
  </si>
  <si>
    <t>Adecuada para tesis de posgrado de la UNPHU; verificar con AAEA la participación de estudiantes fuera de Estados Unidos.</t>
  </si>
  <si>
    <t>2026-059</t>
  </si>
  <si>
    <t>Food Planet Prize</t>
  </si>
  <si>
    <t>Curt Bergfors Foundation</t>
  </si>
  <si>
    <t>Suecia</t>
  </si>
  <si>
    <t>No aplica</t>
  </si>
  <si>
    <t>Sistemas alimentarios sostenibles</t>
  </si>
  <si>
    <t>Seguridad alimentaria; sostenibilidad; clima; agricultura regenerativa; biodiversidad; cadenas alimentarias; innovación; escalamiento</t>
  </si>
  <si>
    <t>Reconoce iniciativas con capacidad demostrada para transformar el sistema alimentario y reducir su impacto ambiental.</t>
  </si>
  <si>
    <t>Acepta nominaciones propias o de terceros de personas y organizaciones comerciales o sin fines de lucro de cualquier país. Una iniciativa institucional de la UNPHU puede ser elegible.</t>
  </si>
  <si>
    <t>Las nominaciones se reciben durante todo el año. Como referencia del ciclo 2026, el premio principal fue de USD 1.5 millones y tres finalistas recibieron USD 150,000 cada uno; los montos de ciclos futuros no están garantizados.</t>
  </si>
  <si>
    <t>https://foodplanetprize.org/foundation/prize/nominate/</t>
  </si>
  <si>
    <t>Requiere una iniciativa validada y con potencial de impacto sistémico; no está concebido para una propuesta académica puramente teórica.</t>
  </si>
  <si>
    <t>2026-060</t>
  </si>
  <si>
    <t>IAFP Awards 2026</t>
  </si>
  <si>
    <t>International Association for Food Protection — IAFP</t>
  </si>
  <si>
    <t>Varía según el premio</t>
  </si>
  <si>
    <t>Inocuidad y protección de alimentos</t>
  </si>
  <si>
    <t>Inocuidad alimentaria; microbiología; enfermedades transmitidas por alimentos; laboratorio; innovación; salud pública</t>
  </si>
  <si>
    <t>Conjunto de reconocimientos de IAFP para investigación, innovación, liderazgo, educación y práctica profesional en inocuidad de los alimentos.</t>
  </si>
  <si>
    <t>En general, las personas nominadas deben ser miembros de IAFP, con excepciones según el premio; quien nomina no necesariamente debe ser miembro. Las ayudas de viaje estudiantil requieren membresía estudiantil.</t>
  </si>
  <si>
    <t>https://www.foodprotection.org/get-involved/awards/</t>
  </si>
  <si>
    <t>https://pivot.proquest.com/funding_opps/a7b90b20-be06-4f6d-84bc-d1d75de8f0f3</t>
  </si>
  <si>
    <t>Oportunidad complementaria de reconocimiento profesional y viaje, no una subvención para iniciar un proyecto. Mantener como antecedente y monitorear el próximo ciclo.</t>
  </si>
  <si>
    <t>2026-061</t>
  </si>
  <si>
    <t>Morris Animal Foundation Veterinary Student Scholars FY27 – Round 2</t>
  </si>
  <si>
    <t>Morris Animal Foundation</t>
  </si>
  <si>
    <t>Proyecto de investigación estudiantil tutorizado</t>
  </si>
  <si>
    <t>Estudiante de Veterinaria con mentor investigador</t>
  </si>
  <si>
    <t>Estudiante seleccionado por su institución</t>
  </si>
  <si>
    <t>Programas acreditados de Veterinaria; no se exige acreditación AVMA</t>
  </si>
  <si>
    <t>Investigación veterinaria estudiantil</t>
  </si>
  <si>
    <t>estudiantes; investigación mentorizada; perros; gatos; équidos; fauna silvestre; formación científica</t>
  </si>
  <si>
    <t>Ofrece experiencia de investigación clínica o básica tutorizada para avanzar la salud de perros, gatos, équidos o fauna silvestre.</t>
  </si>
  <si>
    <t>Estar matriculado en un programa acreditado de Medicina Veterinaria. No son elegibles estudiantes de programas combinados DVM/PhD. La institución debe seleccionar primero al candidato.</t>
  </si>
  <si>
    <t>Abre el 07/10/2026. Estipendio de hasta 5.500 USD por estudiante. Temática abierta en caninos, felinos, équidos y fauna silvestre. No cubre investigación sobre animales de producción.</t>
  </si>
  <si>
    <t>https://www.morrisanimalfoundation.org/veterinary-student-scholar-program</t>
  </si>
  <si>
    <t>Morris Animal Foundation – programa y calendario oficiales</t>
  </si>
  <si>
    <t>Confirmar que el programa de Medicina Veterinaria de UNPHU satisface la definición de acreditación de Morris y organizar una selección interna antes del 07/10.</t>
  </si>
  <si>
    <t>2026-062</t>
  </si>
  <si>
    <t>Morris Animal Foundation – Feline Annual RFP</t>
  </si>
  <si>
    <t>Investigador establecido; investigador emergente; postdoctorado</t>
  </si>
  <si>
    <t>Investigador o equipo con afiliación institucional</t>
  </si>
  <si>
    <t>Sin restricción, sujeto a sanciones económicas de Estados Unidos</t>
  </si>
  <si>
    <t>Salud felina</t>
  </si>
  <si>
    <t>gatos; medicina felina; enfermedades infecciosas; oncología; nutrición; diagnóstico; bienestar</t>
  </si>
  <si>
    <t>Convocatoria abierta temáticamente para proyectos que avancen la salud de los gatos mediante investigación científica rigurosa y humanitaria.</t>
  </si>
  <si>
    <t>Según modalidad: trayectoria investigadora para Established Investigator; nuevo profesorado para First Award; idea innovadora para Pilot Study; DVM/PhD o doctorando avanzado para Fellowship Training.</t>
  </si>
  <si>
    <t>Abre el 26/08/2026. Morris acepta investigadores de todo el mundo. No financia salud humana ni sanidad de animales de producción. La documentación y los montos de FY27 se publicarán en SmartSimple.</t>
  </si>
  <si>
    <t>https://www.morrisanimalfoundation.org/apply</t>
  </si>
  <si>
    <t>Morris Animal Foundation – calendario y FAQ oficiales</t>
  </si>
  <si>
    <t>Encaje muy alto. Preparar desde ahora equipo, hipótesis, población felina, aprobaciones éticas y borrador de prepropuesta.</t>
  </si>
  <si>
    <t>2026-063</t>
  </si>
  <si>
    <t>Zebra Foundation for Veterinary Zoological Education Grants</t>
  </si>
  <si>
    <t>Zebra Foundation, con apoyo de EAZWV y BVZS</t>
  </si>
  <si>
    <t>Veterinarios y estudiantes de Veterinaria</t>
  </si>
  <si>
    <t>Medicina zoológica y salud de fauna silvestre</t>
  </si>
  <si>
    <t>fauna silvestre; zoológicos; medicina zoológica; mortalidad; epidemiología; formación veterinaria</t>
  </si>
  <si>
    <t>Apoya pequeños proyectos de laboratorio, campo o clínica que contribuyan a la salud zoológica o a la formación del solicitante en la disciplina.</t>
  </si>
  <si>
    <t>Veterinarios o estudiantes de Veterinaria. Son elegibles proyectos escritos durante prácticas en instituciones zoológicas e investigaciones que produzcan avances en medicina zoológica.</t>
  </si>
  <si>
    <t>Corte semestral. No cubre matrículas completas de maestría/doctorado, asistencia a conferencias ni prácticas sin un proyecto concreto. Prioriza a quienes inician su trayectoria en medicina zoológica.</t>
  </si>
  <si>
    <t>https://www.eazwv.org/page/grants</t>
  </si>
  <si>
    <t>EAZWV, BVZS y Zebra Foundation</t>
  </si>
  <si>
    <t>Monto pequeño, pero buen instrumento semilla para estudiantes, levantamiento de datos, series de casos o pruebas piloto de fauna silvestre.</t>
  </si>
  <si>
    <t>2026-064</t>
  </si>
  <si>
    <t>EveryCat Health Foundation – Fall 2026 Grant Cycle</t>
  </si>
  <si>
    <t>EveryCat Health Foundation</t>
  </si>
  <si>
    <t>Veterinarios; investigadores de salud felina</t>
  </si>
  <si>
    <t>Salud y medicina felina</t>
  </si>
  <si>
    <t>gatos domésticos; enfermedades felinas; diagnóstico; terapias; prevención; bienestar; FIP; genética; nutrición</t>
  </si>
  <si>
    <t>Financia proyectos con objetivos concretos y alcanzables que demuestren relevancia o beneficio para la salud de los gatos domésticos.</t>
  </si>
  <si>
    <t>Investigación sobre origen, diagnóstico, tratamiento o prevención de enfermedades felinas y sobre bienestar físico, mental o social. Se requiere cumplir las normas éticas y de bienestar animal aplicables.</t>
  </si>
  <si>
    <t>Cierre el 21/08/2026 a las 23:59 EDT. Solicitudes por encima de 50.000 USD no son consideradas. Resultados previstos para diciembre de 2026.</t>
  </si>
  <si>
    <t>https://everycat.smapply.io/prog/everycat_grant_fall_2026/</t>
  </si>
  <si>
    <t>EveryCat Health Foundation – RFP y portal oficial</t>
  </si>
  <si>
    <t>. Encaje muy alto para Veterinaria si cuenta con casos, muestras o población felina suficientes. Confirmar la recepción contractual de fondos en República Dominicana.</t>
  </si>
  <si>
    <t>2026-065</t>
  </si>
  <si>
    <t>Harry Frank Guggenheim Distinguished Scholar Awards</t>
  </si>
  <si>
    <t>Harry Frank Guggenheim Foundation</t>
  </si>
  <si>
    <t>Persona individual; excepcionalmente equipo de 2–3 investigadores principales</t>
  </si>
  <si>
    <t>Derecho, violencia y políticas públicas</t>
  </si>
  <si>
    <t>violencia; criminología; justicia penal; derechos humanos; terrorismo; conflicto; violencia política; prevención</t>
  </si>
  <si>
    <t>Financia investigaciones sobre las causas, mecanismos y consecuencias de la violencia, con interés especial en resultados aplicables a políticas de reducción o prevención.</t>
  </si>
  <si>
    <t>No exige formalmente un grado académico ni afiliación institucional, pero no financia investigación realizada como requisito de un posgrado. Investigadores de la UNPHU pueden aplicar individualmente.</t>
  </si>
  <si>
    <t>Primera etapa mediante carta de interés. La propuesta completa vence el 11/09/2026 y se presenta únicamente por invitación. Los montos indicados son por año.</t>
  </si>
  <si>
    <t>https://www.hfg.org/distinguished-scholars/</t>
  </si>
  <si>
    <t>Prioridad alta para investigaciones jurídicas sobre violencia de género, criminalidad, justicia penal, violencia política, seguridad ciudadana o derechos humanos.</t>
  </si>
  <si>
    <t>2026-066</t>
  </si>
  <si>
    <t>Gerda Henkel Foundation: proyectos en Historia del Derecho</t>
  </si>
  <si>
    <t>Gerda Henkel Foundation</t>
  </si>
  <si>
    <t>Alemania</t>
  </si>
  <si>
    <t>Postdoctorado; Investigador establecido</t>
  </si>
  <si>
    <t>Institución académica; Persona individual</t>
  </si>
  <si>
    <t>Historia del Derecho</t>
  </si>
  <si>
    <t>historia jurídica; instituciones legales; derecho comparado histórico; archivos; teoría jurídica histórica</t>
  </si>
  <si>
    <t>Apoya proyectos de investigación en humanidades históricas, incluyendo expresamente la Historia del Derecho.</t>
  </si>
  <si>
    <t>La UNPHU puede postular como universidad o respaldar una solicitud de sus investigadores. La propuesta debe ser primordialmente histórica y no un estudio exclusivamente doctrinal del derecho vigente.</t>
  </si>
  <si>
    <t>Puede incluir personal, viajes y materiales. El procedimiento simplificado se aplica a solicitudes de hasta EUR 30,000; los proyectos regulares no publican un máximo general.</t>
  </si>
  <si>
    <t>https://www.gerda-henkel-stiftung.de/en/grants_projects</t>
  </si>
  <si>
    <t>https://pivot.proquest.com/funding_opps/1f4ad2e8-a821-4b73-b066-d1d75de8f0f3</t>
  </si>
  <si>
    <t>Muy adecuada para historia constitucional, historia judicial, derecho colonial y evolución de instituciones jurídicas dominicanas o caribeñas.</t>
  </si>
  <si>
    <t>2026-067</t>
  </si>
  <si>
    <t>Concurso Nacional de Libre Competencia 2026</t>
  </si>
  <si>
    <t>Comisión Nacional de Defensa de la Competencia – ProCompetencia</t>
  </si>
  <si>
    <t>Estudiante de grado; Estudiante de posgrado; Investigador emergente; Investigador establecido</t>
  </si>
  <si>
    <t>Persona individual o coautoría de máximo dos personas de la misma categoría</t>
  </si>
  <si>
    <t>Dominicanos, naturalizados o extranjeros residentes en República Dominicana</t>
  </si>
  <si>
    <t>Derecho de la competencia</t>
  </si>
  <si>
    <t>libre competencia; inteligencia artificial; economía digital; compras públicas; transparencia; sostenibilidad; crecimiento económico</t>
  </si>
  <si>
    <t>Premia ensayos jurídicos o interdisciplinarios sobre seis ejes de libre competencia, incluyendo inteligencia artificial, economía digital, transparencia y compras públicas.</t>
  </si>
  <si>
    <t>Son elegibles estudiantes activos de universidades acreditadas de la República Dominicana y profesionales con título de una institución acreditada. La UNPHU es compatible.</t>
  </si>
  <si>
    <t>La recepción de ensayos está abierta únicamente para quienes se registraron antes del 29/05/2026. Premios estudiantiles: DOP 75,000–150,000; profesionales: DOP 100,000–200,000.</t>
  </si>
  <si>
    <t>https://procompetencia.gob.do/concurso/2026/</t>
  </si>
  <si>
    <t xml:space="preserve">No financia la ejecución de un proyecto de investigación; es un premio académico. </t>
  </si>
  <si>
    <t>2026-068</t>
  </si>
  <si>
    <t>AALL Research Grants</t>
  </si>
  <si>
    <t>American Association of Law Libraries / LexisNexis</t>
  </si>
  <si>
    <t>Persona individual o equipo; fondos administrados por la institución</t>
  </si>
  <si>
    <t>Sin restricción expresa publicada</t>
  </si>
  <si>
    <t>Investigación jurídica y gestión de información legal</t>
  </si>
  <si>
    <t>bibliotecas jurídicas; acceso a justicia; información legal; investigación jurídica; colecciones; gestión documental</t>
  </si>
  <si>
    <t>Apoya proyectos relevantes para las profesiones que crean, difunden o utilizan información jurídica.</t>
  </si>
  <si>
    <t>Se da preferencia a miembros de AALL, pero la página oficial no establece la membresía como requisito absoluto. Investigadores de la UNPHU pueden participar sujetos a revisión administrativa.</t>
  </si>
  <si>
    <t>El total disponible del programa no supera USD 10,000 y puede distribuirse entre uno o varios proyectos. No permite recuperación de costos indirectos.</t>
  </si>
  <si>
    <t>https://www.aallnet.org/education-training/grants/research-grants/</t>
  </si>
  <si>
    <t>https://pivot.proquest.com/funding_opps/88bc3731-ca3d-4426-8c5a-d1d75de8f0f3</t>
  </si>
  <si>
    <t>American Association of Law Libraries</t>
  </si>
  <si>
    <t>Convocatoria 2026 cerrada. Verificar membresía AALL y las bases de la próxima edición antes de postular.</t>
  </si>
  <si>
    <t>2026-069</t>
  </si>
  <si>
    <t>CIUS Research Grants 2026–2027</t>
  </si>
  <si>
    <t>Canadian Institute of Ukrainian Studies – University of Alberta</t>
  </si>
  <si>
    <t>Canada</t>
  </si>
  <si>
    <t>Persona individual o proyecto académico, según el subfondo</t>
  </si>
  <si>
    <t>Internacional; sujeto a condiciones del fondo específico</t>
  </si>
  <si>
    <t>Sin restricción general publicada</t>
  </si>
  <si>
    <t>Derecho y estudios ucranianos</t>
  </si>
  <si>
    <t>Ucrania; derecho comparado; derechos humanos; conflicto; justicia transicional; estudios jurídicos</t>
  </si>
  <si>
    <t>Financia investigación independiente sobre temas ucranianos o ucraniano-canadienses, incluyendo expresamente el campo del Derecho.</t>
  </si>
  <si>
    <t>Compatible únicamente si el proyecto jurídico tiene un componente central sobre Ucrania o la diáspora ucraniana. Deben revisarse las restricciones del subfondo seleccionado.</t>
  </si>
  <si>
    <t>Cubre costos directos; no financia costos indirectos, ingresos personales ni investigaciones requeridas para completar un grado. La mayoría de las ayudas históricas se sitúa entre CAD 1,500 y 3,500.</t>
  </si>
  <si>
    <t>https://www.ualberta.ca/en/canadian-institute-of-ukrainian-studies/funding-and-awards/cius-research-grants.html</t>
  </si>
  <si>
    <t>https://pivot.proquest.com/funding_opps/5965af03-0cce-48fa-b0ed-d1d75de8f0f3</t>
  </si>
  <si>
    <t>Convocatoria 2026 cerrada y de encaje temático muy específico. Reconfirmar el tope monetario en las bases de la próxima edición.</t>
  </si>
  <si>
    <t>2026-070</t>
  </si>
  <si>
    <t>ASLH Early Career Global Legal History Research Fellowships</t>
  </si>
  <si>
    <t>American Society for Legal History – ASLH</t>
  </si>
  <si>
    <t>Estudiante de posgrado; Postdoctorado; Investigador emergente</t>
  </si>
  <si>
    <t>Historia jurídica global y comparada</t>
  </si>
  <si>
    <t>historia del Derecho; derecho caribeño; derecho colonial; historia constitucional; instituciones jurídicas</t>
  </si>
  <si>
    <t>Otorga ayudas a investigadores de carrera temprana que publiquen en inglés y trabajen sobre historia jurídica fuera de Estados Unidos.</t>
  </si>
  <si>
    <t>Incluye doctorandos, recién graduados e investigadores que desarrollen su primera monografía o proyecto principal. La relevancia jurídica debe quedar claramente demostrada.</t>
  </si>
  <si>
    <t>La solicitud incluye propuesta de máximo 750 palabras, presupuesto y cronograma de una página, CV de una página y carta de recomendación.</t>
  </si>
  <si>
    <t>https://aslh.net/award/early-career-global-legal-history-research-fellowships/</t>
  </si>
  <si>
    <t xml:space="preserve">Encaje excelente para historia jurídica dominicana, caribeña, colonial o transnacional. </t>
  </si>
  <si>
    <t>2026-071</t>
  </si>
  <si>
    <t>Targeted Grants to Institutes</t>
  </si>
  <si>
    <t>Simons Foundation</t>
  </si>
  <si>
    <t>Dirección científica e investigadores establecidos en física teórica, matemáticas o informática teórica</t>
  </si>
  <si>
    <t>Física teórica básica</t>
  </si>
  <si>
    <t>física teórica; física matemática; matemáticas; informática teórica; instituto científico; colaboración internacional</t>
  </si>
  <si>
    <t>Apoya institutos consolidados que fomenten investigación de frontera y contactos científicos internacionales.</t>
  </si>
  <si>
    <t>Instituciones extranjeras son elegibles. UNPHU debe postular mediante un instituto o centro establecido, con espacio físico y misión científica propia.</t>
  </si>
  <si>
    <t>No favorece un centro que funcione únicamente como punto de reunión para profesor locales. Requiere representante institucional autorizado. Inicio previsto entre junio y septiembre de 2027.</t>
  </si>
  <si>
    <t>https://www.simonsfoundation.org/grant/targeted-grants-to-institutes/</t>
  </si>
  <si>
    <t>Simons Foundation; mps@simonsfoundation.org</t>
  </si>
  <si>
    <t xml:space="preserve"> Alta cuantía; la compatibilidad depende de demostrar trayectoria, infraestructura y alcance internacional del centro postulante de UNPHU.</t>
  </si>
  <si>
    <t>2026-072</t>
  </si>
  <si>
    <t>Long Range Broad Agency Announcement for Navy and Marine Corps Science and Technology — N00014-25-S-B001</t>
  </si>
  <si>
    <t>Office of Naval Research</t>
  </si>
  <si>
    <t>Equipos universitarios y centros científicos con capacidades relevantes</t>
  </si>
  <si>
    <t>Sin restricción general; aplican controles de seguridad y exportación</t>
  </si>
  <si>
    <t>Física, materiales y ciencias oceánicas</t>
  </si>
  <si>
    <t>óptica; acústica; plasma; fluidos; materiales; energía; sensores; océano; atmósfera; modelización</t>
  </si>
  <si>
    <t>Convocatoria amplia para propuestas científicas y tecnológicas relacionadas con las necesidades de la Marina y el Cuerpo de Marines de Estados Unidos.</t>
  </si>
  <si>
    <t>Fuentes responsables de todo el mundo pueden presentar. UNPHU debe identificar primero el área técnica y su punto de contacto.</t>
  </si>
  <si>
    <t>La alineación con una necesidad programática es esencial. Se recomienda enviar previamente un white paper o contactar al responsable técnico.</t>
  </si>
  <si>
    <t>https://www.onr.navy.mil/work-with-us/funding-opportunities/fy25-long-range-broad-agency-announcement-baa-navy-and-marine</t>
  </si>
  <si>
    <t>Office of Naval Research; usn.ncr.onrghq.list.grantsproposals@us.navy.mil</t>
  </si>
  <si>
    <t xml:space="preserve"> solo para grupos con temática claramente alineada y capacidad para cumplir los controles estadounidenses.</t>
  </si>
  <si>
    <t>2026-073</t>
  </si>
  <si>
    <t>ICTP Support for Scientific Meetings in Developing Countries</t>
  </si>
  <si>
    <t>Abdus Salam International Centre for Theoretical Physics — ICTP</t>
  </si>
  <si>
    <t>Organizador científico y equipo académico de física o matemáticas</t>
  </si>
  <si>
    <t>Sin ciudadanía específica; se priorizan participantes de países en desarrollo de la región</t>
  </si>
  <si>
    <t>Física y matemáticas</t>
  </si>
  <si>
    <t>conferencia; taller; escuela; física; matemáticas; capacitación; cooperación regional</t>
  </si>
  <si>
    <t>Cofinancia reuniones presenciales de física o matemáticas realizadas en países en desarrollo.</t>
  </si>
  <si>
    <t>UNPHU puede ser institución anfitriona en República Dominicana. La solicitud debe estar firmada por el organizador y una autoridad institucional.</t>
  </si>
  <si>
    <t>Se exige una contribución local al menos equivalente. Los fondos se orientan principalmente a viajes; como máximo 40 % puede destinarse a alojamiento y manutención.</t>
  </si>
  <si>
    <t>https://www.ictp.it/home/other-opportunities-institutes</t>
  </si>
  <si>
    <t>ICTP External Activities Unit; oea@ictp.it</t>
  </si>
  <si>
    <t>Compatibilidad alta; opción directa para organizar una escuela o taller internacional de física en UNPHU.</t>
  </si>
  <si>
    <t>2026-074</t>
  </si>
  <si>
    <t>HECAP Call 2026 — Short-Term Visits</t>
  </si>
  <si>
    <t>Estudiante de posgrado; Postdoctorado; Investigador emergente; Investigador establecido</t>
  </si>
  <si>
    <t>ICTP, Trieste, Italia</t>
  </si>
  <si>
    <t>Se alienta especialmente a científicos procedentes de países en desarrollo y que trabajen en ellos</t>
  </si>
  <si>
    <t>Física teórica de altas energías</t>
  </si>
  <si>
    <t>high-energy physics; cosmología; astropartículas; teoría; ICTP; visita científica</t>
  </si>
  <si>
    <t>Financia visitas cortas para desarrollar proyectos y colaboraciones con el grupo HECAP del ICTP.</t>
  </si>
  <si>
    <t>Investigadores de UNPHU en las áreas HECAP son compatibles. Estudiantes, posdoctorandos y jóvenes investigadores deben aportar recomendación.</t>
  </si>
  <si>
    <t>Requiere un plan breve de investigación. La página oficial no publica cuantías individuales predeterminadas.</t>
  </si>
  <si>
    <t>https://www.ictp.it/opportunity/hecap-call-2026-short-term-visits</t>
  </si>
  <si>
    <t>ICTP, grupo HECAP</t>
  </si>
  <si>
    <t>Alta pertinencia para física teórica; difundir inmediatamente por la proximidad del cierre.</t>
  </si>
  <si>
    <t>2026-075</t>
  </si>
  <si>
    <t>E. Leonard “Len” Jossem International Education Fund</t>
  </si>
  <si>
    <t>American Association of Physics Teachers</t>
  </si>
  <si>
    <t>Estudiante de posgrado; Postdoctorado; Profesor</t>
  </si>
  <si>
    <t>Internacional, especialmente colaboración entre Estados Unidos y países en desarrollo</t>
  </si>
  <si>
    <t>Sin restricción publicada; se exige membresía vigente de AAPT</t>
  </si>
  <si>
    <t>Enseñanza de la física</t>
  </si>
  <si>
    <t>educación en física; cooperación internacional; viaje; conferencia; formación docente</t>
  </si>
  <si>
    <t>Apoya actividades internacionales que fortalezcan la enseñanza y el aprendizaje de la física.</t>
  </si>
  <si>
    <t>Un investigador o docente de UNPHU puede solicitar individualmente si es miembro vigente de AAPT y la actividad encaja en los objetivos internacionales.</t>
  </si>
  <si>
    <t>No es una subvención institucional de investigación. La página indica recepción de solicitudes, pero no publica una fecha exacta independiente; confirmar el ciclo aplicable con AAPT.</t>
  </si>
  <si>
    <t>https://aapt.org/Programs/grants/Jossem.cfm</t>
  </si>
  <si>
    <t>https://pivot.proquest.com/funding_opps/2c77b23c-b7f7-4964-98d7-d1d75de8f0f3</t>
  </si>
  <si>
    <t>American Association of Physics Teachers; eo@aapt.org</t>
  </si>
  <si>
    <t>Mantener separada de las subvenciones de investigación; funciona principalmente como movilidad y educación.</t>
  </si>
  <si>
    <t>2026-076</t>
  </si>
  <si>
    <t>Outstanding Doctoral Thesis Research in Beam Physics Award</t>
  </si>
  <si>
    <t>American Physical Society</t>
  </si>
  <si>
    <t>Estudiante de posgrado o recién doctorado en física de haces</t>
  </si>
  <si>
    <t>Física de haces y aceleradores</t>
  </si>
  <si>
    <t>beam physics; aceleradores; tesis doctoral; instrumentación; partículas</t>
  </si>
  <si>
    <t>Reconoce trabajo doctoral sobresaliente en física de haces.</t>
  </si>
  <si>
    <t>El trabajo debe formar parte del doctorado y la defensa no puede haber ocurrido más de 18 meses antes del cierre. Solo se permite una nominación.</t>
  </si>
  <si>
    <t>Incluye USD 2,500, viaje de hasta USD 500 y exención de inscripción. La ficha también indica membresía vitalicia de APS y de la unidad correspondiente.</t>
  </si>
  <si>
    <t>https://www.aps.org/funding-recognition/award/beam-physics</t>
  </si>
  <si>
    <t>https://pivot.proquest.com/funding_opps/0eb241fc-9d07-41eb-99cf-d1d75de8f0f3</t>
  </si>
  <si>
    <t xml:space="preserve"> Compatible con candidatos individuales vinculados a UNPHU; no financia un proyecto institucional.</t>
  </si>
  <si>
    <t>2026-077</t>
  </si>
  <si>
    <t>Arctowski Medal</t>
  </si>
  <si>
    <t>National Academy of Sciences</t>
  </si>
  <si>
    <t>Investigador establecido con contribuciones sobresalientes en física solar</t>
  </si>
  <si>
    <t>Candidatos internacionales; membresía de NAS no requerida</t>
  </si>
  <si>
    <t>Física solar y relaciones Sol-Tierra</t>
  </si>
  <si>
    <t>solar physics; heliophysics; Sun-Earth; space weather; astronomía</t>
  </si>
  <si>
    <t>Reconoce contribuciones sobresalientes al estudio de la física solar y de las relaciones Sol-Tierra.</t>
  </si>
  <si>
    <t>Candidatos internacionales son elegibles. No se admite autonominación; el nominador no debe pertenecer a la institución de origen del candidato.</t>
  </si>
  <si>
    <t>El premio total es de USD 200,000: USD 100,000 personales y USD 100,000 para investigación en una institución seleccionada por la persona premiada.</t>
  </si>
  <si>
    <t>https://www.nasonline.org/award/arctowski-medal/</t>
  </si>
  <si>
    <t>https://pivot.proquest.com/funding_opps/0f620de5-7753-45d4-bfea-d1d75de8f0f3</t>
  </si>
  <si>
    <t>National Academy of Sciences; awards@nas.edu</t>
  </si>
  <si>
    <t xml:space="preserve"> Muy selectiva; publicar para perfiles sénior con trayectoria internacional fuerte en física solar.</t>
  </si>
  <si>
    <t>2026-078</t>
  </si>
  <si>
    <t>Nicholas Metropolis Award for Outstanding Doctoral Thesis Work in Computational Physics</t>
  </si>
  <si>
    <t>Estudiante de posgrado o recién doctorado en física computacional</t>
  </si>
  <si>
    <t>Cualquier país</t>
  </si>
  <si>
    <t>Física computacional</t>
  </si>
  <si>
    <t>simulación; métodos numéricos; modelización; tesis doctoral; computational physics</t>
  </si>
  <si>
    <t>Premia trabajo de tesis doctoral sobresaliente en física computacional.</t>
  </si>
  <si>
    <t>Es elegible un estudiante doctoral actual o anterior de cualquier país; la defensa no debe superar 18 meses antes del cierre y solo puede ser nominado una vez.</t>
  </si>
  <si>
    <t>La candidatura puede mantenerse durante dos ciclos si se recertifica. Incluye USD 2,500, viaje de hasta USD 1,500 y exención de inscripción.</t>
  </si>
  <si>
    <t>https://www.aps.org/funding-recognition/award/nicholas-metropolis</t>
  </si>
  <si>
    <t>https://pivot.proquest.com/funding_opps/9834f3a0-f8b7-4dc6-a486-d1d75de8f0f3</t>
  </si>
  <si>
    <t xml:space="preserve"> Compatible con candidatos individuales de UNPHU; no es subvención para un proyecto institucional.</t>
  </si>
  <si>
    <t>2026-079</t>
  </si>
  <si>
    <t>Gilead Sciences: Giving in Latin America &amp; the Caribbean</t>
  </si>
  <si>
    <t>Gilead Sciences</t>
  </si>
  <si>
    <t>Hasta 12 meses</t>
  </si>
  <si>
    <t>Profesionales sanitarios; investigadores clínicos; profesor; especialistas en salud pública; responsables de programas comunitarios</t>
  </si>
  <si>
    <t>República Dominicana y otros países de América Latina y el Caribe</t>
  </si>
  <si>
    <t>Sin restricción publicada; prevalecen la ubicación del proyecto y la condición jurídica de la organización</t>
  </si>
  <si>
    <t>Salud</t>
  </si>
  <si>
    <t>VIH/SIDA; hepatitis B; hepatitis C; enfermedades hepáticas; diagnóstico; prevención; acceso a atención; educación sanitaria; equidad en salud</t>
  </si>
  <si>
    <t>Financia proyectos de alto impacto que mejoren el acceso a servicios sanitarios, reduzcan desigualdades, eduquen a pacientes y profesionales y fortalezcan comunidades. En América Latina y el Caribe se priorizan VIH y enfermedades hepáticas.</t>
  </si>
  <si>
    <t>La UNPHU puede solicitar como universidad sin fines de lucro, siempre que presente evidencia de su registro legal y proponga un proyecto ejecutado en República Dominicana dentro de las prioridades de Gilead.</t>
  </si>
  <si>
    <t>No se financian actividades ya realizadas. La solicitud debe presentarse antes de comenzar el proyecto y al menos seis semanas antes del inicio de la actividad. Es más adecuada para educación, detección, prevención, vinculación con servicios y fortalecimiento sanitario que para investigación básica independiente.</t>
  </si>
  <si>
    <t>https://www.gilead.com/responsibility/giving-at-gilead/corporate-giving/how-to-apply-for-funding/giving-in-latin-america-and-the-caribbean</t>
  </si>
  <si>
    <t>Gilead Corporate Giving; grants@gilead.com</t>
  </si>
  <si>
    <t>LeapSpace indicaba que la elegibilidad dominicana no estaba confirmada. La información oficial incluye expresamente a República Dominicana y reconoce a universidades entre las organizaciones financiadas. Debe verificarse que el proyecto no se presente como investigación biomédica básica pura.</t>
  </si>
  <si>
    <t>2026-080</t>
  </si>
  <si>
    <t>Environmental Research &amp; Education Foundation Research Grant</t>
  </si>
  <si>
    <t>Environmental Research &amp; Education Foundation — EREF</t>
  </si>
  <si>
    <t>Aproximadamente 24 meses; propuestas superiores a 36 meses requieren justificación especial</t>
  </si>
  <si>
    <t>Profesor; Postdoctorado; Investigador establecido</t>
  </si>
  <si>
    <t>Internacional; sin restricciones geográficas</t>
  </si>
  <si>
    <t>Ciencias ambientales y gestión sostenible de residuos</t>
  </si>
  <si>
    <t>residuos sólidos; gestión sostenible de materiales; reciclaje; economía circular; valorización de residuos; sostenibilidad; ingeniería ambiental</t>
  </si>
  <si>
    <t>Financia investigaciones relacionadas con prácticas sostenibles de gestión de residuos sólidos. El proceso comienza con una prepropuesta de dos páginas; las propuestas seleccionadas son invitadas a presentar una solicitud completa.</t>
  </si>
  <si>
    <t>La UNPHU es elegible directamente porque EREF admite instituciones estadounidenses y no estadounidenses sin restricciones geográficas. El investigador principal debe estar cualificado y ser experto en el tema propuesto.</t>
  </si>
  <si>
    <t>Las solicitudes solamente se reciben durante los 15 días anteriores a cada fecha límite. La prepropuesta debe presentarse en inglés y utilizar la plantilla oficial. Los estudiantes de posgrado no pueden actuar como investigadores principales. Los costes indirectos no pueden superar el 25 % de los costes directos.</t>
  </si>
  <si>
    <t>Environmental Research &amp; Education Foundation; proposals@erefdn.org</t>
  </si>
  <si>
    <t>LeapSpace la clasificó como una oportunidad sin fecha límite. La próxima fecha es el 1 de diciembre de 2026 y la ventana prevista de recepción comienza aproximadamente el 16 de noviembre. Las cuantías históricas no constituyen mínimos ni máximos oficiales de la ronda.</t>
  </si>
  <si>
    <t>2026-081</t>
  </si>
  <si>
    <t>IBRO/Dana Brain Awareness Week Grants 2027</t>
  </si>
  <si>
    <t>International Brain Research Organization — IBRO / Dana Foundation</t>
  </si>
  <si>
    <t>Bélgica / Estados Unidos</t>
  </si>
  <si>
    <t>Actividad o evento de divulgación durante 2027</t>
  </si>
  <si>
    <t>Publicación / difusión</t>
  </si>
  <si>
    <t>Neurocientíficos; profesor; comunicadores científicos; organizadores de actividades de divulgación sobre el cerebro</t>
  </si>
  <si>
    <t>República Dominicana; América Latina, África, Asia-Pacífico y Estados Unidos/Canadá; eventos fuera de Europa</t>
  </si>
  <si>
    <t>No especificada; el criterio principal es la ubicación de la actividad</t>
  </si>
  <si>
    <t>Neurociencias y divulgación científica</t>
  </si>
  <si>
    <t>neurociencia; cerebro; Brain Awareness Week; educación científica; comunicación pública; divulgación; participación comunitaria</t>
  </si>
  <si>
    <t>Apoya actividades destinadas a aumentar el conocimiento público sobre el cerebro y la investigación en neurociencias, dentro de la campaña internacional Brain Awareness Week.</t>
  </si>
  <si>
    <t>Un investigador, docente o equipo de la UNPHU puede presentar una actividad que se realice en República Dominicana. Debe identificarse claramente al organizador responsable y la vinculación institucional con la universidad.</t>
  </si>
  <si>
    <t>La próxima ventana será del 15 de septiembre al 15 de octubre de 2026 para eventos de 2027. No constituye financiación para ejecutar investigación científica, sino para actividades de divulgación y concienciación.</t>
  </si>
  <si>
    <t>https://ibro.org/grant/brain-awareness-week-grants/</t>
  </si>
  <si>
    <t>International Brain Research Organization / Dana Foundation</t>
  </si>
  <si>
    <t>LeapSpace la clasificó como activa y sin fecha límite. Actualmente está cerrada, pero tiene una próxima apertura confirmada para septiembre de 2026. Conviene confirmar en el formulario de la nueva ronda la figura jurídica que recibirá el pago.</t>
  </si>
  <si>
    <t>2026-082</t>
  </si>
  <si>
    <t>RNID Translational Research Grant 2026</t>
  </si>
  <si>
    <t>Royal National Institute for Deaf People — RNID</t>
  </si>
  <si>
    <t>Investigadores en audiología, otología, neurociencia auditiva, farmacología, toxicología, biología molecular, medicina traslacional y desarrollo de fármacos</t>
  </si>
  <si>
    <t>Universidades, institutos de investigación y pequeñas o medianas empresas</t>
  </si>
  <si>
    <t>Cualquier país, excepto China continental</t>
  </si>
  <si>
    <t>Tratamientos traslacionales para pérdida auditiva y tinnitus</t>
  </si>
  <si>
    <t>pérdida auditiva; tinnitus; terapias; fármacos; PK/PD; toxicología; reposicionamiento; dianas terapéuticas; investigación preclínica</t>
  </si>
  <si>
    <t>Apoya la transformación de descubrimientos científicos en tratamientos potenciales capaces de prevenir o restaurar la pérdida auditiva o reducir el tinnitus.</t>
  </si>
  <si>
    <t>Pueden aplicar instituciones académicas, institutos de investigación y pymes de cualquier país, salvo China continental. La solicitud debe ser aprobada por un representante autorizado de la institución antes de enviarse.</t>
  </si>
  <si>
    <t>Requiere una terapia novedosa claramente definida, datos preliminares o prueba de concepto y un plan experimental viable. Puede financiar optimización de candidatos, estudios PK/PD, seguridad y toxicología, reposicionamiento de medicamentos y validación de dianas terapéuticas. No admite investigación básica sin una terapia específica, dispositivos médicos, software, optimización de protocolos clínicos ni estudios de servicios de salud. Decisión final prevista para junio de 2027.</t>
  </si>
  <si>
    <t>https://rnid.org.uk/what-we-do/biomedical-research/apply-for-funding/translational-grant/?</t>
  </si>
  <si>
    <t>RNID Biomedical Research — Translational Research Grant Team; correo de la convocatoria: trg@rnid.org.uk</t>
  </si>
  <si>
    <t>Compatible con la UNPHU a nivel institucional. Publicar únicamente si existe o puede conformarse un equipo con experiencia biomédica en audición o tinnitus, acceso a infraestructura experimental y datos preliminares. La convocatoria no resulta adecuada para proyectos sobre inclusión educativa, empleo de personas sordas, dispositivos auditivos, aplicaciones informáticas o prestación de servicios de audiología. Se recomienda validar anticipadamente con RNID el grado de madurez tecnológica del proyecto.</t>
  </si>
  <si>
    <t>2026-083</t>
  </si>
  <si>
    <t>Fund for Innovation in Development — Open Call for Proposals</t>
  </si>
  <si>
    <t>Fund for Innovation in Development — FID</t>
  </si>
  <si>
    <t>Francia</t>
  </si>
  <si>
    <t>Según la etapa, madurez y plan de ejecución del proyecto</t>
  </si>
  <si>
    <t>Subvención de investigación; evaluación de impacto; escalamiento</t>
  </si>
  <si>
    <t>Investigadores en educación, evaluación de impacto, discapacidad,  tecnologías educativas, traducción accesible, interpretación, lingüística aplicada y políticas públicas</t>
  </si>
  <si>
    <t>Universidad; centro de investigación; ONG; empresa; institución pública</t>
  </si>
  <si>
    <t>Países de ingresos bajos y medios elegibles para ayuda oficial al desarrollo</t>
  </si>
  <si>
    <t>Sin restricción; depende de la organización y del país de ejecución</t>
  </si>
  <si>
    <t>Innovación educativa inclusiva</t>
  </si>
  <si>
    <t>innovación educativa; educación inclusiva; evaluación de impacto; accesibilidad; discapacidad; aprendizaje; permanencia estudiantil; traducción accesible; lengua de señas; tecnologías de apoyo</t>
  </si>
  <si>
    <t>Financia el pilotaje, la evaluación rigurosa y el escalamiento de soluciones innovadoras que reduzcan desigualdades. Una propuesta de la UNPHU debe demostrar cómo la intervención mejora resultados educativos o sociales y cómo puede ampliarse de forma costo-efectiva.</t>
  </si>
  <si>
    <t>Puede aplicar cualquier organización legalmente constituida, incluidas universidades y centros de investigación. El proyecto debe ejecutarse en un país elegible para ayuda oficial al desarrollo; la República Dominicana es elegible.</t>
  </si>
  <si>
    <t>Etapa piloto: hasta EUR 200,000. Evaluación de impacto: hasta EUR 1.5 millones. Escalamiento: hasta EUR 4 millones. Las etapas de política pública están reservadas a entidades públicas; la UNPHU puede participar como socio técnico o de investigación.</t>
  </si>
  <si>
    <t>https://fundinnovation.dev/en/launch-project</t>
  </si>
  <si>
    <t>Compatible para solicitud directa de la UNPHU. Requiere una intervención concreta, teoría de cambio, indicadores de impacto, costo-efectividad y potencial de escalamiento.</t>
  </si>
  <si>
    <t>2026-084</t>
  </si>
  <si>
    <t>Evaluación de las Políticas Públicas de Inclusión Educativa</t>
  </si>
  <si>
    <t>Instituto Dominicano de Evaluación e Investigación de la Calidad Educativa — IDEICE / MINERD</t>
  </si>
  <si>
    <t>8 meses</t>
  </si>
  <si>
    <t>Contrato para evaluación e investigación aplicada</t>
  </si>
  <si>
    <t>Investigadores en educación inclusiva, educación especial, evaluación de políticas públicas, estadística, metodología cualitativa y cuantitativa, discapacidad y gestión educativa</t>
  </si>
  <si>
    <t>Universidad; centro de investigación; ONG; empresa; consorcio; persona física</t>
  </si>
  <si>
    <t>Entidades y profesionales nacionales o extranjeros sujetos a los requisitos de contratación pública dominicana</t>
  </si>
  <si>
    <t>Evaluación de políticas públicas de inclusión educativa</t>
  </si>
  <si>
    <t>educación inclusiva; necesidades específicas de apoyo educativo; discapacidad; políticas públicas; centros educativos; prácticas pedagógicas; barreras; accesibilidad</t>
  </si>
  <si>
    <t>Evaluación del diseño, la implementación y los resultados de las políticas públicas de inclusión educativa en el sistema preuniversitario dominicano, orientada a producir evidencia y recomendaciones para mejorar su efectividad.</t>
  </si>
  <si>
    <t>Podían participar universidades, centros de investigación y otras entidades con experiencia demostrada. Las organizaciones debían estar legalmente constituidas, tener capacidad para contratar con el Estado dominicano, RPE activo y cumplimiento tributario y de seguridad social.</t>
  </si>
  <si>
    <t>Presupuesto máximo de RD$2.5 millones, incluidos costos directos e indirectos, y ejecución prevista de ocho meses. La investigación se desarrollaría en regiones educativas seleccionadas.</t>
  </si>
  <si>
    <t>https://ideice.gob.do/programas/fondos-concursables-de-investigaciones</t>
  </si>
  <si>
    <t>IDEICE / MINERD</t>
  </si>
  <si>
    <t>Muy compatible con la UNPHU, pero cerrada. Conviene monitorear futuras contrataciones y mantener actualizados el RPE, las certificaciones fiscales, las referencias contractuales y los expedientes del equipo investigador.</t>
  </si>
  <si>
    <t>2026-085</t>
  </si>
  <si>
    <t>Research-Practice Partnerships: Collaborative Research for Educational Change</t>
  </si>
  <si>
    <t>Hasta 3 años</t>
  </si>
  <si>
    <t>Subvención para asociación investigación-práctica</t>
  </si>
  <si>
    <t>Investigadores educativos; profesor; gestores; responsables de políticas públicas; especialistas en discapacidad; organizaciones comunitarias y profesionales de servicios de apoyo</t>
  </si>
  <si>
    <t>Alianza entre una organización investigadora y una o más organizaciones de práctica o política educativa</t>
  </si>
  <si>
    <t>Sin restricción expresa; aplican las condiciones institucionales</t>
  </si>
  <si>
    <t>Investigación educativa colaborativa</t>
  </si>
  <si>
    <t>research-practice partnership; educación inclusiva; discapacidad; políticas educativas; colaboración; escuelas; universidades; investigación participativa</t>
  </si>
  <si>
    <t>Financia investigaciones desarrolladas mediante alianzas duraderas entre investigadores, profesionales y responsables de políticas para responder a problemas educativos relevantes. Puede aplicarse a una colaboración sobre inclusión de estudiantes con discapacidades auditivas y visuales.</t>
  </si>
  <si>
    <t>La entidad administradora debe ser pública o sin fines de lucro. Se aceptan universidades extranjeras con condición equivalente. Debe existir una asociación auténtica entre investigación y práctica, representada en el liderazgo del proyecto.</t>
  </si>
  <si>
    <t>Financia hasta USD 400,000 durante un máximo de tres años y permite hasta 15 % de costos indirectos. Se favorecen alianzas sustantivas y duraderas, no asociaciones creadas únicamente para presentar la solicitud.</t>
  </si>
  <si>
    <t>https://www.spencer.org/grant_types/research-practice-partnerships</t>
  </si>
  <si>
    <t>Spencer Foundation — Research-Practice Partnerships</t>
  </si>
  <si>
    <t>Compatible para una futura edición. La UNPHU debería formalizar una alianza estable con IDEICE, MINERD, centros educativos, CONADIS u organizaciones representativas de personas sordas y ciegas.</t>
  </si>
  <si>
    <t>2026-086</t>
  </si>
  <si>
    <t>Sea Turtles 2027 Request for Proposals</t>
  </si>
  <si>
    <t>National Fish and Wildlife Foundation — NFWF</t>
  </si>
  <si>
    <t>Según propuesta</t>
  </si>
  <si>
    <t>Investigador establecido; Profesor; Postdoctorado</t>
  </si>
  <si>
    <t>Institución académica; ONG; Gobierno; Empresa</t>
  </si>
  <si>
    <t>Hemisferio Occidental; prioridad en Estados Unidos y sus territorios</t>
  </si>
  <si>
    <t>Medio ambiente y recursos naturales</t>
  </si>
  <si>
    <t>tortugas marinas; conservación costera; captura incidental; playas de anidación; monitoreo; cambio climático</t>
  </si>
  <si>
    <t>Financia proyectos para mejorar la recuperación de poblaciones de tortugas marinas mediante respuesta a varamientos y rehabilitación, reducción de captura incidental, protección de playas de anidación y fortalecimiento de redes regionales de conservación.</t>
  </si>
  <si>
    <t>La UNPHU es elegible como institución educativa. Los proyectos desarrollados fuera de Estados Unidos pueden ser considerados si se ejecutan en el hemisferio occidental, aunque reciben menor prioridad. La propuesta debe demostrar resultados medibles de conservación y capacidad técnica.</t>
  </si>
  <si>
    <t>Prepropuesta: 19/08/2026; propuesta completa por invitación: 27/10/2026. La mayoría de las adjudicaciones se sitúan entre USD 50,000 y USD 400,000, sin límites formales. Se requiere contrapartida no federal 1:1 para trabajos de playas y captura incidental; es aceptada, pero no obligatoria, para varamientos y rehabilitación.</t>
  </si>
  <si>
    <t>https://www.nfwf.org/programs/sea-turtles/sea-turtles-2027-request-proposals</t>
  </si>
  <si>
    <t>National Fish and Wildlife Foundation — Sea Turtles Program / Michelle Pico, Senior Program Director, Marine Conservation</t>
  </si>
  <si>
    <t xml:space="preserve"> Para una propuesta dominicana conviene vincular el proyecto con poblaciones migratorias compartidas, redes regionales, pesca artesanal, captura incidental o monitoreo coordinado. Verificar requisitos federales de cumplimiento y permisos aplicables.</t>
  </si>
  <si>
    <t>2026-087</t>
  </si>
  <si>
    <t>Premio Nacional Ambiental 2026</t>
  </si>
  <si>
    <t>Ministerio de Medio Ambiente y Recursos Naturales</t>
  </si>
  <si>
    <t>No especificado</t>
  </si>
  <si>
    <t>Otra</t>
  </si>
  <si>
    <t>Investigador emergente; Investigador establecido; Profesor</t>
  </si>
  <si>
    <t>Institución académica; Persona individual; Empresa; ONG; Gobierno</t>
  </si>
  <si>
    <t>Sin restricción; la iniciativa debe generar aportes ambientales en República Dominicana</t>
  </si>
  <si>
    <t>investigación ambiental; innovación; sostenibilidad; conservación; recursos naturales; buenas prácticas</t>
  </si>
  <si>
    <t>Reconoce a personas, instituciones, investigaciones y proyectos innovadores que promueven la sostenibilidad, la protección ambiental y el uso responsable de los recursos naturales en la República Dominicana.</t>
  </si>
  <si>
    <t>La UNPHU, sus centros, laboratorios, grupos de investigación e investigadores pueden ser postulados en las categorías aplicables, incluida Investigación, siempre que presenten resultados y evidencias verificables de su contribución ambiental.</t>
  </si>
  <si>
    <t>Convocatoria abierta hasta el 31/08/2026. Es un galardón y reconocimiento institucional, no una subvención ordinaria de investigación. La postulación debe incluir la documentación y evidencias exigidas por las bases de la categoría correspondiente.</t>
  </si>
  <si>
    <t>https://ambiente.gob.do/premio-nacional-ambiental/</t>
  </si>
  <si>
    <t>Ministerio de Medio Ambiente y Recursos Naturales — Premio Nacional Ambiental</t>
  </si>
  <si>
    <t>Compatibilidad alta como premio, no como grant. Priorizar proyectos ya ejecutados que cuenten con publicaciones, indicadores de impacto, resultados territoriales y evidencias documentales.</t>
  </si>
  <si>
    <t>2026-088</t>
  </si>
  <si>
    <t>Fondo IKI – IKI Large Grants</t>
  </si>
  <si>
    <t>International Climate Initiative — IKI / Ministerio Federal de Medio Ambiente, Acción Climática, Conservación de la Naturaleza y Seguridad Nuclear — BMUKN</t>
  </si>
  <si>
    <t>Hasta 8 años</t>
  </si>
  <si>
    <t>Consorcio; Institución académica; ONG; Empresa</t>
  </si>
  <si>
    <t>Bilateral, regional o global; países ODA elegibles conforme a cada prioridad</t>
  </si>
  <si>
    <t>Cambio climático</t>
  </si>
  <si>
    <t>mitigación; adaptación; biodiversidad; sumideros de carbono; transformación climática; consorcios</t>
  </si>
  <si>
    <t>Financia proyectos de gran escala que respondan a prioridades temáticas o geográficas en mitigación de gases de efecto invernadero, adaptación al cambio climático, conservación de biodiversidad y protección de sumideros naturales de carbono.</t>
  </si>
  <si>
    <t>La UNPHU puede participar como líder o integrante de un consorcio de al menos dos organizaciones, siempre que la prioridad seleccionada permita proyectos en República Dominicana o en una región que la incluya. Las universidades y centros de investigación extranjeros son elegibles.</t>
  </si>
  <si>
    <t>La convocatoria 2025 cerró el 17/02/2026. La financiación general del instrumento oscila entre EUR 5 y 20 millones por proyecto, según la prioridad. La financiación anual promedio solicitada no debe superar la facturación anual promedio del líder durante los tres últimos ejercicios. Puede requerirse aporte propio o movilización de fondos adicionales.</t>
  </si>
  <si>
    <t>https://www.international-climate-initiative.com/en/find-funding/large-grants/large-grants-2025/</t>
  </si>
  <si>
    <t>International Climate Initiative — IKI Office, Zukunft – Umwelt – Gesellschaft — ZUG / BMUKN</t>
  </si>
  <si>
    <t>Compatibilidad condicionada y convocatoria cerrada. Mantener como antecedente recurrente. Antes de una futura postulación, comprobar que República Dominicana esté incluida en la prioridad y definir un consorcio con suficiente capacidad financiera y fiduciaria.</t>
  </si>
  <si>
    <t>2026-089</t>
  </si>
  <si>
    <t>Fondo IKI – IKI Medium Grants</t>
  </si>
  <si>
    <t>2-3 años</t>
  </si>
  <si>
    <t>Consorcio; Institución académica; ONG</t>
  </si>
  <si>
    <t>Proyectos bilaterales o regionales en uno o dos países elegibles</t>
  </si>
  <si>
    <t>adaptación; economía circular; biodiversidad; fortalecimiento de capacidades; cooperación Norte-Sur</t>
  </si>
  <si>
    <t>Apoya proyectos innovadores de acción climática y biodiversidad ejecutados mediante cooperación entre una organización solicitante elegible establecida en Alemania o la Unión Europea y una o dos organizaciones socias locales en los países de implementación.</t>
  </si>
  <si>
    <t>La UNPHU no es elegible como solicitante principal por estar establecida en República Dominicana, pero puede participar como organización socia local si demuestra personalidad jurídica independiente, finalidad no lucrativa y al menos dos años de experiencia institucional en la prioridad temática.</t>
  </si>
  <si>
    <t>La convocatoria 2025 cerró el 20/01/2026. El solicitante principal debe estar establecido en Alemania o en otro Estado miembro de la Unión Europea y contar con establecimiento permanente en Alemania al primer desembolso. Debe asociarse con una o dos organizaciones locales. Se requiere aporte propio o fondos de terceros.</t>
  </si>
  <si>
    <t>https://www.international-climate-initiative.com/en/find-funding/medium-grants/medium-grants-2025/</t>
  </si>
  <si>
    <t>Compatibilidad únicamente como socia local; convocatoria cerrada. Identificar anticipadamente universidades, ONG o instituciones sin fines de lucro elegibles en Alemania o la Unión Europea que puedan actuar como solicitantes principales.</t>
  </si>
  <si>
    <t>2026-090</t>
  </si>
  <si>
    <t>Fondo Verde para el Clima — GCF</t>
  </si>
  <si>
    <t>Green Climate Fund — GCF</t>
  </si>
  <si>
    <t>Institución académica; Gobierno; ONG; Empresa; Organización internacional</t>
  </si>
  <si>
    <t>Países en desarrollo; el proyecto debe alinearse con las prioridades climáticas nacionales</t>
  </si>
  <si>
    <t>financiamiento climático; mitigación; adaptación; resiliencia; PSAA; entidad acreditada; preparación de proyectos</t>
  </si>
  <si>
    <t>Financia programas y proyectos climáticos mediante subvenciones, préstamos, capital, garantías y otros instrumentos. Las instituciones acceden normalmente a través de entidades acreditadas o, para un único proyecto, mediante el Project-specific Assessment Approach — PSAA.</t>
  </si>
  <si>
    <t>La UNPHU puede participar como entidad ejecutora o socia técnica de una entidad acreditada. También podría solicitar acceso mediante PSAA para un proyecto específico si demuestra capacidad jurídica, financiera, fiduciaria, ambiental, social y de género, obtiene la nominación de la autoridad nacional designada y recibe una carta de no objeción.</t>
  </si>
  <si>
    <t>No existe una fecha límite general ni un monto único. Las propuestas deben contar con apropiación nacional y cumplir los criterios de inversión y salvaguardas del GCF. El PSAA admite proyectos de cualquier tamaño con riesgos ambientales y sociales bajos o medios y limita a cada entidad a un máximo de una propuesta aprobada bajo esta modalidad.</t>
  </si>
  <si>
    <t>https://www.greenclimate.fund/access-funding</t>
  </si>
  <si>
    <t>Green Climate Fund — GCF / National Designated Authority de República Dominicana</t>
  </si>
  <si>
    <t>Compatibilidad indirecta o condicionada. La vía más realista es participar como entidad ejecutora, investigadora o socia técnica de una entidad acreditada; una solicitud propia mediante PSAA exigiría una capacidad institucional y fiduciaria considerable.</t>
  </si>
  <si>
    <t>2026-091</t>
  </si>
  <si>
    <t>Fondo para Respuesta a Pérdidas y Daños — FRLD</t>
  </si>
  <si>
    <t>Fund for Responding to Loss and Damage — FRLD</t>
  </si>
  <si>
    <t>Según solicitud aprobada</t>
  </si>
  <si>
    <t>Gobierno; Consorcio; Otro</t>
  </si>
  <si>
    <t>Países en desarrollo particularmente vulnerables a los efectos adversos del cambio climático</t>
  </si>
  <si>
    <t>pérdidas y daños; eventos extremos; aumento del nivel del mar; desplazamiento; recuperación; datos climáticos; SIDS</t>
  </si>
  <si>
    <t>Financia respuestas a pérdidas y daños económicos y no económicos asociados con eventos climáticos extremos y procesos de evolución lenta, incluyendo recuperación, reconstrucción, rehabilitación, movilidad humana, planes nacionales e información climática.</t>
  </si>
  <si>
    <t>La UNPHU no puede presentar una solicitud institucional independiente en la primera convocatoria. Puede participar como entidad ejecutora, socia científica, proveedora de datos o apoyo técnico dentro de una solicitud liderada por República Dominicana y presentada mediante el punto focal o autoridad nacional, o en asociación con una entidad de acceso acreditada.</t>
  </si>
  <si>
    <t>La primera convocatoria de las Barbados Implementation Modalities estuvo abierta del 15/12/2025 al 15/06/2026 y contempló solicitudes de USD 5 a 20 millones. Las solicitudes son originadas y lideradas por los países. El FRLD acepta acceso mediante gobiernos nacionales y entidades acreditadas ante el Fondo de Adaptación, GEF o GCF, conforme a la modalidad aplicable.</t>
  </si>
  <si>
    <t>https://www.frld.org/nodebim</t>
  </si>
  <si>
    <t>Fund for Responding to Loss and Damage — FRLD Secretariat / Punto Focal Nacional de República Dominicana</t>
  </si>
  <si>
    <t>Compatibilidad únicamente como participante técnico o ejecutor dentro de una propuesta nacional; convocatoria cerrada. Conviene posicionar a la UNPHU ante el punto focal nacional como socio para datos, evaluación de pérdidas no económicas, modelación, seguimiento y formación.</t>
  </si>
  <si>
    <t>Pais</t>
  </si>
  <si>
    <t>Estudiante de grado</t>
  </si>
  <si>
    <t>No</t>
  </si>
  <si>
    <t>Empresa</t>
  </si>
  <si>
    <t>Suspendida</t>
  </si>
  <si>
    <t>ONG</t>
  </si>
  <si>
    <t>Gobierno</t>
  </si>
  <si>
    <t>Profesor</t>
  </si>
  <si>
    <t>Postdoctorado</t>
  </si>
  <si>
    <t>Cuestionario</t>
  </si>
  <si>
    <t>Planificacion de 
investigación</t>
  </si>
  <si>
    <t>Plantilla maestra de oportunidades de financiamiento</t>
  </si>
  <si>
    <t>Paso</t>
  </si>
  <si>
    <t>Qué hacer</t>
  </si>
  <si>
    <t>Recomendación</t>
  </si>
  <si>
    <t>Campo clave</t>
  </si>
  <si>
    <t>Ejemplo</t>
  </si>
  <si>
    <t>Obligatorio</t>
  </si>
  <si>
    <t>Registrar una oportunidad por fila.</t>
  </si>
  <si>
    <t>No combinar varias convocatorias en una sola fila.</t>
  </si>
  <si>
    <t>Título</t>
  </si>
  <si>
    <t>Convocatoria de investigación en IA</t>
  </si>
  <si>
    <t>Guardar fechas como fechas reales de Excel.</t>
  </si>
  <si>
    <t>No escribir 'abril 2027' como texto.</t>
  </si>
  <si>
    <t>2027-04-15</t>
  </si>
  <si>
    <t>Cuando exista</t>
  </si>
  <si>
    <t>Separar monto y moneda.</t>
  </si>
  <si>
    <t>No escribir '$50,000 USD' en una sola celda.</t>
  </si>
  <si>
    <t>Monto máximo / Moneda</t>
  </si>
  <si>
    <t>50000 / USD</t>
  </si>
  <si>
    <t>Recomendado</t>
  </si>
  <si>
    <t>Usar listas desplegables.</t>
  </si>
  <si>
    <t>Mantiene categorías uniformes para filtros web.</t>
  </si>
  <si>
    <t>Tipo, estado, moneda</t>
  </si>
  <si>
    <t>Copiar la URL oficial completa.</t>
  </si>
  <si>
    <t>Priorizar la fuente del financiador.</t>
  </si>
  <si>
    <t>https://...</t>
  </si>
  <si>
    <t>Registrar la última verificación.</t>
  </si>
  <si>
    <t>Permite detectar información desactualizada.</t>
  </si>
  <si>
    <t>2026-07-15</t>
  </si>
  <si>
    <t>Usar 'Publicar = No' para borradores.</t>
  </si>
  <si>
    <t>La futura web puede excluir esas filas.</t>
  </si>
  <si>
    <t>Sí / No</t>
  </si>
  <si>
    <t>No borrar las columnas calculadas.</t>
  </si>
  <si>
    <t>Estado calculado se actualiza según TODAY().</t>
  </si>
  <si>
    <t>Abierta / Vencida</t>
  </si>
  <si>
    <t>Automático</t>
  </si>
  <si>
    <t>MSCA Doctoral Networks 2026 — Red doctoral internacional sobre patrimonio digital y sistemas constructivos</t>
  </si>
  <si>
    <t>Comisión Europea — Marie Skłodowska-Curie Actions (MSCA)</t>
  </si>
  <si>
    <t>Según propuesta; contratación doctoral de 3 a 36 meses, hasta 48 meses en Joint Doctorates</t>
  </si>
  <si>
    <t>Investigador establecido; Profesor; Estudiante de posgrado</t>
  </si>
  <si>
    <t>Consorcio; Institución académica; Empresa; Gobierno; ONG</t>
  </si>
  <si>
    <t>Internacional; el núcleo mínimo debe incluir tres entidades independientes de tres países UE o asociados, con al menos una entidad de la UE</t>
  </si>
  <si>
    <t>Doctorandos de cualquier nacionalidad; aplica la regla de movilidad MSCA</t>
  </si>
  <si>
    <t>Patrimonio cultural; arquitectura; digitalización e inteligencia artificial</t>
  </si>
  <si>
    <t>MSCA; red doctoral; patrimonio digital; sistemas constructivos; HBIM; gemelos digitales; IA; conservación; formación doctoral</t>
  </si>
  <si>
    <t>Convocatoria internacional y abierta a todas las áreas científicas para crear programas doctorales conjuntos con formación, movilidad y cooperación académica y no académica. Puede estructurarse una red sobre documentación digital, diagnóstico inteligente, HBIM, gemelos digitales y conservación de sistemas constructivos históricos.</t>
  </si>
  <si>
    <t>La UNPHU puede integrarse como beneficiaria financiada adicional dentro de un consorcio que cumpla el núcleo mínimo europeo. Las organizaciones de países de ingresos bajos y medios pueden solicitar y recibir financiación de la UE. Todo beneficiario debe contratar al menos un candidato doctoral y ofrecer supervisión e infraestructura.</t>
  </si>
  <si>
    <t>Convocatoria HORIZON-MSCA-2026-DN-01 abierta desde el 28/05/2026. Presupuesto global indicativo de EUR 593 millones. La financiación se calcula mediante costes unitarios, por lo que no existe un monto fijo único por proyecto. Requiere registro institucional y PIC, contratación abierta de doctorandos y cumplimiento de la regla de movilidad.</t>
  </si>
  <si>
    <t>https://marie-sklodowska-curie-actions.ec.europa.eu/funding/msca-doctoral-networks-2026</t>
  </si>
  <si>
    <t>Comisión Europea — Marie Skłodowska-Curie Actions / European Research Executive Agency</t>
  </si>
  <si>
    <t>Compatibilidad alta, pero requiere consorcio internacional y preparación institucional considerable. Priorizar una propuesta sobre patrimonio digital del Caribe, HBIM, IA para diagnóstico de lesiones y preservación de sistemas constructivos históricos.</t>
  </si>
  <si>
    <t>AIA Site Preservation Grant — Conservación de sitios arqueológicos amenazados</t>
  </si>
  <si>
    <t>Archaeological Institute of America — AIA Site Preservation Program</t>
  </si>
  <si>
    <t>Según proyecto aprobado</t>
  </si>
  <si>
    <t>Persona individual; Institución académica; ONG</t>
  </si>
  <si>
    <t>Patrimonio cultural; arqueología; conservación</t>
  </si>
  <si>
    <t>sitios arqueológicos; conservación; documentación digital; fotogrametría; monitoreo; mantenimiento; capacitación; divulgación</t>
  </si>
  <si>
    <t>Financia proyectos que preserven y protejan sitios arqueológicos amenazados. Admite planificación para la conservación, documentación fotográfica y aplicaciones digitales, evaluación del estado, intervenciones físicas, medidas preventivas, monitoreo, mantenimiento, capacitación y educación pública.</t>
  </si>
  <si>
    <t>Compatible para la UNPHU cuando el proyecto se refiera a un sitio arqueológico o arquitectura arqueológica amenazada y sea dirigido por un equipo con credenciales adecuadas. Se valoran la participación de autoridades y personal local, la conservación a largo plazo, el mantenimiento y la transferencia de metodologías.</t>
  </si>
  <si>
    <t>Monto máximo de USD 15,000. La solicitud debe incluir un componente de preservación y se fortalece con educación y divulgación comunitaria. Los fondos se destinan a costes directos; no cubren costes indirectos, salarios, excavaciones, prospecciones arqueológicas ni el desarrollo aislado de planes de gestión.</t>
  </si>
  <si>
    <t>https://www.archaeological.org/grant/site-preservation/</t>
  </si>
  <si>
    <t>Archaeological Institute of America — AIA Site Preservation Program / Meredith Langlitz</t>
  </si>
  <si>
    <t>Compatibilidad alta únicamente si el inmueble o conjunto tiene carácter arqueológico y existe una amenaza de conservación verificable. Adecuada para documentación digital, monitoreo y conservación preventiva, no para una investigación arquitectónica sin componente arqueológico.</t>
  </si>
  <si>
    <t>Kathleen and David Boochever Endowment — Subvención semilla para prospección y documentación tecnológica</t>
  </si>
  <si>
    <t>Archaeological Institute of America</t>
  </si>
  <si>
    <t>Arqueología; patrimonio cultural; tecnología aplicada</t>
  </si>
  <si>
    <t>prospección; documentación digital; fotogrametría; LiDAR; teledetección; geofísica; análisis de materiales; arqueología arquitectónica</t>
  </si>
  <si>
    <t>Subvención semilla para trabajo de campo o laboratorio informado por tecnologías nuevas o emergentes. Puede apoyar prospección regional o de sitio, geofísica, teledetección, excavaciones exploratorias y análisis científicos innovadores aplicados al estudio del pasado.</t>
  </si>
  <si>
    <t>Debe solicitarla un investigador de la UNPHU como persona individual. El solicitante debe ser miembro de la AIA en categoría de posgrado o profesional, poseer un doctorado en arqueología o disciplina relacionada y tener afiliación académica. Cuando se requieran permisos, debe acreditarse su obtención.</t>
  </si>
  <si>
    <t>Monto máximo de USD 5,000. Se priorizan investigadores dentro de los ocho años posteriores al doctorado, aunque otros investigadores pueden aplicar. Los fondos no cubren costes indirectos ni salario del investigador principal. Se fomenta la publicación abierta de los datos digitales generados.</t>
  </si>
  <si>
    <t>https://www.archaeological.org/grant/boochever-endowment/</t>
  </si>
  <si>
    <t>Archaeological Institute of America — AIA Fellowship Coordinator</t>
  </si>
  <si>
    <t>Compatible como piloto para escaneo 3D, prospección geofísica, fotogrametría, caracterización de materiales o documentación tecnológica de arquitectura arqueológica. La UNPHU no sería la solicitante directa; aplicaría un investigador afiliado.</t>
  </si>
  <si>
    <t>Ellen and Charles Steinmetz Endowment — Tecnología innovadora aplicada a la investigación arqueológica</t>
  </si>
  <si>
    <t>Arqueología; patrimonio cultural; innovación tecnológica</t>
  </si>
  <si>
    <t>Financia proyectos arqueológicos que utilicen herramientas y métodos tecnológicos de forma innovadora. Normalmente incluye trabajo de campo, aunque también admite investigación de laboratorio. La tecnología puede abarcar métodos digitales, ingeniería, química, biología, física y otras disciplinas.</t>
  </si>
  <si>
    <t>Debe solicitarla un investigador afiliado a la UNPHU como persona individual. Se exige membresía AIA de posgrado o profesional, doctorado en arqueología o disciplina relacionada y afiliación académica. Cuando el proyecto requiera permisos, deben estar disponibles antes del desembolso.</t>
  </si>
  <si>
    <t>Se conceden hasta dos ayudas de un máximo de USD 8,500 cada una. Se priorizan proyectos nuevos de investigadores dentro de los ocho años posteriores al doctorado. No cubre costes indirectos ni salario del investigador principal y fomenta la publicación abierta de datos digitales.</t>
  </si>
  <si>
    <t>https://www.archaeological.org/grant/the-ellen-and-charles-steinmetz-endowment-fund-for-archaeology/</t>
  </si>
  <si>
    <t>Muy adecuada para un piloto de HBIM, modelos 3D, visión computacional, sensores o análisis inteligente de un edificio o sitio histórico, siempre que la pregunta sea arqueológica y el investigador principal cumpla doctorado y membresía AIA.</t>
  </si>
  <si>
    <t>2026-092</t>
  </si>
  <si>
    <t>2026-093</t>
  </si>
  <si>
    <t>2026-094</t>
  </si>
  <si>
    <t>2026-095</t>
  </si>
  <si>
    <t xml:space="preserve">tecnología arqueológica; escáner 3D; fotogrametría; HBIM; visión computacional; sensores; GIS; </t>
  </si>
  <si>
    <t>Fondo MARENA — Programa Especial de Microfinanciamientos</t>
  </si>
  <si>
    <t>Fondo Nacional para el Medio Ambiente y Recursos Naturales — Fondo MARENA</t>
  </si>
  <si>
    <t>Medio ambiente; contaminación acústica; calidad ambiental urbana</t>
  </si>
  <si>
    <t>Programa de microfinanciamientos para actividades puntuales de protección y conservación ambiental, educación, restauración y uso sostenible. Puede apoyar un piloto local de mapa participativo de ruido, medición acústica, sensibilización comunitaria y generación de información para la gestión municipal.</t>
  </si>
  <si>
    <t>Compatibilidad condicionada para la UNPHU. La ficha se dirige principalmente a organizaciones de la sociedad civil y también menciona museos, escuelas, colegios y organizaciones similares dedicadas a educación y divulgación ambiental. Antes de presentar, la UNPHU debe obtener confirmación escrita de que puede aplicar como institución universitaria.</t>
  </si>
  <si>
    <t>Ventanilla continua. Monto entre RD$10,000 y RD$500,000. El apoyo suele requerir contrapartida, aunque los proyectos de investigación, educación y cultura ambiental y los microfinanciamientos podrían recibir hasta el 100 % del costo. La entrega publicada es presencial.</t>
  </si>
  <si>
    <t>https://fondomarena.gob.do/index.php/servicios/item/269-programa-especial-de-microfinanciamientos</t>
  </si>
  <si>
    <t>Fondo MARENA — Dirección Ejecutiva / Departamento Técnico</t>
  </si>
  <si>
    <t>Opción local para un piloto de bajo costo. Confirmar previamente elegibilidad jurídica, disponibilidad presupuestaria, formulario vigente, contrapartida y recepción efectiva de solicitudes. No comprometer gastos antes de contar con aceptación formal.</t>
  </si>
  <si>
    <t>Wellcome Early-Career Awards — Ronda noviembre de 2026</t>
  </si>
  <si>
    <t>Generalmente 5 años</t>
  </si>
  <si>
    <t>Persona individual; Institución académica</t>
  </si>
  <si>
    <t>Reino Unido; República de Irlanda; países de ingresos bajos o medios elegibles</t>
  </si>
  <si>
    <t>Salud ambiental; vida, salud y bienestar</t>
  </si>
  <si>
    <t>Financia investigadores de carrera inicial de cualquier disciplina para desarrollar proyectos innovadores relacionados con la vida, la salud y el bienestar. Un mapa de ruido puede integrarse como herramienta de evaluación de exposición ambiental vinculada con resultados de salud.</t>
  </si>
  <si>
    <t>La UNPHU puede actuar como organización administradora si cumple las condiciones institucionales de Wellcome para entidades de educación superior sin fines de lucro en países de ingresos bajos o medios. El investigador debe cumplir el perfil de carrera inicial y los requisitos de experiencia posdoctoral.</t>
  </si>
  <si>
    <t>La ronda abrió el 22/07/2026 y cierra el 10/11/2026 a las 15:00 GMT. Cubre el salario del investigador y hasta GBP 400,000 en gastos de investigación; determinados costos adicionales no computan dentro de ese límite. Normalmente exige dedicar al menos el 80 % del tiempo de investigación al proyecto.</t>
  </si>
  <si>
    <t>https://wellcome.org/research-funding/schemes/wellcome-early-career-awards</t>
  </si>
  <si>
    <t>Wellcome — Discovery Research</t>
  </si>
  <si>
    <t>Adecuada únicamente si el mapa responde una pregunta científica de salud ambiental. No presentar como producto cartográfico aislado. Verificar experiencia posdoctoral, patrocinador institucional, liberación de carga docente y capacidad administrativa de la UNPHU.</t>
  </si>
  <si>
    <t>Wellcome Career Development Awards — Ronda noviembre de 2026</t>
  </si>
  <si>
    <t>Generalmente 8 años</t>
  </si>
  <si>
    <t>Apoya investigadores de media carrera para liderar programas sustanciales e innovadores relacionados con la vida, la salud y el bienestar. Puede encajar un programa de largo plazo sobre exposición al ruido urbano, desigualdades territoriales y efectos sobre la salud en ciudades del Caribe.</t>
  </si>
  <si>
    <t>La UNPHU puede actuar como organización administradora si cumple las condiciones de Wellcome para instituciones de educación superior sin fines de lucro en países de ingresos bajos o medios. La elegibilidad final depende de que el investigador cumpla la definición de media carrera y las condiciones contractuales.</t>
  </si>
  <si>
    <t>La ronda abre el 29/07/2026 y cierra el 17/11/2026 a las 15:00 GMT. No existe un máximo rígido publicado; el gasto anual suele ser inferior a GBP 250,000, excluido el salario del solicitante, y las solicitudes superiores reciben escrutinio adicional. No admite co-solicitantes.</t>
  </si>
  <si>
    <t>https://wellcome.org/research-funding/schemes/wellcome-career-development-awards</t>
  </si>
  <si>
    <t>Recomendable para consolidar una línea institucional de salud urbana, no para un levantamiento puntual. Confirmar trayectoria del investigador, condiciones contractuales, compromiso institucional y capacidad para ejecutar un programa de hasta ocho años.</t>
  </si>
  <si>
    <t>NIH Research Project Grant — Parent R01, PA-25-301</t>
  </si>
  <si>
    <t>Máximo 5 años</t>
  </si>
  <si>
    <t>Salud ambiental; investigación biomédica y de salud pública</t>
  </si>
  <si>
    <t>Financia proyectos definidos y rigurosos relacionados con la misión de los institutos participantes del NIH. Puede apoyar un estudio maduro sobre exposición acústica urbana y resultados de salud, con el mapa de ruido como componente de evaluación ambiental. Esta modalidad no admite ensayos clínicos.</t>
  </si>
  <si>
    <t>La UNPHU es elegible para presentar directamente como institución extranjera de educación superior. La propuesta debe alinearse con los intereses de un instituto participante, justificar el valor científico del contexto dominicano y cumplir los registros federales e institucionales exigidos.</t>
  </si>
  <si>
    <t>Próxima fecha estándar para solicitudes nuevas: 05/10/2026; para determinadas renovaciones, revisiones o reenvíos: 05/11/2026. El presupuesto no tiene un límite general, pero debe reflejar las necesidades reales. Requiere UEI, SAM.gov, NCAGE, Grants.gov, eRA Commons y ORCID. Las solicitudes con subadjudicaciones extranjeras financiadas están restringidas bajo la política vigente.</t>
  </si>
  <si>
    <t>https://grants.nih.gov/grants/guide/pa-files/PA-25-301.html</t>
  </si>
  <si>
    <t>National Institutes of Health — NIH / instituto participante correspondiente</t>
  </si>
  <si>
    <t>Priorizar solo si existen datos preliminares, equipo multidisciplinario, protocolo de salud, capacidad ética y administrativa y una pregunta científica sólida. Contactar previamente a NIEHS, NIDCD, NHLBI, NIMH u otro instituto participante pertinente.</t>
  </si>
  <si>
    <t>2026-096</t>
  </si>
  <si>
    <t>2026-097</t>
  </si>
  <si>
    <t>2026-098</t>
  </si>
  <si>
    <t>2026-099</t>
  </si>
  <si>
    <t xml:space="preserve">ruido urbano; contaminación acústica; salud ambiental; ciudades saludables; epidemiología espacial; desigualdad territorial; </t>
  </si>
  <si>
    <t>ruido urbano; contaminación acústica; salud ambiental; ciudades saludables; epidemiología espacial; desigualdad territorial; l</t>
  </si>
  <si>
    <t xml:space="preserve"> microfinanciamiento; mapa de ruido urbano; contaminación acústica; salud ambiental; ciudades saludables; epidemiología espacial; desigualdad territorial; </t>
  </si>
  <si>
    <t>Investigadores emergentes</t>
  </si>
  <si>
    <t>investigador emergente</t>
  </si>
  <si>
    <t>Desarrollo de intervenciones psicosociales — PAR-25-182</t>
  </si>
  <si>
    <t>National Institute of Mental Health — NIMH / National Institutes of Health — NIH</t>
  </si>
  <si>
    <t>Hasta 5 años: R61 hasta 2 años y R33 hasta 3 años</t>
  </si>
  <si>
    <t>Psicología; psiquiatría; salud pública; neurociencias; trabajo social; epidemiología; bioestadística; ensayos clínicos</t>
  </si>
  <si>
    <t>Problemas psicosociales y salud mental</t>
  </si>
  <si>
    <t>intervención psicosocial; prevención; tratamiento; salud mental; mecanismos; ensayo clínico; intervención digital</t>
  </si>
  <si>
    <t>Financia el desarrollo y la prueba piloto de intervenciones psicosociales innovadoras para prevenir o tratar trastornos mentales, cuando el blanco terapéutico o la estrategia de intervención sea novedosa.</t>
  </si>
  <si>
    <t>La UNPHU puede solicitar directamente como institución extranjera de educación superior. La propuesta debe presentarse institucionalmente y cumplir los registros y requisitos administrativos de NIH.</t>
  </si>
  <si>
    <t>Ensayo clínico obligatorio. La fase R61 financia pruebas preliminares orientadas por hitos y la fase R33 depende del cumplimiento de los criterios de avance. El presupuesto no tiene un límite predeterminado, pero debe corresponder a las necesidades reales del proyecto. Próximo cierre: 15/10/2026 a las 17:00, hora local de la institución.</t>
  </si>
  <si>
    <t>https://grants.nih.gov/grants/guide/pa-files/PAR-25-182.html</t>
  </si>
  <si>
    <t>NIH — National Institute of Mental Health, Division of Translational Research</t>
  </si>
  <si>
    <t>Compatibilidad muy alta para una intervención novedosa en fase inicial. Verificar inmediatamente SAM, UEI, Grants.gov y eRA Commons. El NOFO no admite solicitudes con subadjudicaciones extranjeras financiadas.</t>
  </si>
  <si>
    <t>Intervenciones para adultos mayores con enfermedad mental grave — RFA-MH-27-180</t>
  </si>
  <si>
    <t>Hasta 5 años</t>
  </si>
  <si>
    <t>Gerontología; psiquiatría; psicología; salud pública; enfermería; trabajo social; servicios de salud; ciencia de implementación</t>
  </si>
  <si>
    <t>Salud mental y envejecimiento</t>
  </si>
  <si>
    <t>adultos mayores; enfermedad mental grave; esquizofrenia; bipolaridad; depresión crónica; PTSD; servicios de salud; implementación</t>
  </si>
  <si>
    <t>Apoya investigaciones que optimicen la adaptación, prestación, sostenibilidad y efectividad de prácticas respaldadas empíricamente para personas de 50 años o más que viven con enfermedades mentales graves.</t>
  </si>
  <si>
    <t>La UNPHU puede presentar directamente como organización extranjera e institución privada de educación superior.</t>
  </si>
  <si>
    <t>Apertura para recepción de solicitudes: 15/09/2026. Cierre único: 15/10/2026 a las 17:00, hora local de la institución. Ensayo clínico opcional. NIMH prevé destinar USD 3.000.000 y financiar aproximadamente cinco o seis adjudicaciones. No se aceptan proyectos centrados únicamente en factores de riesgo sin intervención o servicio.</t>
  </si>
  <si>
    <t>https://simpler.grants.gov/opportunity/3702dc53-99c8-4506-ac67-4a017e0bdc73</t>
  </si>
  <si>
    <t>NIMH — Division of Services and Intervention Research; NIMH.DSIR.inquiries@nih.gov</t>
  </si>
  <si>
    <t>Compatibilidad muy alta, condicionada a que la población estudiada tenga 50 años o más y enfermedad mental grave. Preparar registros institucionales y consulta técnica antes de la apertura.</t>
  </si>
  <si>
    <t>Wellcome Prize for Mental Health Science with Nature</t>
  </si>
  <si>
    <t>Wellcome y Nature</t>
  </si>
  <si>
    <t>Equipos interdisciplinarios de salud mental con evidencia clínica robusta; psicología; psiquiatría; salud pública; investigación clínica</t>
  </si>
  <si>
    <t>Salud mental</t>
  </si>
  <si>
    <t>ansiedad; depresión; psicosis; intervención psicológica; intervención social; salud digital; evidencia clínica</t>
  </si>
  <si>
    <t>Premia intervenciones farmacológicas, psicológicas, sociales o digitales que hayan demostrado beneficios clínicos claros y medibles para personas afectadas por ansiedad, depresión o psicosis.</t>
  </si>
  <si>
    <t>Pueden aplicar equipos de investigación de universidades de cualquier país. La persona líder debe ser integrante central del equipo que desarrolló la intervención.</t>
  </si>
  <si>
    <t>Un equipo ganador recibirá USD 1.000.000 y tres equipos finalistas recibirán USD 250.000 cada uno. Exige evidencia clínica de alta calidad, participación de personas con experiencia vivida y una intervención encaminada a adopción o integración en políticas. Cierre: 18/09/2026 a las 23:59 UTC.</t>
  </si>
  <si>
    <t>https://www.nature.com/immersive/wellcomeprizementalhealth/for-applicants/index.html</t>
  </si>
  <si>
    <t>Wellcome–Nature Awards; awards@nature.com</t>
  </si>
  <si>
    <t>Compatibilidad muy alta únicamente si la UNPHU ya posee una intervención madura con evidencia clínica sólida. No es una subvención para iniciar una investigación exploratoria.</t>
  </si>
  <si>
    <t>Técnicas de recarga gestionada de acuíferos en contextos rurales</t>
  </si>
  <si>
    <t>Comisión Europea — Horizon Europe, Cluster 6</t>
  </si>
  <si>
    <t>Según el plan de trabajo del consorcio</t>
  </si>
  <si>
    <t>Hidrogeología; hidráulica de suelos; hidrología; geoquímica; ingeniería ambiental; geofísica; agronomía; SIG; teledetección; modelación numérica</t>
  </si>
  <si>
    <t>Unión Europea, países asociados y terceros países financiables, incluida República Dominicana</t>
  </si>
  <si>
    <t>Conductividad hidráulica, hidrogeología y gestión de acuíferos</t>
  </si>
  <si>
    <t>conductividad hidráulica; recarga gestionada de acuíferos; infiltración; aguas subterráneas; calidad del agua; balance hídrico; modelo hidrogeoquímico</t>
  </si>
  <si>
    <t>Financia la ampliación, mejora y adaptación de técnicas de recarga gestionada de acuíferos en zonas rurales, junto con metodologías para seleccionar emplazamientos, monitorear cantidad y calidad del agua y evaluar sostenibilidad y modelos de negocio.</t>
  </si>
  <si>
    <t>La UNPHU puede participar como beneficiaria financiada dentro de un consorcio internacional que cumpla las reglas mínimas de Horizon Europe.</t>
  </si>
  <si>
    <t>Tema HORIZON-CL6-2026-01-ZEROPOLLUTION-03. Acción de Investigación e Innovación con financiación mediante suma global. Presupuesto total del tema: EUR 12.000.000; contribución orientativa aproximada de EUR 6.000.000 por proyecto. Exige enfoque multiactor y al menos dos casos de estudio en zonas pedoclimáticas diferentes.</t>
  </si>
  <si>
    <t>https://cordis.europa.eu/programme/id/HORIZON_HORIZON-CL6-2026-01-ZEROPOLLUTION-03/es</t>
  </si>
  <si>
    <t>Comisión Europea — Horizon Europe / European Research Executive Agency</t>
  </si>
  <si>
    <t>Compatibilidad temática muy alta, pero la UNPHU no puede presentar individualmente. Debe incorporarse a un consorcio con socios europeos y aportar caracterización hidrogeológica, modelación o monitoreo.</t>
  </si>
  <si>
    <t>Métodos para evaluar ecosistemas de aguas subterráneas</t>
  </si>
  <si>
    <t>Hidrogeología; geoquímica ambiental; ecología de aguas subterráneas; microbiología; ecotoxicología; química analítica; sensores; hidrología; modelación</t>
  </si>
  <si>
    <t>Modelo geoquímico y caracterización fisicoquímica de aguas subterráneas</t>
  </si>
  <si>
    <t>modelo geoquímico; hidrogeoquímica; aguas subterráneas; calidad fisicoquímica; contaminantes; ecotoxicidad; sensores; interacción agua-roca</t>
  </si>
  <si>
    <t>Apoya el desarrollo de métodos, indicadores, datos experimentales y sensores para identificar, caracterizar y evaluar las funciones, la presencia y la sensibilidad de los ecosistemas de aguas subterráneas.</t>
  </si>
  <si>
    <t>La UNPHU puede participar como beneficiaria financiada dentro de un consorcio internacional elegible de Horizon Europe.</t>
  </si>
  <si>
    <t>Tema HORIZON-CL6-2026-01-BIODIV-02. Acción de Investigación e Innovación. Presupuesto total del tema: EUR 10.000.000; contribución orientativa aproximada de EUR 5.000.000 por proyecto. Debe integrar elementos biológicos y fisicoquímicos, contaminación, ecotoxicidad y métodos armonizados de evaluación. Se fomenta la cooperación con países mediterráneos.</t>
  </si>
  <si>
    <t>https://cordis.europa.eu/programme/id/HORIZON_HORIZON-CL6-2026-01-BIODIV-02/es</t>
  </si>
  <si>
    <t>Compatibilidad muy alta para modelos geoquímicos de aguas subterráneas. El modelo debe integrarse con datos experimentales, calidad fisicoquímica, contaminación o funcionamiento ecológico; no debe plantearse como desarrollo exclusivamente computacional.</t>
  </si>
  <si>
    <t>Películas y recubrimientos de base biológica para envases circulares</t>
  </si>
  <si>
    <t>Circular Bio-based Europe Joint Undertaking — CBE JU</t>
  </si>
  <si>
    <t>Ingeniería de materiales; polímeros; química; tecnología de alimentos; ingeniería química; diseño de envases; impresión; toxicología; ciclo de vida</t>
  </si>
  <si>
    <t>Envases biodegradables y circulares</t>
  </si>
  <si>
    <t>envases biodegradables; películas biobasadas; recubrimientos; propiedades de barrera; compostabilidad; reciclabilidad; contacto alimentario; impresión</t>
  </si>
  <si>
    <t>Financia el desarrollo y la demostración de películas y recubrimientos de origen biológico para envases alimentarios y no alimentarios, con prestaciones técnicas, seguridad y opciones circulares de fin de vida.</t>
  </si>
  <si>
    <t>La UNPHU puede participar como beneficiaria de un consorcio internacional conforme a las reglas de Horizon Europe y CBE JU.</t>
  </si>
  <si>
    <t>Tema HORIZON-JU-CBE-2026-IA-05. Innovation Action. Presupuesto total: EUR 14.000.000; contribución orientativa aproximada de EUR 7.000.000 por proyecto. Debe incluir al menos una aplicación de envase no alimentario, prototipos compatibles con fabricación industrial, evaluación de propiedades y alternativas circulares de fin de vida. TRL esperado: 6-7.</t>
  </si>
  <si>
    <t>https://cordis.europa.eu/programme/id/HORIZON_HORIZON-JU-CBE-2026-IA-05/es</t>
  </si>
  <si>
    <t>Circular Bio-based Europe Joint Undertaking — CBE JU; info@cbe.europa.eu</t>
  </si>
  <si>
    <t>Compatibilidad muy alta, pero requiere una tecnología relativamente madura y socios industriales. La UNPHU puede aportar formulación, caracterización, pruebas de barrera, biodegradabilidad, seguridad o análisis ambiental.</t>
  </si>
  <si>
    <t>Aditivos biobasados para aumentar la biodegradabilidad o reciclabilidad</t>
  </si>
  <si>
    <t>Química de polímeros; ingeniería de materiales; biotecnología; química verde; envases; ecotoxicología; biodegradación; reciclaje; ciclo de vida</t>
  </si>
  <si>
    <t>Envases biodegradables y aditivos de origen biológico</t>
  </si>
  <si>
    <t>aditivos biobasados; biodegradabilidad; reciclabilidad; polímeros; envases; ecotoxicidad; suelo; agua; diseño seguro y sostenible</t>
  </si>
  <si>
    <t>Busca desarrollar y demostrar aditivos de origen biológico que sustituyan aditivos convencionales y permitan o aumenten la reciclabilidad o biodegradabilidad segura de materiales y productos.</t>
  </si>
  <si>
    <t>La UNPHU puede participar como beneficiaria dentro de un consorcio internacional con fabricantes, gestores de residuos y otros actores de la cadena de valor.</t>
  </si>
  <si>
    <t>Tema HORIZON-JU-CBE-2026-IA-02. Innovation Action. Presupuesto total: EUR 14.000.000; contribución orientativa aproximada de EUR 7.000.000 por proyecto. Debe demostrar al menos TRL 6, aplicar el marco Safe and Sustainable by Design y validar la reciclabilidad o biodegradación segura, según la ruta seleccionada. TRL esperado al final: 6-7.</t>
  </si>
  <si>
    <t>https://cordis.europa.eu/programme/id/HORIZON_HORIZON-JU-CBE-2026-IA-02/es</t>
  </si>
  <si>
    <t>Compatibilidad muy alta si el proyecto se concentra en aditivos funcionales biobasados. No es adecuada para un envase biodegradable convencional sin innovación específica en los aditivos.</t>
  </si>
  <si>
    <t>2026-100</t>
  </si>
  <si>
    <t>2026-101</t>
  </si>
  <si>
    <t>2026-102</t>
  </si>
  <si>
    <t>2026-103</t>
  </si>
  <si>
    <t>2026-104</t>
  </si>
  <si>
    <t>2026-105</t>
  </si>
  <si>
    <t>2026-106</t>
  </si>
  <si>
    <t>OPS/TDR 2026–2027 — Investigación operativa para apoyar la eliminación de enfermedades transmisibles en América Latina y el Caribe</t>
  </si>
  <si>
    <t>Organización Panamericana de la Salud — OPS / Programa Especial de Investigación y Capacitación en Enfermedades Tropicales — TDR</t>
  </si>
  <si>
    <t>Salud pública; epidemiología; enfermedades infecciosas; investigación operativa; investigación de implementación; tuberculosis; VIH; enfermedades tropicales desatendidas; ciencia de datos; inteligencia artificial aplicada a salud</t>
  </si>
  <si>
    <t>América Latina y Caribe, incluida República Dominicana</t>
  </si>
  <si>
    <t>Salud pública y enfermedades transmisibles</t>
  </si>
  <si>
    <t>tuberculosis; VIH avanzado; histoplasmosis; meningitis criptocócica; leishmaniasis; enfermedad de Chagas; esquistosomiasis; inteligencia artificial; vigilancia epidemiológica; investigación operativa</t>
  </si>
  <si>
    <t>Financia investigaciones operativas o de implementación que generen evidencia aplicable a políticas, intervenciones y servicios de salud pública para acelerar la eliminación de enfermedades transmisibles en América Latina y el Caribe.</t>
  </si>
  <si>
    <t>Investigadores e instituciones radicados en América Latina y el Caribe. La UNPHU puede participar directamente mediante un equipo institucional con experiencia pertinente. Se favorecen propuestas multicéntricas, colaboraciones regionales y participación de autoridades de salud pública.</t>
  </si>
  <si>
    <t>Se financiarán cinco proyectos de hasta USD 30.000 y 12-18 meses. Cierre: 19/08/2026 a las 11:00 a. m., hora del Este de Estados Unidos. Presentación mediante eTDR. Se requieren las aprobaciones éticas correspondientes antes del inicio.</t>
  </si>
  <si>
    <t>https://www.paho.org/es/eventos/convocatoria-para-presentar-propuestas-investigacion-operativa-para-apoyar-eliminacion</t>
  </si>
  <si>
    <t>OPS/TDR — Ciencia y Conocimiento para el Impacto / plataforma eTDR</t>
  </si>
  <si>
    <t>Prioridad alta. Recomendable para medicina, salud pública, epidemiología, microbiología o IA en salud. Conviene incorporar al Ministerio de Salud Pública o a un programa nacional de tuberculosis/VIH y, de ser posible, a otra institución regional.</t>
  </si>
  <si>
    <t>LACNIC — Programa FRIDA 2026</t>
  </si>
  <si>
    <t>LACNIC — Fondo Regional para la Innovación Digital en América Latina y el Caribe, FRIDA</t>
  </si>
  <si>
    <t>Telecomunicaciones; ciencias de la computación; redes; ciberseguridad; Internet; inteligencia artificial; aprendizaje automático; infraestructura digital; medición de redes</t>
  </si>
  <si>
    <t>Países y territorios del área de cobertura de LACNIC en América Latina y el Caribe, incluida República Dominicana</t>
  </si>
  <si>
    <t>Tecnología digital, Internet e inteligencia artificial</t>
  </si>
  <si>
    <t>IA; aprendizaje automático; Internet; redes; DNS; BGP; IPv6; RPKI; seguridad de ruteo; DDoS; malware; IoT; interconexión; QoS; blockchain; ciberseguridad</t>
  </si>
  <si>
    <t>Apoya investigaciones, estudios de caso, mediciones, pruebas de concepto, prototipos y proyectos de implementación que produzcan soluciones prácticas o conocimiento útil para una Internet regional abierta, estable y segura.</t>
  </si>
  <si>
    <t>La entidad responsable debe estar legalmente constituida y contar con personería jurídica. La UNPHU es compatible como institución académica radicada en la región.</t>
  </si>
  <si>
    <t>Proceso en dos etapas: solicitud simplificada y propuesta completa por invitación. Las propuestas seleccionadas para la segunda etapa se reciben del 12 al 30/08/2026. Los productos y resultados deben ofrecerse mediante código abierto, hardware libre o licencias abiertas, según corresponda.</t>
  </si>
  <si>
    <t>https://programafrida.net/</t>
  </si>
  <si>
    <t>LACNIC — Programa FRIDA; frida@lacnic.net</t>
  </si>
  <si>
    <t>Prioridad alta para el próximo ciclo anual. Muy compatible con investigaciones de la UNPHU sobre Internet, redes, ciberseguridad, conectividad, medición territorial, inteligencia artificial e infraestructura digital.</t>
  </si>
  <si>
    <t>Advancing Circular Economy — ACE Facility: Second Call for Proposals</t>
  </si>
  <si>
    <t>Caribbean Biodiversity Fund — CBF</t>
  </si>
  <si>
    <t>30-36 meses</t>
  </si>
  <si>
    <t>Economía circular; gestión de residuos; contaminación marina; ingeniería ambiental; materiales biodegradables; envases; reciclaje; modelos de negocio sostenibles; políticas ambientales; generación de datos</t>
  </si>
  <si>
    <t>Cuba, Dominica, República Dominicana, Granada, Haití, Jamaica, Montserrat, Santa Lucía y San Vicente y las Granadinas</t>
  </si>
  <si>
    <t>Medioambiente, economía circular y contaminación marina</t>
  </si>
  <si>
    <t>economía circular; residuos sólidos; basura marina; plásticos; envases; reciclaje; reutilización; biomateriales; contaminación marina; residuos médicos; textiles sintéticos; neumáticos; artes de pesca</t>
  </si>
  <si>
    <t>Financia proyectos innovadores que reduzcan residuos sólidos y basura marina, extiendan la vida útil de productos, desarrollen prácticas empresariales sostenibles y generen conocimiento o datos sobre economía circular y contaminación marina en el Caribe.</t>
  </si>
  <si>
    <t>Las universidades e instituciones de investigación están expresamente admitidas. La UNPHU puede participar como entidad caribeña radicada en uno de los países elegibles. Se exige personería jurídica, certificado de registro y estados financieros auditados de dos ejercicios fiscales recientes.</t>
  </si>
  <si>
    <t>Proceso en dos etapas: nota conceptual y propuesta completa por invitación. Para instituciones académicas y organizaciones sin fines de lucro se exige cofinanciamiento del 25 %, combinando efectivo y aportes en especie. El proyecto debe demostrar reducción directa y medible de basura marina y sostenibilidad financiera posterior.</t>
  </si>
  <si>
    <t>https://caribbeanbiodiversityfund.org/advancing-circular-economy-ace-facilitys-second-call-for-proposals/</t>
  </si>
  <si>
    <t>Caribbean Biodiversity Fund — ACE Facility</t>
  </si>
  <si>
    <t>Prioridad alta para el próximo ciclo. Muy compatible con envases biodegradables, recubrimientos biobasados, aditivos para reciclabilidad y valorización de residuos. La propuesta debe vincular esos desarrollos con la prevención o reducción de basura marina en el Caribe.</t>
  </si>
  <si>
    <t>Programa de Apoyo para Redes Iberoamericanas de Investigación — Convocatoria 2024-2025-2026, cuarto plazo</t>
  </si>
  <si>
    <t>Asociación Universitaria Iberoamericana de Postgrado — AUIP</t>
  </si>
  <si>
    <t>La ayuda debe utilizarse dentro de los seis meses posteriores a la notificación de aceptación</t>
  </si>
  <si>
    <t>Investigadores; coordinadores de grupos de investigación; responsables de redes científicas; personal académico perteneciente a universidades asociadas a la AUIP</t>
  </si>
  <si>
    <t>Espacio Iberoamericano del Conocimiento; instituciones y universidades asociadas a la AUIP</t>
  </si>
  <si>
    <t>Redes científicas e investigación multidisciplinaria</t>
  </si>
  <si>
    <t>redes de investigación; cooperación iberoamericana; investigación colaborativa; transferencia; innovación; Agenda 2030; ODS; internacionalización</t>
  </si>
  <si>
    <t>Apoya la creación de nuevas Redes Iberoamericanas de Investigación o la consolidación de redes AUIP ya constituidas, fortaleciendo la cooperación, la investigación, la transferencia tecnológica y la difusión de resultados.</t>
  </si>
  <si>
    <t>La UNPHU figura como institución asociada a la AUIP. Debe encontrarse al corriente en sus cuotas. Los grupos participantes deben estar adscritos a instituciones asociadas a la AUIP.</t>
  </si>
  <si>
    <t>Nueva red: valoración máxima de EUR 1.000. Apoyo o consolidación de una red AUIP: hasta EUR 1.500. La AUIP sufraga directamente los conceptos elegibles mediante facturas emitidas por terceros. Cierre: 31/07/2026 a las 23:59, hora de Madrid.</t>
  </si>
  <si>
    <t>https://auip.org/es/redes-de-investigacion/programa-de-apoyo?layout=blog</t>
  </si>
  <si>
    <t>AUIP — Programa de Redes Iberoamericanas de Investigación</t>
  </si>
  <si>
    <t>Acción inmediata. Confirmar que la UNPHU está al corriente en sus cuotas, identificar socios AUIP y definir si se presentará una nueva red o una actuación de consolidación. No es una subvención para ejecutar un proyecto científico completo.</t>
  </si>
  <si>
    <t>Iberarchivos — Convocatoria ordinaria 2026 de ayudas a proyectos archivísticos</t>
  </si>
  <si>
    <t>Programa Iberarchivos / Agencia Española de Cooperación Internacional para el Desarrollo — AECID</t>
  </si>
  <si>
    <t>Hasta 8 meses</t>
  </si>
  <si>
    <t>Archivística; documentación; bibliotecología; historia; conservación; restauración; patrimonio documental; preservación digital; digitalización; acceso público a información</t>
  </si>
  <si>
    <t>Países adheridos a Iberarchivos, incluida República Dominicana</t>
  </si>
  <si>
    <t>Patrimonio cultural y archivos documentales</t>
  </si>
  <si>
    <t>archivos; patrimonio documental; digitalización; preservación digital; catalogación; conservación; memoria histórica; acceso público; derechos humanos; transparencia</t>
  </si>
  <si>
    <t>Financia proyectos archivísticos que mejoren la conservación, organización, descripción, digitalización y acceso público al patrimonio documental de la comunidad iberoamericana.</t>
  </si>
  <si>
    <t>La UNPHU sería elegible si la unidad solicitante custodia patrimonio documental y garantiza acceso público y gratuito a los fondos y productos financiados. Los fondos privados deben poseer valor permanente o histórico y relevancia social o interés público.</t>
  </si>
  <si>
    <t>La ayuda no puede superar el 80 % del coste total; la entidad aporta al menos el 20 %. Hasta el 20 % de la ayuda puede destinarse a equipos o material inventariable. La solicitud se canaliza mediante el responsable nacional de Iberarchivos en el Archivo General de la Nación.</t>
  </si>
  <si>
    <t>https://iberarchivos.org/2026/04/convocatoria-2026-de-ayudas-a-proyectos-archivisticos/</t>
  </si>
  <si>
    <t>Unidad Técnica de Iberarchivos / Archivo General de la Nación de República Dominicana</t>
  </si>
  <si>
    <t>Compatible principalmente con el archivo institucional, la biblioteca y colecciones históricas o arquitectónicas de la UNPHU. No debe clasificarse como convocatoria general de investigación.</t>
  </si>
  <si>
    <t>Iberarchivos — Convocatoria supranacional 2026 de ayudas a proyectos archivísticos</t>
  </si>
  <si>
    <t>Archivística; documentación; historia; preservación digital; patrimonio cultural; conservación; catalogación; acceso a la información; fortalecimiento institucional</t>
  </si>
  <si>
    <t>Instituciones de al menos dos países adheridos a Iberarchivos, incluida República Dominicana</t>
  </si>
  <si>
    <t>Patrimonio documental y cooperación archivística regional</t>
  </si>
  <si>
    <t>patrimonio documental; archivos regionales; cooperación iberoamericana; digitalización; preservación; acceso a información; memoria colectiva; consorcios; derechos humanos</t>
  </si>
  <si>
    <t>Financia proyectos archivísticos supranacionales que produzcan un impacto positivo y sostenible en el acceso ciudadano a los archivos y en el desarrollo archivístico iberoamericano.</t>
  </si>
  <si>
    <t>Deben participar instituciones con sede en al menos dos países adheridos. Una entidad actúa como coordinadora y las demás como colaboradoras. Todas deben garantizar acceso público y gratuito y formalizar un acuerdo de colaboración.</t>
  </si>
  <si>
    <t>Cada proyecto puede solicitar hasta EUR 15.000 y no más del 80 % del coste total. Los socios deben aportar conjuntamente al menos el 20 %. Las ayudas superiores a EUR 10.000 se desembolsan en dos pagos: 60 % inicial y 40 % tras aprobar el informe intermedio.</t>
  </si>
  <si>
    <t>https://iberarchivos.org/2026/04/abierto-el-plazo-de-la-convocatoria-supranacional-2026-de-ayudas/</t>
  </si>
  <si>
    <t>Unidad Técnica de Iberarchivos / Consejo Intergubernamental de Iberarchivos</t>
  </si>
  <si>
    <t>Adecuada para un proyecto regional sobre archivos universitarios, patrimonio arquitectónico, memoria institucional o digitalización, con una universidad o archivo de otro país miembro.</t>
  </si>
  <si>
    <t>IAI Science, Technology and Policy — STeP Fellows 2026</t>
  </si>
  <si>
    <t>Instituto Interamericano para la Investigación del Cambio Global — IAI</t>
  </si>
  <si>
    <t>12 meses, renovable por hasta 12 meses adicionales</t>
  </si>
  <si>
    <t>Investigadores en etapa inicial de carrera; último año del doctorado o dentro de los siete años posteriores a su obtención; profesionales con maestría y aproximadamente cinco años de experiencia pertinente</t>
  </si>
  <si>
    <t>Trabajo remoto con disponibilidad durante el horario central de Panamá y disposición para realizar viajes internacionales</t>
  </si>
  <si>
    <t>Prioridad para ciudadanos de los Estados miembros del IAI; residentes oficiales pueden considerarse caso por caso</t>
  </si>
  <si>
    <t>Cambio global, sostenibilidad e interfaz ciencia-política</t>
  </si>
  <si>
    <t>cambio climático; sostenibilidad; ciencia-política; diplomacia científica; cooperación regional; investigación transdisciplinaria; comunicación científica; políticas públicas; liderazgo científico</t>
  </si>
  <si>
    <t>Ofrece fellowships a tiempo completo para apoyar los programas científicos y el Centro de Diplomacia Científica del IAI, con desarrollo profesional en cooperación científica regional, comunicación, formación, coordinación de proyectos y movilización de recursos.</t>
  </si>
  <si>
    <t>Formación y experiencia relacionadas con cambio ambiental global, sostenibilidad o políticas públicas; dominio operativo del inglés y español; capacidad para trabajar con investigadores y responsables de políticas de diferentes disciplinas y países.</t>
  </si>
  <si>
    <t>Dedicación de 40 horas semanales. La solicitud exigía carta de motivación, CV, tres referencias profesionales y video de presentación. El paquete podía presentarse en inglés o español.</t>
  </si>
  <si>
    <t>https://iai.int/en/request-for-applicants-for-iai-science-technology-and-policy-step-fellows-and-consultant-for-the-iai-directorate-science-programs-division-science-diplomacy-center/</t>
  </si>
  <si>
    <t>Dirección del IAI — Science Programs Division / Science Diplomacy Center</t>
  </si>
  <si>
    <t>Oportunidad dirigida a investigadores individuales, no una subvención institucional. Debe difundirse entre investigadores jóvenes de medioambiente, sostenibilidad, políticas públicas y cooperación internacional y vigilarse la próxima cohorte.</t>
  </si>
  <si>
    <t>Fondo de Ayuda Maleta Abierta 2026 — Proyectos Culturales Arte Migrante en Iberoamérica</t>
  </si>
  <si>
    <t>IberRutas / Secretaría General Iberoamericana — SEGIB</t>
  </si>
  <si>
    <t>Gestión cultural; artes; investigación social y humanística; migración; interculturalidad; memoria; patrimonio; comunicación; artes visuales, escénicas, musicales, audiovisuales o literarias</t>
  </si>
  <si>
    <t>Países de Iberoamérica, incluida República Dominicana</t>
  </si>
  <si>
    <t>Cultura, migración e interculturalidad</t>
  </si>
  <si>
    <t>migración; arte migrante; inclusión; interculturalidad; memoria; identidad; patrimonio inmaterial; artes visuales; literatura; música; audiovisual</t>
  </si>
  <si>
    <t>Apoya el desarrollo, fortalecimiento, circulación o difusión de iniciativas culturales que visibilicen las experiencias y aportes artísticos de las comunidades migrantes en Iberoamérica.</t>
  </si>
  <si>
    <t>La UNPHU puede presentarse como institución educativa, siempre que la propuesta tenga naturaleza cultural, se ajuste a las disciplinas admitidas y la entidad solicitante cumpla las condiciones jurídicas sin fines de lucro. No se aceptan postulaciones individuales.</t>
  </si>
  <si>
    <t>Fondo total de USD 25.000; cada iniciativa puede recibir hasta USD 2.500. Cierre: 03/08/2026 a las 23:59, hora de Buenos Aires. No pueden postular instituciones beneficiadas consecutivamente durante los dos últimos períodos.</t>
  </si>
  <si>
    <t>https://segib.org/es/convocatoria-maleta-abierta-2026-para-proyectos-de-arte-migrante-en-iberoamerica/</t>
  </si>
  <si>
    <t>Programa IberRutas / Secretaría General Iberoamericana</t>
  </si>
  <si>
    <t>Convocatoria abierta de monto reducido. Más apropiada para extensión cultural, documentación, divulgación o vinculación comunitaria que para investigación científica convencional. Pertinente para arquitectura, humanidades, ciencias sociales, comunicación y estudios migratorios.</t>
  </si>
  <si>
    <t>2026-107</t>
  </si>
  <si>
    <t>2026-108</t>
  </si>
  <si>
    <t>2026-109</t>
  </si>
  <si>
    <t>2026-110</t>
  </si>
  <si>
    <t>2026-111</t>
  </si>
  <si>
    <t>2026-112</t>
  </si>
  <si>
    <t>2026-113</t>
  </si>
  <si>
    <t>2026-114</t>
  </si>
  <si>
    <t>2026-115</t>
  </si>
  <si>
    <t>Fonds Équipe France — FEF clásico</t>
  </si>
  <si>
    <t>Ministère de l’Europe et des Affaires étrangères — MEAE</t>
  </si>
  <si>
    <t>Investigadores universitarios; médicos; ingenieros; arquitectos; urbanistas; especialistas en innovación, tecnología, medioambiente y políticas públicas</t>
  </si>
  <si>
    <t>República Dominicana y, cuando corresponda, otros países del Caribe</t>
  </si>
  <si>
    <t>Tecnología; medicina y salud; arquitectura, urbanismo y desarrollo sostenible</t>
  </si>
  <si>
    <t>cooperación científica; innovación tecnológica; salud pública; tecnologías médicas; inteligencia artificial; arquitectura sostenible; resiliencia urbana; investigación aplicada</t>
  </si>
  <si>
    <t>Instrumento del Gobierno francés para financiar proyectos locales y regionales de cooperación de alto impacto, diseñados por las embajadas francesas con instituciones del país beneficiario y socios científicos franceses.</t>
  </si>
  <si>
    <t>La UNPHU puede participar como universidad beneficiaria, contraparte científica, coordinadora técnica o ejecutora local. La propuesta formal debe ser construida y presentada por la Embajada de Francia o la administración francesa competente.</t>
  </si>
  <si>
    <t>No existe un formulario público de solicitud directa. La UNPHU debe presentar una nota conceptual al Service de coopération et d’action culturelle — SCAC para valorar su incorporación al calendario interno del FEF.</t>
  </si>
  <si>
    <t>https://www.diplomatie.gouv.fr/fr/services/annuaire-et-contacts/representations-francaises/ambassade-de-france-en-republique-dominicaine/</t>
  </si>
  <si>
    <t>Ministère de l’Europe et des Affaires étrangères / Embajada de Francia en República Dominicana — SCAC</t>
  </si>
  <si>
    <t>Prioridad muy alta. El antecedente FEF-CARIBS confirma la compatibilidad de la UNPHU con el mecanismo. Recomendable incorporar socios científicos franceses y dimensión regional.</t>
  </si>
  <si>
    <t>2026-116</t>
  </si>
  <si>
    <t>Fonds Équipe France Rapide — FEF-R</t>
  </si>
  <si>
    <t>Investigadores; médicos; ingenieros; arquitectos; tecnólogos; especialistas en salud pública, ambiente, resiliencia, innovación y transferencia tecnológica</t>
  </si>
  <si>
    <t>República Dominicana; puede admitir alcance caribeño o regional</t>
  </si>
  <si>
    <t>Tecnología; medicina; arquitectura y urbanismo</t>
  </si>
  <si>
    <t>proyecto piloto; prueba de concepto; prototipo; estudio de viabilidad; formación; tecnología médica; salud digital; arquitectura resiliente; innovación aplicada</t>
  </si>
  <si>
    <t>Modalidad rápida del Fonds Équipe France para proyectos piloto y acciones de cooperación de ejecución breve que permitan demostrar una solución o preparar una iniciativa de mayor escala.</t>
  </si>
  <si>
    <t>La UNPHU puede proponer la iniciativa y actuar como beneficiaria o ejecutora, pero el expediente debe ser construido y canalizado por la Embajada de Francia y su SCAC.</t>
  </si>
  <si>
    <t>Adecuado para estudios de viabilidad, prototipos, movilidad científica, generación de datos, capacitación y preparación de un FEF clásico, FEF+ u otra financiación de mayor escala.</t>
  </si>
  <si>
    <t>Prioridad alta para propuestas de entrada: pilotos de salud digital, biomateriales, sargazo, arquitectura resiliente, monitoreo ambiental o impresión 3D farmacéutica.</t>
  </si>
  <si>
    <t>2026-117</t>
  </si>
  <si>
    <t>Fonds Équipe France Plus — FEF+</t>
  </si>
  <si>
    <t>Generalmente hasta 24 meses</t>
  </si>
  <si>
    <t>Consorcios de investigadores; universidades; organismos públicos; hospitales; centros tecnológicos; arquitectos; ingenieros y organizaciones francesas especializadas</t>
  </si>
  <si>
    <t>República Dominicana y proyectos regionales del Caribe</t>
  </si>
  <si>
    <t>Tecnología y transformación digital; medicina y sistemas sanitarios; arquitectura, vivienda, territorio y resiliencia climática</t>
  </si>
  <si>
    <t>programa regional; infraestructura científica; transferencia tecnológica; investigación aplicada; salud regional; ciudades sostenibles; resiliencia; Caribe</t>
  </si>
  <si>
    <t>Modalidad ampliada del Fonds Équipe France para proyectos estratégicos de mayor escala, con articulación multinacional o interinstitucional y resultados estructurales.</t>
  </si>
  <si>
    <t>La UNPHU puede participar como socio institucional y ejecutor. Requiere que la Embajada de Francia respalde y presente el proyecto, además de un consorcio sólido con instituciones francesas y actores dominicanos o caribeños.</t>
  </si>
  <si>
    <t>No es una convocatoria pública directa. Debe responder a prioridades diplomáticas y de desarrollo, demostrar impacto institucional, sostenibilidad y posibilidades de continuidad o escalamiento.</t>
  </si>
  <si>
    <t>Ministère de l’Europe et des Affaires étrangères / Embajada de Francia en República Dominicana</t>
  </si>
  <si>
    <t>Prioridad media-alta. Recomendable cuando exista un consorcio regional, respaldo institucional o gubernamental y evidencia obtenida mediante pilotos previos.</t>
  </si>
  <si>
    <t>2026-118</t>
  </si>
  <si>
    <t>Fonds d’Innovation pour le Développement — FID</t>
  </si>
  <si>
    <t>Agence Française de Développement — AFD / Fonds d’Innovation pour le Développement</t>
  </si>
  <si>
    <t>Según la etapa y el nivel de madurez de la innovación</t>
  </si>
  <si>
    <t>Investigadores; especialistas en innovación, salud pública, tecnología, ingeniería, urbanismo, evaluación de impacto y políticas públicas</t>
  </si>
  <si>
    <t>Países de ingresos bajos y medios elegibles para ayuda oficial al desarrollo, incluida República Dominicana</t>
  </si>
  <si>
    <t>Tecnología; medicina y salud; arquitectura y urbanismo sostenible bajo enfoque de innovación social</t>
  </si>
  <si>
    <t>innovación para el desarrollo; salud digital; tecnología sanitaria; ciudades sostenibles; servicios urbanos; evaluación de impacto; reducción de desigualdades; escalamiento</t>
  </si>
  <si>
    <t>Financia la preparación, prueba, evaluación de impacto y escalamiento de innovaciones capaces de reducir la pobreza y las desigualdades en países elegibles.</t>
  </si>
  <si>
    <t>La UNPHU puede presentar directamente como persona jurídica o participar en consorcio. República Dominicana es compatible como país de ejecución.</t>
  </si>
  <si>
    <t>La plataforma de las principales etapas reabre el 1 de septiembre de 2026. Las subvenciones preparatorias permanecerán cerradas hasta 2027. No exige cofinanciación obligatoria.</t>
  </si>
  <si>
    <t>https://fundinnovation.dev/launch-project</t>
  </si>
  <si>
    <t>Agence Française de Développement / Fonds d’Innovation pour le Développement</t>
  </si>
  <si>
    <t>Aplicación directa posible. Prioridad alta. Preparar teoría de cambio, indicadores, presupuesto y estrategia de evaluación antes de la reapertura.</t>
  </si>
  <si>
    <t>2026-119</t>
  </si>
  <si>
    <t>Fondo Francés para el Medio Ambiente Mundial — FFEM</t>
  </si>
  <si>
    <t>Fonds Français pour l’Environnement Mondial — FFEM</t>
  </si>
  <si>
    <t>Investigadores en arquitectura bioclimática, urbanismo, ingeniería ambiental, energía, biodiversidad, cambio climático, contaminación, salud ambiental y tecnologías limpias</t>
  </si>
  <si>
    <t>Países en desarrollo elegibles para ayuda oficial al desarrollo, incluida República Dominicana</t>
  </si>
  <si>
    <t>Arquitectura y ciudades sostenibles; tecnología ambiental; salud ambiental y One Health</t>
  </si>
  <si>
    <t>arquitectura bioclimática; resiliencia urbana; eficiencia energética; refrigeración sostenible; biodiversidad; clima; contaminación; economía circular</t>
  </si>
  <si>
    <t>Cofinancia proyectos demostrativos, innovadores y replicables sobre cambio climático, biodiversidad, aguas internacionales, degradación de tierras, contaminantes y desarrollo urbano sostenible.</t>
  </si>
  <si>
    <t>La UNPHU puede figurar como proponente o integrante de un consorcio, pero debe obtener el respaldo de una institución francesa miembro del Comité de Pilotaje del FFEM.</t>
  </si>
  <si>
    <t>Puede financiar hasta el 50 % del presupuesto de determinados proyectos; el resto debe proceder de otras fuentes. Prioriza investigación aplicada y demostración, no investigación básica aislada.</t>
  </si>
  <si>
    <t>https://www.ffem.fr/fr/soumettre-un-projet</t>
  </si>
  <si>
    <t>Fonds Français pour l’Environnement Mondial</t>
  </si>
  <si>
    <t>Prioridad alta para arquitectura sostenible, edificios eficientes, resiliencia urbana, agua, energía, economía circular y tecnologías ambientales.</t>
  </si>
  <si>
    <t>2026-120</t>
  </si>
  <si>
    <t>Programa INTERREG Caraïbes 2021–2027</t>
  </si>
  <si>
    <t>Unión Europea / Région Guadeloupe — Autoridad de gestión</t>
  </si>
  <si>
    <t>Según el proyecto y el eje de intervención</t>
  </si>
  <si>
    <t>Investigadores; universidades; hospitales; centros tecnológicos; arquitectos; urbanistas; ingenieros; autoridades públicas y organizaciones sociales</t>
  </si>
  <si>
    <t>Caribe, con asociación entre territorios franceses ultramarinos y al menos un país o territorio caribeño no perteneciente a la Unión Europea</t>
  </si>
  <si>
    <t>Tecnología, investigación e innovación; medicina y sistemas sanitarios; arquitectura, energía, resiliencia y desarrollo urbano</t>
  </si>
  <si>
    <t>I+D; innovación; digitalización; conectividad; energías renovables; acceso sanitario; enfermedades regionales; resiliencia climática; economía circular; movilidad</t>
  </si>
  <si>
    <t>Programa de cooperación territorial que financia proyectos conjuntos entre los territorios franceses del Caribe y países vecinos en investigación, innovación, salud, clima, biodiversidad, energía, movilidad y formación.</t>
  </si>
  <si>
    <t>La UNPHU puede participar como socia caribeña, pero el jefe de fila debe estar establecido en Guadalupe, Martinica, Guayana Francesa o Saint-Martin.</t>
  </si>
  <si>
    <t>La presentación se realiza mediante la plataforma Synergie CTE. Debe confirmarse con la Secretaría Conjunta el tratamiento presupuestario de los gastos correspondientes al socio dominicano.</t>
  </si>
  <si>
    <t>https://interreg-caraibes.eu/appel-projets</t>
  </si>
  <si>
    <t>Région Guadeloupe — Autoridad de gestión del programa INTERREG Caraïbes</t>
  </si>
  <si>
    <t>Prioridad alta para consorcios con universidades, hospitales o centros de Guadalupe y Martinica. La UNPHU participa como socia, no como coordinadora.</t>
  </si>
  <si>
    <t>Programa Junior Fellowship 2026 — Direct-to-Device (D2D)</t>
  </si>
  <si>
    <t>Centro de Estudios de Telecomunicaciones de América Latina (cet.la) | ASIET</t>
  </si>
  <si>
    <t>4 meses</t>
  </si>
  <si>
    <t>Jóvenes analistas, consultores, investigadores, estudiantes y recién egresados de universidades o centros de investigación con experiencia e interés en economía, regulación y políticas públicas de las telecomunicaciones y el desarrollo digital</t>
  </si>
  <si>
    <t>América Latina; actividad remota desde el lugar de residencia de la persona seleccionada</t>
  </si>
  <si>
    <t>Telecomunicaciones; conectividad; políticas públicas y regulación digital</t>
  </si>
  <si>
    <t>Direct-to-Device; D2D; redes no terrestres; NTN; conectividad satelital; brecha digital; telecomunicaciones; regulación; políticas públicas</t>
  </si>
  <si>
    <t>Programa de cuatro meses para desarrollar investigación aplicada sobre tecnologías Direct-to-Device (D2D) y su impacto en las telecomunicaciones, la conectividad y las políticas públicas de América Latina. La persona seleccionada trabaja como coautora de reportes, estudios y materiales de divulgación bajo dirección de cet.la.</t>
  </si>
  <si>
    <t>Postulación individual para jóvenes analistas, consultores, investigadores, estudiantes y recién egresados de universidades o centros de investigación. Se requiere experiencia o interés en economía, regulación y políticas públicas de telecomunicaciones y desarrollo digital, además de dominio de español e inglés en contextos académicos.</t>
  </si>
  <si>
    <t>Beca total de USD 2,000, equivalente a USD 500 mensuales durante cuatro meses. La postulación requiere formulario en línea, currículum vitae y propuesta de investigación de hasta 2,000 palabras vinculada al tema Direct-to-Device (D2D). Fecha límite: 12/09/2026 inclusive.</t>
  </si>
  <si>
    <t>https://cet.la/noticias/actualidad/cet-la-lanza-una-nueva-convocatoria-al-programa-de-becas-junior-fellowship/</t>
  </si>
  <si>
    <t>Convocatoria especialmente pertinente para líneas de investigación de la UNPHU sobre conectividad, brecha digital, telecomunicaciones, redes satelitales/NTN y políticas públicas. Modalidad remota y postulación individual.</t>
  </si>
  <si>
    <t>2026-121</t>
  </si>
  <si>
    <t>SATREPS FY2027 — Bioresources</t>
  </si>
  <si>
    <t>Japan Science and Technology Agency (JST) / Japan International Cooperation Agency (JICA)</t>
  </si>
  <si>
    <t>Japón</t>
  </si>
  <si>
    <t>3–5 años</t>
  </si>
  <si>
    <t>Países en desarrollo elegibles para cooperación ODA de Japón; República Dominicana</t>
  </si>
  <si>
    <t>Sin restricción; prevalece la afiliación institucional</t>
  </si>
  <si>
    <t>Biorrecursos</t>
  </si>
  <si>
    <t>biorrecursos; agricultura sostenible; biotecnología; biodiversidad; biomasa; bioeconomía; recursos genéticos; microorganismos</t>
  </si>
  <si>
    <t>Programa de investigación conjunta Japón–país socio para desarrollar soluciones científicas y tecnológicas orientadas a la producción y utilización sostenible de recursos biológicos.</t>
  </si>
  <si>
    <t>UNPHU puede participar como institución contraparte dominicana asociada a una universidad o centro de investigación japonés. La parte japonesa presenta ante JST y la contraparte dominicana debe tramitar una solicitud oficial de cooperación técnica ODA por la vía gubernamental correspondiente.</t>
  </si>
  <si>
    <t>SATREPS FY2027 está abierto del 18/08/2026 al 19/10/2026. La solicitud ODA del país contraparte debe llegar al Ministerio de Asuntos Exteriores de Japón a más tardar el 13/10/2026; el plazo interno dominicano será anterior. Financiación JICA: hasta JPY 300 millones para un proyecto de 5 años; JST financia separadamente al equipo japonés.</t>
  </si>
  <si>
    <t>https://www.jst.go.jp/global/english/koubo/</t>
  </si>
  <si>
    <t>JST / JICA — SATREPS FY2027</t>
  </si>
  <si>
    <t>Prioridad estratégica para UNPHU. Requiere identificar cuanto antes un investigador principal y una institución japonesa asociada. Potencial en agricultura tropical, biomasa, biodiversidad, bioeconomía y biotecnología.</t>
  </si>
  <si>
    <t>SATREPS FY2027 — Disaster Prevention and Mitigation</t>
  </si>
  <si>
    <t>Prevención y mitigación de desastres</t>
  </si>
  <si>
    <t>desastres; huracanes; inundaciones; terremotos; deslizamientos; resiliencia; infraestructura; alerta temprana; SIG; teledetección</t>
  </si>
  <si>
    <t>Programa de investigación conjunta Japón–país socio orientado al estudio, predicción, prevención y mitigación de desastres naturales y al fortalecimiento de sociedades e infraestructuras resilientes.</t>
  </si>
  <si>
    <t>Prioridad estratégica para Ingeniería, Arquitectura y áreas territoriales de UNPHU. Potencial en huracanes, inundaciones urbanas, riesgos costeros, deslizamientos, infraestructura resiliente, SIG y alerta temprana.</t>
  </si>
  <si>
    <t>SATREPS FY2027 — Environment and Energy</t>
  </si>
  <si>
    <t>Medio ambiente y energía</t>
  </si>
  <si>
    <t>medio ambiente; energía; cambio climático; carbono; recursos hídricos; contaminación; economía circular; sostenibilidad</t>
  </si>
  <si>
    <t>Programa de investigación conjunta Japón–país socio para abordar problemas ambientales y energéticos de escala global mediante ciencia y tecnología y fortalecer capacidades de investigación en el país contraparte.</t>
  </si>
  <si>
    <t>Prioridad estratégica para UNPHU. Potencial en cambio climático, recursos hídricos, contaminación, energía renovable, economía circular y tecnologías ambientales.</t>
  </si>
  <si>
    <t>29.ª Convocatoria para proyectos de cooperación triangular — Fondo Regional para la Cooperación Triangular</t>
  </si>
  <si>
    <t>Ministerio Federal de Cooperación Económica y Desarrollo de Alemania (BMZ) / Deutsche Gesellschaft für Internationale Zusammenarbeit (GIZ)</t>
  </si>
  <si>
    <t>Países receptores de Ayuda Oficial al Desarrollo (AOD); preferencia por América Latina y el Caribe. Al menos uno de los socios debe proceder de México, Brasil, Colombia, Ecuador, Bolivia o Perú.</t>
  </si>
  <si>
    <t>Multidisciplinar; desarrollo sostenible</t>
  </si>
  <si>
    <t>cooperación triangular; cooperación técnica; transferencia de conocimiento; fortalecimiento de capacidades; Agenda 2030; políticas públicas; enfoque multiactor; aprendizaje mutuo; América Latina; Caribe</t>
  </si>
  <si>
    <t>29.ª convocatoria del Fondo Regional para financiar proyectos de cooperación triangular cocreados. Los proyectos pueden abordar cualquier temática de desarrollo sostenible y deben articular un socio solicitante, un socio principal y al Fondo Regional/Alemania como socio facilitador. La financiación máxima del Fondo es de EUR 300.000 y la duración máxima es de dos años.</t>
  </si>
  <si>
    <t>UNPHU puede participar como socio solicitante/beneficiario en República Dominicana, país receptor de AOD. Para esta candidatura debe asociarse con una institución de México, Brasil, Colombia, Ecuador, Bolivia o Perú que aporte experiencia y buenas prácticas relevantes, además del socio facilitador alemán. La propuesta requiere respaldo de las instituciones rectoras de cooperación de los países socios y cartas de compromiso de las instituciones técnicas.</t>
  </si>
  <si>
    <t>Cierre: 31/10/2026. La primera fase consiste en presentar una idea de proyecto en el nuevo formulario oficial. Se exige cooperación técnica, principalmente asesoría, transferencia de conocimientos y capacitación. Socio solicitante, socio principal y socios adicionales deben aportar contribuciones propias financieras y/o en especie; no existe un mínimo obligatorio para el socio beneficiario, pero su aporte debe ser sustancial y adecuado. Se adjuntan carta(s) de aval y cartas de compromiso. La entrega oficial se realiza por correo electrónico a la(s) Embajada(s) de Alemania correspondiente(s), con copia de la propuesta a GIZ. Contacto técnico: fondotriangular@giz.de.</t>
  </si>
  <si>
    <t>https://fondo-cooperacion-triangular.net/convocatorias-de-proyecto/</t>
  </si>
  <si>
    <t>Fondo Regional para la Cooperación Triangular / BMZ / GIZ — 29.ª Convocatoria 2026</t>
  </si>
  <si>
    <t>Potencial estratégico para UNPHU–Escuela de Agronomía, La Vega. Prioridad inmediata: definir una demanda concreta del sector agrícola dominicano e identificar un socio principal con una experiencia exitosa transferible; gestionar tempranamente los avales de cooperación y el contacto con GIZ/Embajada de Alemania.</t>
  </si>
  <si>
    <t>Global EbA Fund — 8th Call for Proposals for Small-Size Grants</t>
  </si>
  <si>
    <t>Global EbA Fund / IUCN / UNEP / International Climate Initiative (IKI)</t>
  </si>
  <si>
    <t>18–24 meses</t>
  </si>
  <si>
    <t>Países elegibles para AOD; prioridad a SIDS y LDCs elegibles. República Dominicana está expresamente incluida entre los SIDS elegibles para AOD.</t>
  </si>
  <si>
    <t>Cambio climático; agricultura; medio ambiente; adaptación basada en ecosistemas</t>
  </si>
  <si>
    <t>EbA; adaptación basada en ecosistemas; SIDS; cambio climático; agricultura resiliente; conservación de suelos; agroforestería; gestión del agua; investigación aplicada; escalamiento; soluciones basadas en naturaleza</t>
  </si>
  <si>
    <t>Octava convocatoria de Small-Size Grants del Global EbA Fund para proyectos innovadores y catalíticos que eliminen barreras sistémicas para la adopción y el escalamiento de la Adaptación basada en Ecosistemas (EbA), fortaleciendo capacidades, evidencia, aprendizaje e inversión. Financia 10 proyectos de hasta USD 250.000.</t>
  </si>
  <si>
    <t>UNPHU es elegible como universidad y puede actuar como Applicant Organisation/solicitante principal. El proyecto debe ser EbA, basarse en trabajo existente, identificar impactos climáticos concretos y demostrar potencial innovador y catalítico. Para actividades a nivel de país se exige un consorcio con una o más organizaciones locales y al menos 25 % del presupuesto asignado a socios locales. Los socios deben ser entidades legalmente reconocidas y cumplir los requisitos de due diligence. Entidades gubernamentales pueden participar, pero no recibir fondos.</t>
  </si>
  <si>
    <t>Presentación por plataforma en línea del 28/09/2026 al 26/10/2026; la propuesta debe presentarse en inglés. Paquete inicial: Applicant Declaration, Co-applicant Mandate, Small-Size Grants Application Form, Project Proposal Budget Template y Due Diligence and Financial Capacity Questionnaire con los anexos iniciales requeridos. Duración: 18–24 meses. La propuesta debe contribuir a 1 Objetivo Estratégico y a 1–2 Pilares de Acción, incorporar al menos 3 indicadores del Core Indicator Framework y una estrategia de sostenibilidad/salida. No debe ser una intervención independiente ni consistir exclusivamente en implementación de campo.</t>
  </si>
  <si>
    <t>https://globalebafund.org/small-size-grants/</t>
  </si>
  <si>
    <t>Global EbA Fund — 8th Call for Proposals for Small-Size Grants 2026</t>
  </si>
  <si>
    <t>Alta pertinencia para UNPHU–Escuela de Agronomía. República Dominicana es un SIDS elegible para AOD y está dentro del foco geográfico prioritario. Conviene orientar la propuesta a investigación aplicada sobre resiliencia climática agrícola, conservación de suelos, agua, agroforestería o restauración de paisajes; identificar desde el inicio un socio local y estructurar el presupuesto considerando el mínimo del 25 % para socios locales. Confirmar con el Fondo cómo aplica ese 25 % cuando el Lead Applicant también es una entidad local dominicana.</t>
  </si>
  <si>
    <t>Community-Centered Connectivity Grant Program</t>
  </si>
  <si>
    <t>Internet Society Foundation</t>
  </si>
  <si>
    <t>Hasta 24 meses según modalidad</t>
  </si>
  <si>
    <t>ONG; institución sin fines de lucro; empresa social</t>
  </si>
  <si>
    <t>Sin restricción; prevalece la elegibilidad institucional</t>
  </si>
  <si>
    <t>Inclusión digital y conectividad</t>
  </si>
  <si>
    <t>brecha digital; conectividad comunitaria; acceso a Internet; asequibilidad; adopción; alfabetización digital; comunidades rurales; infraestructura</t>
  </si>
  <si>
    <t>Programa que financia soluciones de conectividad diseñadas con participación directa de comunidades digitalmente excluidas, abordando disponibilidad, asequibilidad y adopción de Internet.</t>
  </si>
  <si>
    <t>INTEC/PUCMM podrían ser elegibles si cumplen la condición de organización sin fines de lucro legalmente registrada, disponen de cuenta institucional capaz de recibir fondos de una fundación estadounidense, acreditan experiencia relevante en conectividad y cuentan con apoyo de la comunidad beneficiaria.</t>
  </si>
  <si>
    <t>Convocatoria 2026 cerrada. Catalyst: hasta USD 50,000 y 12 meses; Scaling: hasta USD 200,000 y 18 meses; Systems: más de USD 200,000, hasta 24 meses y solo por invitación. Catalyst y Scaling estuvieron abiertos al público.</t>
  </si>
  <si>
    <t>https://www.isocfoundation.org/grant-programme/community-centered-connectivity/</t>
  </si>
  <si>
    <t>Internet Society Foundation — Community-Centered Connectivity Grant Program</t>
  </si>
  <si>
    <t>Encaje temático alto con brecha digital, pero orientado a implementación de conectividad comunitaria más que a investigación académica pura. Mantener para seguimiento del próximo ciclo.</t>
  </si>
  <si>
    <t>Research Grant Program</t>
  </si>
  <si>
    <t>Persona individual; universidad pública; institución pública de investigación</t>
  </si>
  <si>
    <t>Sin restricción general de ciudadanía</t>
  </si>
  <si>
    <t>Investigación sobre Internet</t>
  </si>
  <si>
    <t>Inclusive Internet; digital divide; meaningful connectivity; Internet resilience; trustworthy Internet; cybersecurity; Internet infrastructure; digital inclusion; Internet measurement</t>
  </si>
  <si>
    <t>Financia investigación aplicada, abierta y colaborativa sobre Internet. Sus áreas incluyen Inclusive Internet, Greening the Internet, Measuring Meaningful Connectivity y A Trustworthy Internet.</t>
  </si>
  <si>
    <t>INTEC/PUCMM no son elegibles como instituciones receptoras si se consideran universidades privadas. Un investigador afiliado podría optar como investigador independiente si posee maestría o doctorado y producción académica demostrable.</t>
  </si>
  <si>
    <t>Convocatoria 2026 cerrada. Investigadores independientes: hasta USD 200,000. Organizaciones e instituciones elegibles: hasta USD 500,000. Las instituciones privadas no son elegibles para recibir financiación institucional. Solicitud mediante Fluxx; se aceptaron inglés, francés y español.</t>
  </si>
  <si>
    <t>https://www.isocfoundation.org/grant-programme/research-grant-programme/</t>
  </si>
  <si>
    <t>Internet Society Foundation — Research Grant Program</t>
  </si>
  <si>
    <t>Prioridad alta para próximo ciclo. Encaje directo con brecha digital, conectividad significativa, resiliencia y ciberseguridad; para INTEC/PUCMM la vía más viable sería la postulación individual de un investigador elegible.</t>
  </si>
  <si>
    <t>MSCA Doctoral Networks 2026</t>
  </si>
  <si>
    <t>Comisión Europea — Horizon Europe / Marie Skłodowska-Curie Actions</t>
  </si>
  <si>
    <t>Hasta 48 meses; Joint Doctorates hasta 60 meses</t>
  </si>
  <si>
    <t>Unión Europea, países asociados y terceros países; República Dominicana es elegible para financiación Horizon Europe</t>
  </si>
  <si>
    <t>Sin restricción general de ciudadanía para la entidad; los doctorandos pueden ser de cualquier nacionalidad sujetos a las reglas MSCA</t>
  </si>
  <si>
    <t>doctoral networks; Horizon Europe; investigación; doctorado; movilidad; formación investigadora; Internet; ciberseguridad; inteligencia artificial; conectividad; transformación digital</t>
  </si>
  <si>
    <t>Financia redes internacionales que implementan programas doctorales mediante consorcios de universidades, centros de investigación, empresas y otros actores, en todas las áreas científicas.</t>
  </si>
  <si>
    <t>INTEC/PUCMM pueden participar y recibir financiación como entidades de República Dominicana. El consorcio debe cumplir las reglas mínimas de Horizon Europe, incluyendo al menos tres entidades independientes de tres Estados miembros o países asociados distintos y al menos una de un Estado miembro de la UE.</t>
  </si>
  <si>
    <t>Convocatoria abierta desde el 28/05/2026. Deadline 24/11/2026. Presupuesto indicativo total de la convocatoria: EUR 593.034 millones. República Dominicana figura entre los terceros países de ingresos bajos y medios automáticamente elegibles para financiación de Horizon Europe.</t>
  </si>
  <si>
    <t>Comisión Europea / REA / Marie Skłodowska-Curie Actions</t>
  </si>
  <si>
    <t>Oportunidad estratégica para INTEC/PUCMM si se identifica o construye un consorcio europeo. Puede articularse alrededor de desigualdad digital, Internet resiliente, ciberseguridad, IA e infraestructuras críticas.</t>
  </si>
  <si>
    <t>SYNAPSE IDEATHON — Segunda Cohorte</t>
  </si>
  <si>
    <t>AION Synapse Foundation</t>
  </si>
  <si>
    <t>Emiratos Árabes Unidos</t>
  </si>
  <si>
    <t>No especificado para la segunda cohorte</t>
  </si>
  <si>
    <t>Estudiante de posgrado; Investigador emergente; Investigador establecido; Profesor</t>
  </si>
  <si>
    <t>América Latina y el Caribe</t>
  </si>
  <si>
    <t>Sin restricción específica publicada; se exige afiliación o aval de una institución elegible de América Latina y el Caribe</t>
  </si>
  <si>
    <t>Investigación aplicada, ciencia, tecnología e innovación social</t>
  </si>
  <si>
    <t>investigación aplicada; innovación; ciencia; tecnología; educación; impacto social; sostenibilidad; América Latina; Caribe</t>
  </si>
  <si>
    <t>Programa internacional de micro-subvenciones para proyectos de investigación e innovación con impacto social en América Latina y el Caribe. La segunda cohorte fue aprobada y se anunció su apertura antes de finalizar 2026.</t>
  </si>
  <si>
    <t>Investigadores, docentes y estudiantes de posgrado de INTEC/PUCMM pueden ser elegibles como personas físicas si cuentan con afiliación o carta de aval institucional. La universidad no presenta la propuesta como persona jurídica.</t>
  </si>
  <si>
    <t>Segunda cohorte aprobada: fondo total anunciado de USD 10,000 para hasta diez micro-subvenciones, con apertura antes de finalizar 2026. La fecha límite y las condiciones finales de la segunda cohorte aún no están publicadas. Como referencia, la primera cohorte otorgaba hasta USD 1,000 por proyecto.</t>
  </si>
  <si>
    <t>https://www.aionsynapse.org/en/synapse-ideathon/</t>
  </si>
  <si>
    <t>AION Synapse Foundation — SYNAPSE IDEATHON</t>
  </si>
  <si>
    <t>Financiación pequeña, útil para piloto o prueba de concepto. Verificar de nuevo las bases cuando abra oficialmente la segunda cohorte antes de postular.</t>
  </si>
  <si>
    <t>Fondo Sectorial de Educación: Inclusión Digital — Educación con Nuevos Horizontes</t>
  </si>
  <si>
    <t>Agencia Nacional de Investigación e Innovación (ANII) / Fundación Ceibal</t>
  </si>
  <si>
    <t>Uruguay</t>
  </si>
  <si>
    <t>Hasta 18 meses</t>
  </si>
  <si>
    <t>Institución académica; consorcio</t>
  </si>
  <si>
    <t>Uruguay e internacional; las instituciones extranjeras deben contar con contraparte nacional uruguaya</t>
  </si>
  <si>
    <t>Sin restricción de ciudadanía; prevalece la afiliación institucional</t>
  </si>
  <si>
    <t>Educación y tecnología digital</t>
  </si>
  <si>
    <t>inclusión digital; educación; tecnología educativa; enseñanza digital; aprendizaje; brecha digital; evidencia; política educativa</t>
  </si>
  <si>
    <t>Financia proyectos de investigación sobre enseñanza y aprendizaje mediados por tecnologías digitales, orientados a generar evidencia para el sistema educativo uruguayo.</t>
  </si>
  <si>
    <t>INTEC/PUCMM son elegibles como instituciones extranjeras públicas o privadas, pero si actúan como institución proponente deben contar con una contraparte nacional uruguaya y presentar conjuntamente las actividades de ambas instituciones.</t>
  </si>
  <si>
    <t>Apertura 06/08/2026; cierre 16/09/2026 a las 14:00 UYT. Subsidio de hasta UYU 2,900,000, equivalente a un máximo del 80% del costo total; se exige una contrapartida mínima institucional del 20%. Duración máxima: 18 meses.</t>
  </si>
  <si>
    <t>https://anii.org.uy/apoyos/investigacion/672/fondo-sectorial-de-educacion-inclusion-digital-educacion-con-nuevos-horizontes/</t>
  </si>
  <si>
    <t>ANII / Fundación Ceibal — Bases 2026</t>
  </si>
  <si>
    <t>Requiere adaptación del proyecto a generación de evidencia relevante para el sistema educativo uruguayo y una contraparte uruguaya. Moneda real del subsidio: UYU; en la columna Moneda se usa 'Otra' para respetar el catálogo existente.</t>
  </si>
  <si>
    <t>Economic Opportunities for Women and Men: The Role of Regulation and Fiscal Policy</t>
  </si>
  <si>
    <t>Banco Interamericano de Desarrollo (BID) — G&amp;D Lab / Institutions for Development</t>
  </si>
  <si>
    <t>No especificado en la página principal</t>
  </si>
  <si>
    <t>Persona individual; institución académica; centro de investigación</t>
  </si>
  <si>
    <t>Al menos uno de los 26 países prestatarios del BID; incluye República Dominicana</t>
  </si>
  <si>
    <t>Investigadores ciudadanos de uno de los 48 países miembros del BID</t>
  </si>
  <si>
    <t>Regulación, políticas públicas y oportunidades económicas</t>
  </si>
  <si>
    <t>digital government; regulación; gobierno digital; género; oportunidades económicas; causal inference; Difference-in-Differences; experimentos; cuasi-experimentos; política pública</t>
  </si>
  <si>
    <t>Convocatoria para investigación causal rigurosa sobre cómo reformas regulatorias, financieras, fiscales y laborales afectan las oportunidades económicas de mujeres y hombres en América Latina y el Caribe.</t>
  </si>
  <si>
    <t>INTEC/PUCMM pueden participar directamente mediante investigadores o equipos afiliados a universidades públicas o privadas. La propuesta debe analizar al menos un país prestatario del BID y utilizar métodos cuantitativos capaces de establecer relaciones causales.</t>
  </si>
  <si>
    <t>Deadline 24/09/2026 a las 12:00 p. m. ET. Categoría I: diagnósticos cuantitativos causales, hasta USD 20,000. Categoría II: intervenciones piloto, hasta USD 100,000. La postulación se realiza en inglés mediante Oxford Abstracts.</t>
  </si>
  <si>
    <t>https://gdlab.iadb.org/en/call</t>
  </si>
  <si>
    <t>Banco Interamericano de Desarrollo — G&amp;D Lab</t>
  </si>
  <si>
    <t>Elegible y abierta. Para maximizar encaje con brecha digital, conviene reformular hacia una pregunta causal vinculada con gobierno digital, regulación o conectividad y sus efectos diferenciados sobre oportunidades económicas.</t>
  </si>
  <si>
    <t>Research and Higher Education Technology Fund</t>
  </si>
  <si>
    <t>NLnet Foundation / Vietsch Foundation</t>
  </si>
  <si>
    <t>Países Bajos</t>
  </si>
  <si>
    <t>Investigador; profesor; desarrollador de tecnología abierta</t>
  </si>
  <si>
    <t>Institución académica; institución de investigación; persona individual; ONG; empresa</t>
  </si>
  <si>
    <t>Tecnologías de Internet; investigación y educación superior</t>
  </si>
  <si>
    <t>Internet abierto; resiliencia; tecnología abierta; investigación; educación superior; redes; software libre; datos abiertos</t>
  </si>
  <si>
    <t>Fondo de NLnet y Vietsch Foundation para pequeñas iniciativas de investigación y educación superior que contribuyan al futuro de Internet y generen resultados tecnológicos o científicos abiertos.</t>
  </si>
  <si>
    <t>INTEC/PUCMM y sus investigadores pueden ser elegibles. NLnet admite en principio individuos, organizaciones de investigación, organizaciones sin fines de lucro, instituciones públicas y empresas; deben cumplirse las condiciones específicas del fondo.</t>
  </si>
  <si>
    <t>Convocatoria abierta con cortes periódicos. Próximo deadline: 03/11/2026 a las 12:00 CET. Primer grant entre EUR 5,000 y 50,000. Los resultados científicos deben publicarse en acceso abierto y el software/hardware desarrollado bajo licencias libres y de código abierto.</t>
  </si>
  <si>
    <t>https://nlnet.nl/nren/</t>
  </si>
  <si>
    <t>NLnet Foundation / Vietsch Foundation — Research and Higher Education Technology Fund</t>
  </si>
  <si>
    <t>Prioridad alta para brecha digital si la propuesta produce una metodología, dataset, software o herramienta abierta para medir desigualdad, resiliencia o desarrollo territorial de Internet.</t>
  </si>
  <si>
    <t>ICANN Grant Program</t>
  </si>
  <si>
    <t>Internet Corporation for Assigned Names and Numbers (ICANN)</t>
  </si>
  <si>
    <t>Investigadores; equipos técnicos; organizaciones sin fines de lucro</t>
  </si>
  <si>
    <t>Organización benéfica; ONG; institución académica sin fines de lucro elegible</t>
  </si>
  <si>
    <t>Infraestructura de Internet; DNS; identificadores únicos; seguridad y resiliencia</t>
  </si>
  <si>
    <t>DNS; DNSSEC; IPv6; seguridad; resiliencia; identificadores únicos; Internet; estándares abiertos</t>
  </si>
  <si>
    <t>Programa global de ICANN financiado con ingresos de subastas de nuevos gTLD para proyectos alineados con su misión de asegurar la operación estable y segura de los sistemas de identificadores únicos de Internet.</t>
  </si>
  <si>
    <t>INTEC/PUCMM podrían ser elegibles institucionalmente si acreditan naturaleza benéfica equivalente a una organización estadounidense 501(c)(3), cumplen la debida diligencia y pueden recibir transferencias desde una institución financiera de Estados Unidos.</t>
  </si>
  <si>
    <t>El primer ciclo está cerrado y, al 08/09/2026, ICANN no ha publicado la fecha de apertura del siguiente ciclo. Los montos de USD 50,000-500,000 y duración máxima de 24 meses corresponden al primer ciclo y pueden ser revisados en ciclos futuros.</t>
  </si>
  <si>
    <t>https://www.icann.org/en/grant-program</t>
  </si>
  <si>
    <t>ICANN — ICANN Grant Program</t>
  </si>
  <si>
    <t>Prioridad media-alta para líneas sobre DNS, DNSSEC, IPv6, resiliencia e infraestructura de Internet. Encaje menor para una propuesta centrada únicamente en penetración o brecha digital de acceso.</t>
  </si>
  <si>
    <t>Internet Freedom Fund</t>
  </si>
  <si>
    <t>Open Technology Fund (OTF)</t>
  </si>
  <si>
    <t>Hasta 24 meses; rango ideal 6-12 meses</t>
  </si>
  <si>
    <t>Investigadores; desarrolladores; organizaciones de sociedad civil; expertos en seguridad digital</t>
  </si>
  <si>
    <t>Persona individual; ONG; institución académica; empresa</t>
  </si>
  <si>
    <t>Libertad de Internet; ciberseguridad; censura y vigilancia</t>
  </si>
  <si>
    <t>Internet freedom; censura; vigilancia; seguridad digital; privacidad; medición de Internet; investigación aplicada; tecnologías abiertas</t>
  </si>
  <si>
    <t>Fondo principal de OTF para proyectos innovadores de libertad de Internet. Financia desarrollo tecnológico, investigación aplicada, seguridad digital y encuentros orientados a combatir censura, vigilancia y amenazas al acceso seguro y abierto a Internet.</t>
  </si>
  <si>
    <t>Pueden aplicar individuos y organizaciones con o sin fines de lucro dentro o fuera de Estados Unidos. La propuesta debe encajar directamente con la misión de libertad de Internet y beneficiar a usuarios en entornos afectados por censura, vigilancia o restricciones.</t>
  </si>
  <si>
    <t>Concept notes aceptadas de forma continua y revisadas mensualmente. Monto permitido: USD 10,000-900,000; rango ideal USD 50,000-200,000 por 6-12 meses. OTF opera mediante contratos, no grants tradicionales. No financia proyectos generales de conectividad o ICT4D.</t>
  </si>
  <si>
    <t>https://www.opentech.fund/funds/internet-freedom-fund/</t>
  </si>
  <si>
    <t>Open Technology Fund — Internet Freedom Fund</t>
  </si>
  <si>
    <t>Encaje limitado con brecha digital de acceso. Puede ser relevante si la investigación se reorienta a seguridad digital, censura, vigilancia, medición de interferencias o resiliencia de comunidades expuestas a restricciones de Internet.</t>
  </si>
  <si>
    <t>Heilbronn AI Fellowships</t>
  </si>
  <si>
    <t>DAAD (German Academic Exchange Service) / Dieter Schwarz Stiftung</t>
  </si>
  <si>
    <t>1–12 meses</t>
  </si>
  <si>
    <t>Investigador emergente; Postdoctorado</t>
  </si>
  <si>
    <t>Internacional; estancia de investigación en Heilbronn, Alemania</t>
  </si>
  <si>
    <t>Sin restricción general; solicitantes internacionales</t>
  </si>
  <si>
    <t>Inteligencia Artificial</t>
  </si>
  <si>
    <t>IA; inteligencia artificial; investigación; posdoctorado; movilidad internacional; Heilbronn; innovación</t>
  </si>
  <si>
    <t>Programa internacional de estancias de investigación para doctorandos en fase final y jóvenes investigadores posdoctorales que trabajen en inteligencia artificial, ya sea como campo principal o como herramienta aplicada a otras disciplinas. La estancia se realiza en una institución anfitriona participante en Heilbronn, Alemania.</t>
  </si>
  <si>
    <t>Pueden aplicar doctorandos internacionales en la fase final del doctorado y jóvenes investigadores cuyo doctorado haya sido obtenido hace no más de 5 años. Se requiere afiliación a una universidad o institución de investigación, muy buen nivel de inglés, residencia fuera de Alemania durante los 15 meses previos a la solicitud y un proyecto preparado conjuntamente con un investigador anfitrión de una institución participante en Heilbronn.</t>
  </si>
  <si>
    <t>Convocatoria continua. La solicitud debe presentarse al menos cuatro meses antes de la fecha prevista de inicio. La estancia puede durar de 1 a 12 meses. El estipendio es de EUR 2,800 mensuales, con apoyo adicional para seguro y viaje internacional según las condiciones del programa. El monto máximo registrado corresponde a 12 meses de estipendio (EUR 33,600), sin incluir beneficios adicionales.</t>
  </si>
  <si>
    <t>https://www2.daad.de/deutschland/stipendium/datenbank/en/21148-scholarship-database/?origin=54&amp;status=4&amp;subjectGrps=&amp;daad=&amp;q=heilbronn&amp;page=1&amp;detail=57883183#voraussetzungen</t>
  </si>
  <si>
    <t>DAAD — Heilbronn AI Fellowships</t>
  </si>
  <si>
    <t>Aplicable a investigadores de UNPHU que cumplan el perfil individual. Requiere identificar un anfitrión en una institución participante de Heilbronn y preparar conjuntamente la propuesta. Especialmente relevante para investigadores jóvenes que utilicen IA como campo de investigación o como herramienta aplicada.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</si>
</sst>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font>
      <sz val="11"/>
      <name val="Carlito"/>
    </font>
    <font>
      <b/>
      <sz val="11"/>
      <color rgb="FFFFFFFF"/>
      <name val="Carlito"/>
    </font>
    <font>
      <i/>
      <sz val="11"/>
      <color rgb="FF4A4A4A"/>
      <name val="Carlito"/>
    </font>
    <font>
      <b/>
      <sz val="16"/>
      <color rgb="FFFFFFFF"/>
      <name val="Carlito"/>
    </font>
    <font>
      <sz val="11"/>
      <color theme="10"/>
      <name val="Carlito"/>
    </font>
  </fonts>
  <fills count="5">
    <fill>
      <patternFill patternType="none"/>
    </fill>
    <fill>
      <patternFill patternType="gray125"/>
    </fill>
    <fill>
      <patternFill patternType="solid">
        <fgColor rgb="FF006B4F"/>
      </patternFill>
    </fill>
    <fill>
      <patternFill patternType="solid">
        <fgColor rgb="FFF6F0DD"/>
      </patternFill>
    </fill>
    <fill>
      <patternFill patternType="solid">
        <fgColor rgb="FFC8A951"/>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2" fillId="3"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164" fontId="2" fillId="3" borderId="0" xfId="0" applyNumberFormat="1" applyFont="1" applyFill="1" applyBorder="1" applyAlignment="1">
      <alignment vertical="top" wrapText="1"/>
    </xf>
    <xf numFmtId="164" fontId="0" fillId="0" borderId="0" xfId="0" applyNumberFormat="1" applyFont="1" applyFill="1" applyBorder="1" applyAlignment="1">
      <alignment vertical="top" wrapText="1"/>
    </xf>
    <xf numFmtId="4" fontId="2" fillId="3" borderId="0" xfId="0" applyNumberFormat="1" applyFont="1" applyFill="1" applyBorder="1" applyAlignment="1">
      <alignment vertical="top" wrapText="1"/>
    </xf>
    <xf numFmtId="4" fontId="0" fillId="0" borderId="0" xfId="0" applyNumberFormat="1" applyFont="1" applyFill="1" applyBorder="1" applyAlignment="1">
      <alignment vertical="top" wrapText="1"/>
    </xf>
    <xf numFmtId="0" fontId="1" fillId="4" borderId="0" xfId="0" applyNumberFormat="1" applyFont="1" applyFill="1" applyBorder="1" applyAlignment="1">
      <alignment horizontal="center" vertical="top" wrapText="1"/>
    </xf>
    <xf numFmtId="0" fontId="0" fillId="0" borderId="0" xfId="0" applyAlignment="1">
      <alignment wrapText="1"/>
    </xf>
    <xf numFmtId="0" fontId="4" fillId="3" borderId="0" xfId="1" applyNumberFormat="1" applyFill="1" applyBorder="1" applyAlignment="1">
      <alignment vertical="top" wrapText="1"/>
    </xf>
    <xf numFmtId="0" fontId="0" fillId="0" borderId="0" xfId="0" applyAlignment="1">
      <alignment vertical="center" wrapText="1"/>
    </xf>
    <xf numFmtId="0" fontId="4" fillId="0" borderId="0" xfId="1" applyNumberFormat="1" applyFill="1" applyBorder="1" applyAlignment="1">
      <alignment vertical="top" wrapText="1"/>
    </xf>
    <xf numFmtId="0" fontId="0" fillId="0" borderId="0" xfId="0" applyFont="1" applyAlignment="1">
      <alignment vertical="center" wrapText="1"/>
    </xf>
    <xf numFmtId="0" fontId="3" fillId="2" borderId="0" xfId="0" applyNumberFormat="1" applyFont="1" applyFill="1" applyBorder="1" applyAlignment="1">
      <alignment horizontal="center" vertical="center"/>
    </xf>
  </cellXfs>
  <cellStyles count="2">
    <cellStyle name="Hipervínculo" xfId="1" xr:uid="{00000000-0005-0000-0000-000000000000}"/>
    <cellStyle name="Normal" xfId="0" builtinId="0"/>
  </cellStyles>
  <dxfs count="3">
    <dxf>
      <font>
        <color rgb="FF274E13"/>
      </font>
      <fill>
        <patternFill>
          <bgColor rgb="FFD9EAD3"/>
        </patternFill>
      </fill>
    </dxf>
    <dxf>
      <font>
        <color rgb="FF9C0006"/>
      </font>
      <fill>
        <patternFill>
          <bgColor rgb="FFF4CCCC"/>
        </patternFill>
      </fill>
    </dxf>
    <dxf>
      <font>
        <b/>
      </font>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Oportunidades" displayName="TablaOportunidades" ref="A1:AD499">
  <tableColumns count="30">
    <tableColumn id="1" xr3:uid="{00000000-0010-0000-0000-000001000000}" name="ID"/>
    <tableColumn id="2" xr3:uid="{00000000-0010-0000-0000-000002000000}" name="Publicar"/>
    <tableColumn id="3" xr3:uid="{00000000-0010-0000-0000-000003000000}" name="Título de la oportunidad"/>
    <tableColumn id="4" xr3:uid="{00000000-0010-0000-0000-000004000000}" name="Financiador"/>
    <tableColumn id="5" xr3:uid="{00000000-0010-0000-0000-000005000000}" name="Tipo de financiador"/>
    <tableColumn id="6" xr3:uid="{00000000-0010-0000-0000-000006000000}" name="País del financiador"/>
    <tableColumn id="7" xr3:uid="{00000000-0010-0000-0000-000007000000}" name="Fecha límite"/>
    <tableColumn id="8" xr3:uid="{00000000-0010-0000-0000-000008000000}" name="Tipo de fecha"/>
    <tableColumn id="9" xr3:uid="{00000000-0010-0000-0000-000009000000}" name="Tipo de entrega"/>
    <tableColumn id="10" xr3:uid="{00000000-0010-0000-0000-00000A000000}" name="Estado manual"/>
    <tableColumn id="11" xr3:uid="{00000000-0010-0000-0000-00000B000000}" name="Estado calculado"/>
    <tableColumn id="12" xr3:uid="{00000000-0010-0000-0000-00000C000000}" name="Monto mínimo"/>
    <tableColumn id="13" xr3:uid="{00000000-0010-0000-0000-00000D000000}" name="Monto máximo"/>
    <tableColumn id="14" xr3:uid="{00000000-0010-0000-0000-00000E000000}" name="Moneda"/>
    <tableColumn id="15" xr3:uid="{00000000-0010-0000-0000-00000F000000}" name="Duración"/>
    <tableColumn id="16" xr3:uid="{00000000-0010-0000-0000-000010000000}" name="Tipo de financiamiento"/>
    <tableColumn id="17" xr3:uid="{00000000-0010-0000-0000-000011000000}" name="Perfil profesional"/>
    <tableColumn id="18" xr3:uid="{00000000-0010-0000-0000-000012000000}" name="Tipo de solicitante"/>
    <tableColumn id="19" xr3:uid="{00000000-0010-0000-0000-000013000000}" name="Ubicación elegible"/>
    <tableColumn id="20" xr3:uid="{00000000-0010-0000-0000-000014000000}" name="Ciudadanía elegible"/>
    <tableColumn id="21" xr3:uid="{00000000-0010-0000-0000-000015000000}" name="Área temática principal"/>
    <tableColumn id="22" xr3:uid="{00000000-0010-0000-0000-000016000000}" name="Palabras clave"/>
    <tableColumn id="23" xr3:uid="{00000000-0010-0000-0000-000017000000}" name="Resumen"/>
    <tableColumn id="24" xr3:uid="{00000000-0010-0000-0000-000018000000}" name="Elegibilidad"/>
    <tableColumn id="25" xr3:uid="{00000000-0010-0000-0000-000019000000}" name="Notas de la convocatoria"/>
    <tableColumn id="26" xr3:uid="{00000000-0010-0000-0000-00001A000000}" name="Enlace oficial"/>
    <tableColumn id="27" xr3:uid="{00000000-0010-0000-0000-00001B000000}" name="Enlace Pivot-RP"/>
    <tableColumn id="28" xr3:uid="{00000000-0010-0000-0000-00001C000000}" name="Fecha de verificación"/>
    <tableColumn id="29" xr3:uid="{00000000-0010-0000-0000-00001D000000}" name="Fuente / responsable"/>
    <tableColumn id="30" xr3:uid="{00000000-0010-0000-0000-00001E000000}" name="Observaciones interna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99"/>
  <sheetViews>
    <sheetView tabSelected="1" zoomScale="90" zoomScaleNormal="90" workbookViewId="0">
      <selection activeCell="B110" sqref="B110"/>
    </sheetView>
  </sheetViews>
  <sheetFormatPr baseColWidth="10" defaultColWidth="9" defaultRowHeight="14.25"/>
  <cols>
    <col min="1" max="1" width="12" customWidth="1"/>
    <col min="2" max="2" width="10" customWidth="1"/>
    <col min="3" max="3" width="43" customWidth="1"/>
    <col min="4" max="4" width="24" customWidth="1"/>
    <col min="5" max="5" width="20" customWidth="1"/>
    <col min="6" max="6" width="18" customWidth="1"/>
    <col min="7" max="7" width="18.375" customWidth="1"/>
    <col min="8" max="8" width="14" customWidth="1"/>
    <col min="9" max="9" width="18" customWidth="1"/>
    <col min="10" max="10" width="15" customWidth="1"/>
    <col min="11" max="11" width="18" customWidth="1"/>
    <col min="12" max="13" width="14" customWidth="1"/>
    <col min="14" max="14" width="10" customWidth="1"/>
    <col min="15" max="15" width="14" customWidth="1"/>
    <col min="16" max="16" width="22" customWidth="1"/>
    <col min="17" max="18" width="28" customWidth="1"/>
    <col min="19" max="19" width="22" customWidth="1"/>
    <col min="20" max="20" width="20" customWidth="1"/>
    <col min="21" max="21" width="22" customWidth="1"/>
    <col min="22" max="22" width="28" customWidth="1"/>
    <col min="23" max="23" width="40" customWidth="1"/>
    <col min="24" max="24" width="42" customWidth="1"/>
    <col min="25" max="25" width="38" customWidth="1"/>
    <col min="26" max="26" width="34" customWidth="1"/>
    <col min="27" max="27" width="30" customWidth="1"/>
    <col min="28" max="28" width="16" customWidth="1"/>
    <col min="29" max="29" width="24" customWidth="1"/>
    <col min="30" max="30" width="32" customWidth="1"/>
  </cols>
  <sheetData>
    <row r="1" spans="1:30" ht="42"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85.5">
      <c r="A2" s="3" t="s">
        <v>30</v>
      </c>
      <c r="B2" s="3" t="s">
        <v>31</v>
      </c>
      <c r="C2" s="3" t="s">
        <v>32</v>
      </c>
      <c r="D2" s="3" t="s">
        <v>33</v>
      </c>
      <c r="E2" s="3" t="s">
        <v>34</v>
      </c>
      <c r="F2" s="3" t="s">
        <v>35</v>
      </c>
      <c r="G2" s="5">
        <v>46246</v>
      </c>
      <c r="H2" s="3" t="s">
        <v>36</v>
      </c>
      <c r="I2" s="3" t="s">
        <v>37</v>
      </c>
      <c r="J2" s="3" t="s">
        <v>38</v>
      </c>
      <c r="K2" s="3" t="str">
        <f t="shared" ref="K2:K17" ca="1" si="0">IF(J2="Cerrada","Cerrada",IF(J2="Suspendida","Suspendida",IF(G2="","Sin fecha",IF(G2&lt;TODAY(),"Vencida",IF(G2-TODAY()&lt;=30,"Próxima a vencer","Abierta")))))</f>
        <v>Vencida</v>
      </c>
      <c r="L2" s="7">
        <v>75000</v>
      </c>
      <c r="M2" s="7">
        <v>75000</v>
      </c>
      <c r="N2" s="3" t="s">
        <v>39</v>
      </c>
      <c r="O2" s="3" t="s">
        <v>40</v>
      </c>
      <c r="P2" s="3" t="s">
        <v>41</v>
      </c>
      <c r="Q2" s="3" t="s">
        <v>42</v>
      </c>
      <c r="R2" s="3" t="s">
        <v>43</v>
      </c>
      <c r="S2" s="3" t="s">
        <v>44</v>
      </c>
      <c r="T2" s="3" t="s">
        <v>44</v>
      </c>
      <c r="U2" s="3" t="s">
        <v>45</v>
      </c>
      <c r="V2" s="3" t="s">
        <v>46</v>
      </c>
      <c r="W2" s="3" t="s">
        <v>47</v>
      </c>
      <c r="X2" s="3" t="s">
        <v>48</v>
      </c>
      <c r="Y2" s="3" t="s">
        <v>49</v>
      </c>
      <c r="Z2" s="11" t="s">
        <v>50</v>
      </c>
      <c r="AA2" s="11"/>
      <c r="AB2" s="5">
        <v>46218</v>
      </c>
      <c r="AC2" s="3" t="s">
        <v>51</v>
      </c>
      <c r="AD2" s="3" t="s">
        <v>52</v>
      </c>
    </row>
    <row r="3" spans="1:30" ht="57">
      <c r="A3" s="3" t="s">
        <v>53</v>
      </c>
      <c r="B3" s="4" t="s">
        <v>54</v>
      </c>
      <c r="C3" t="s">
        <v>55</v>
      </c>
      <c r="D3" t="s">
        <v>56</v>
      </c>
      <c r="E3" s="4" t="s">
        <v>34</v>
      </c>
      <c r="F3" s="4" t="s">
        <v>35</v>
      </c>
      <c r="G3" s="6">
        <v>73050</v>
      </c>
      <c r="H3" s="4" t="s">
        <v>57</v>
      </c>
      <c r="I3" s="4" t="s">
        <v>58</v>
      </c>
      <c r="J3" s="4" t="s">
        <v>38</v>
      </c>
      <c r="K3" s="4" t="str">
        <f t="shared" ca="1" si="0"/>
        <v>Abierta</v>
      </c>
      <c r="L3" s="8">
        <v>5000</v>
      </c>
      <c r="M3" s="8" t="s">
        <v>59</v>
      </c>
      <c r="N3" s="4" t="s">
        <v>39</v>
      </c>
      <c r="O3" s="4" t="s">
        <v>60</v>
      </c>
      <c r="P3" s="4" t="s">
        <v>61</v>
      </c>
      <c r="Q3" s="4" t="s">
        <v>62</v>
      </c>
      <c r="R3" s="10" t="s">
        <v>63</v>
      </c>
      <c r="S3" s="3" t="s">
        <v>44</v>
      </c>
      <c r="T3" s="3" t="s">
        <v>44</v>
      </c>
      <c r="U3" s="3" t="s">
        <v>45</v>
      </c>
      <c r="V3" s="4" t="s">
        <v>64</v>
      </c>
      <c r="W3" s="4" t="s">
        <v>65</v>
      </c>
      <c r="X3" s="10" t="s">
        <v>66</v>
      </c>
      <c r="Y3" s="4" t="s">
        <v>67</v>
      </c>
      <c r="Z3" s="4" t="s">
        <v>68</v>
      </c>
      <c r="AA3" s="4"/>
      <c r="AB3" s="5">
        <v>46218</v>
      </c>
      <c r="AC3" s="3" t="s">
        <v>55</v>
      </c>
      <c r="AD3" s="4" t="s">
        <v>69</v>
      </c>
    </row>
    <row r="4" spans="1:30" ht="57">
      <c r="A4" s="3" t="s">
        <v>70</v>
      </c>
      <c r="B4" s="4" t="s">
        <v>54</v>
      </c>
      <c r="C4" s="4" t="s">
        <v>71</v>
      </c>
      <c r="D4" s="4" t="s">
        <v>72</v>
      </c>
      <c r="E4" s="4" t="s">
        <v>34</v>
      </c>
      <c r="F4" s="4" t="s">
        <v>35</v>
      </c>
      <c r="G4" s="6">
        <v>72686</v>
      </c>
      <c r="H4" s="4" t="s">
        <v>57</v>
      </c>
      <c r="I4" s="4" t="s">
        <v>58</v>
      </c>
      <c r="J4" s="4" t="s">
        <v>38</v>
      </c>
      <c r="K4" s="4" t="str">
        <f t="shared" ca="1" si="0"/>
        <v>Abierta</v>
      </c>
      <c r="L4" s="8">
        <v>1000</v>
      </c>
      <c r="M4" s="8">
        <v>1000</v>
      </c>
      <c r="N4" s="4" t="s">
        <v>39</v>
      </c>
      <c r="O4" s="4" t="s">
        <v>60</v>
      </c>
      <c r="P4" s="4" t="s">
        <v>73</v>
      </c>
      <c r="Q4" s="4" t="s">
        <v>1400</v>
      </c>
      <c r="R4" s="10" t="s">
        <v>74</v>
      </c>
      <c r="S4" s="4" t="s">
        <v>75</v>
      </c>
      <c r="T4" s="3" t="s">
        <v>44</v>
      </c>
      <c r="U4" s="3" t="s">
        <v>45</v>
      </c>
      <c r="V4" s="4" t="s">
        <v>76</v>
      </c>
      <c r="W4" s="4" t="s">
        <v>77</v>
      </c>
      <c r="X4" s="4" t="s">
        <v>78</v>
      </c>
      <c r="Y4" s="4" t="s">
        <v>79</v>
      </c>
      <c r="Z4" s="13" t="s">
        <v>80</v>
      </c>
      <c r="AA4" s="13"/>
      <c r="AB4" s="5">
        <v>46218</v>
      </c>
      <c r="AC4" s="3" t="s">
        <v>81</v>
      </c>
      <c r="AD4" s="4"/>
    </row>
    <row r="5" spans="1:30" ht="285">
      <c r="A5" s="3" t="s">
        <v>82</v>
      </c>
      <c r="B5" s="4" t="s">
        <v>54</v>
      </c>
      <c r="C5" s="4" t="s">
        <v>83</v>
      </c>
      <c r="D5" s="4" t="s">
        <v>84</v>
      </c>
      <c r="E5" s="4" t="s">
        <v>85</v>
      </c>
      <c r="F5" s="4" t="s">
        <v>86</v>
      </c>
      <c r="G5" s="6">
        <v>46112</v>
      </c>
      <c r="H5" s="4" t="s">
        <v>36</v>
      </c>
      <c r="I5" s="4" t="s">
        <v>87</v>
      </c>
      <c r="J5" s="4" t="s">
        <v>88</v>
      </c>
      <c r="K5" s="4" t="str">
        <f t="shared" ca="1" si="0"/>
        <v>Cerrada</v>
      </c>
      <c r="L5" s="8">
        <v>0</v>
      </c>
      <c r="M5" s="8">
        <v>12000000</v>
      </c>
      <c r="N5" s="4" t="s">
        <v>89</v>
      </c>
      <c r="O5" s="4"/>
      <c r="P5" s="4" t="s">
        <v>90</v>
      </c>
      <c r="Q5" s="4" t="s">
        <v>91</v>
      </c>
      <c r="R5" s="4" t="s">
        <v>92</v>
      </c>
      <c r="S5" s="4" t="s">
        <v>86</v>
      </c>
      <c r="T5" s="4" t="s">
        <v>44</v>
      </c>
      <c r="U5" s="4" t="s">
        <v>45</v>
      </c>
      <c r="V5" s="4" t="s">
        <v>93</v>
      </c>
      <c r="W5" s="4" t="s">
        <v>94</v>
      </c>
      <c r="X5" s="4" t="s">
        <v>95</v>
      </c>
      <c r="Y5" s="12" t="s">
        <v>96</v>
      </c>
      <c r="Z5" s="13" t="s">
        <v>97</v>
      </c>
      <c r="AA5" s="4"/>
      <c r="AB5" s="6">
        <v>46218</v>
      </c>
      <c r="AC5" s="4" t="s">
        <v>98</v>
      </c>
      <c r="AD5" s="4" t="s">
        <v>99</v>
      </c>
    </row>
    <row r="6" spans="1:30" ht="42.75">
      <c r="A6" s="3" t="s">
        <v>100</v>
      </c>
      <c r="B6" s="4" t="s">
        <v>54</v>
      </c>
      <c r="C6" t="s">
        <v>101</v>
      </c>
      <c r="D6" s="4" t="s">
        <v>102</v>
      </c>
      <c r="E6" s="4" t="s">
        <v>103</v>
      </c>
      <c r="F6" s="4" t="s">
        <v>35</v>
      </c>
      <c r="G6" s="6">
        <v>46063</v>
      </c>
      <c r="H6" s="4" t="s">
        <v>36</v>
      </c>
      <c r="I6" s="4" t="s">
        <v>58</v>
      </c>
      <c r="J6" s="4" t="s">
        <v>88</v>
      </c>
      <c r="K6" s="4" t="str">
        <f t="shared" ca="1" si="0"/>
        <v>Cerrada</v>
      </c>
      <c r="L6" s="8"/>
      <c r="M6" s="8"/>
      <c r="N6" s="4" t="s">
        <v>39</v>
      </c>
      <c r="O6" s="4" t="s">
        <v>104</v>
      </c>
      <c r="P6" s="4" t="s">
        <v>105</v>
      </c>
      <c r="Q6" s="4" t="s">
        <v>106</v>
      </c>
      <c r="R6" s="4" t="s">
        <v>107</v>
      </c>
      <c r="S6" s="4" t="s">
        <v>108</v>
      </c>
      <c r="T6" s="4" t="s">
        <v>108</v>
      </c>
      <c r="U6" s="4" t="s">
        <v>109</v>
      </c>
      <c r="V6" s="4" t="s">
        <v>110</v>
      </c>
      <c r="W6" s="4" t="s">
        <v>111</v>
      </c>
      <c r="X6" s="4" t="s">
        <v>112</v>
      </c>
      <c r="Y6" s="12" t="s">
        <v>113</v>
      </c>
      <c r="Z6" s="13" t="s">
        <v>114</v>
      </c>
      <c r="AA6" s="13" t="s">
        <v>115</v>
      </c>
      <c r="AB6" s="6">
        <v>46218</v>
      </c>
      <c r="AC6" s="4" t="s">
        <v>116</v>
      </c>
      <c r="AD6" s="4" t="s">
        <v>117</v>
      </c>
    </row>
    <row r="7" spans="1:30" ht="42.75">
      <c r="A7" s="3" t="s">
        <v>118</v>
      </c>
      <c r="B7" s="4" t="s">
        <v>54</v>
      </c>
      <c r="C7" s="4" t="s">
        <v>119</v>
      </c>
      <c r="D7" s="4" t="s">
        <v>120</v>
      </c>
      <c r="E7" s="4" t="s">
        <v>121</v>
      </c>
      <c r="F7" s="4" t="s">
        <v>122</v>
      </c>
      <c r="G7" s="6">
        <v>46113</v>
      </c>
      <c r="H7" s="4" t="s">
        <v>36</v>
      </c>
      <c r="I7" s="4" t="s">
        <v>58</v>
      </c>
      <c r="J7" s="4" t="s">
        <v>88</v>
      </c>
      <c r="K7" s="4" t="str">
        <f t="shared" ca="1" si="0"/>
        <v>Cerrada</v>
      </c>
      <c r="L7" s="8">
        <v>10000</v>
      </c>
      <c r="M7" s="8">
        <v>200000</v>
      </c>
      <c r="N7" s="4" t="s">
        <v>39</v>
      </c>
      <c r="O7" s="4" t="s">
        <v>123</v>
      </c>
      <c r="P7" s="4" t="s">
        <v>124</v>
      </c>
      <c r="Q7" s="4" t="s">
        <v>1401</v>
      </c>
      <c r="R7" s="4" t="s">
        <v>125</v>
      </c>
      <c r="S7" s="4" t="s">
        <v>126</v>
      </c>
      <c r="T7" s="4" t="s">
        <v>108</v>
      </c>
      <c r="U7" s="4" t="s">
        <v>127</v>
      </c>
      <c r="V7" s="4" t="s">
        <v>128</v>
      </c>
      <c r="W7" s="4" t="s">
        <v>129</v>
      </c>
      <c r="X7" s="4" t="s">
        <v>130</v>
      </c>
      <c r="Y7" s="4" t="s">
        <v>131</v>
      </c>
      <c r="Z7" s="13" t="s">
        <v>132</v>
      </c>
      <c r="AA7" s="13" t="s">
        <v>133</v>
      </c>
      <c r="AB7" s="6">
        <v>46218</v>
      </c>
      <c r="AC7" s="4" t="s">
        <v>134</v>
      </c>
      <c r="AD7" s="4" t="s">
        <v>135</v>
      </c>
    </row>
    <row r="8" spans="1:30" ht="57">
      <c r="A8" s="3" t="s">
        <v>136</v>
      </c>
      <c r="B8" s="4" t="s">
        <v>54</v>
      </c>
      <c r="C8" s="4" t="s">
        <v>137</v>
      </c>
      <c r="D8" s="4" t="s">
        <v>138</v>
      </c>
      <c r="E8" s="4" t="s">
        <v>139</v>
      </c>
      <c r="F8" s="4" t="s">
        <v>140</v>
      </c>
      <c r="G8" s="6">
        <v>46234</v>
      </c>
      <c r="H8" s="4" t="s">
        <v>36</v>
      </c>
      <c r="I8" s="4" t="s">
        <v>37</v>
      </c>
      <c r="J8" s="4" t="s">
        <v>38</v>
      </c>
      <c r="K8" s="4" t="str">
        <f t="shared" ca="1" si="0"/>
        <v>Vencida</v>
      </c>
      <c r="L8" s="8">
        <v>10000</v>
      </c>
      <c r="M8" s="8">
        <v>500000</v>
      </c>
      <c r="N8" s="4" t="s">
        <v>141</v>
      </c>
      <c r="O8" s="4" t="s">
        <v>123</v>
      </c>
      <c r="P8" s="4" t="s">
        <v>142</v>
      </c>
      <c r="Q8" s="4" t="s">
        <v>143</v>
      </c>
      <c r="R8" s="10" t="s">
        <v>144</v>
      </c>
      <c r="S8" s="4" t="s">
        <v>145</v>
      </c>
      <c r="T8" s="4" t="s">
        <v>145</v>
      </c>
      <c r="U8" s="4" t="s">
        <v>146</v>
      </c>
      <c r="V8" s="4" t="s">
        <v>147</v>
      </c>
      <c r="W8" s="4" t="s">
        <v>148</v>
      </c>
      <c r="X8" s="4" t="s">
        <v>149</v>
      </c>
      <c r="Y8" s="4" t="s">
        <v>150</v>
      </c>
      <c r="Z8" s="13" t="s">
        <v>151</v>
      </c>
      <c r="AA8" s="4" t="s">
        <v>152</v>
      </c>
      <c r="AB8" s="6">
        <v>46218</v>
      </c>
      <c r="AC8" s="4" t="s">
        <v>153</v>
      </c>
      <c r="AD8" s="4" t="s">
        <v>154</v>
      </c>
    </row>
    <row r="9" spans="1:30" ht="42.75">
      <c r="A9" s="3" t="s">
        <v>155</v>
      </c>
      <c r="B9" s="4" t="s">
        <v>54</v>
      </c>
      <c r="C9" s="4" t="s">
        <v>156</v>
      </c>
      <c r="D9" s="4" t="s">
        <v>102</v>
      </c>
      <c r="E9" s="4" t="s">
        <v>157</v>
      </c>
      <c r="F9" s="4" t="s">
        <v>35</v>
      </c>
      <c r="G9" s="6">
        <v>46142</v>
      </c>
      <c r="H9" s="4" t="s">
        <v>36</v>
      </c>
      <c r="I9" s="4" t="s">
        <v>158</v>
      </c>
      <c r="J9" s="4" t="s">
        <v>88</v>
      </c>
      <c r="K9" s="4" t="str">
        <f t="shared" ca="1" si="0"/>
        <v>Cerrada</v>
      </c>
      <c r="L9" s="8"/>
      <c r="M9" s="8">
        <v>15000</v>
      </c>
      <c r="N9" s="4" t="s">
        <v>39</v>
      </c>
      <c r="O9" s="4" t="s">
        <v>123</v>
      </c>
      <c r="P9" s="4" t="s">
        <v>159</v>
      </c>
      <c r="Q9" s="4" t="s">
        <v>160</v>
      </c>
      <c r="R9" s="4" t="s">
        <v>160</v>
      </c>
      <c r="S9" s="4" t="s">
        <v>122</v>
      </c>
      <c r="T9" s="4" t="s">
        <v>108</v>
      </c>
      <c r="U9" s="4" t="s">
        <v>161</v>
      </c>
      <c r="V9" s="4" t="s">
        <v>162</v>
      </c>
      <c r="W9" s="4" t="s">
        <v>163</v>
      </c>
      <c r="X9" t="s">
        <v>164</v>
      </c>
      <c r="Y9" s="4" t="s">
        <v>165</v>
      </c>
      <c r="Z9" s="13" t="s">
        <v>166</v>
      </c>
      <c r="AA9" s="4"/>
      <c r="AB9" s="6">
        <v>46219</v>
      </c>
      <c r="AC9" s="4" t="s">
        <v>167</v>
      </c>
      <c r="AD9" s="4" t="s">
        <v>168</v>
      </c>
    </row>
    <row r="10" spans="1:30" ht="71.25">
      <c r="A10" s="3" t="s">
        <v>169</v>
      </c>
      <c r="B10" s="4" t="s">
        <v>54</v>
      </c>
      <c r="C10" s="4" t="s">
        <v>170</v>
      </c>
      <c r="D10" t="s">
        <v>171</v>
      </c>
      <c r="E10" s="4" t="s">
        <v>34</v>
      </c>
      <c r="F10" s="4" t="s">
        <v>35</v>
      </c>
      <c r="G10" s="6">
        <v>46255</v>
      </c>
      <c r="H10" s="4" t="s">
        <v>36</v>
      </c>
      <c r="I10" s="4" t="s">
        <v>87</v>
      </c>
      <c r="J10" s="4" t="s">
        <v>38</v>
      </c>
      <c r="K10" s="4" t="str">
        <f t="shared" ca="1" si="0"/>
        <v>Vencida</v>
      </c>
      <c r="L10" s="8">
        <v>200000</v>
      </c>
      <c r="M10" s="8">
        <v>5000000</v>
      </c>
      <c r="N10" s="4" t="s">
        <v>39</v>
      </c>
      <c r="O10" s="4" t="s">
        <v>123</v>
      </c>
      <c r="P10" s="4" t="s">
        <v>124</v>
      </c>
      <c r="Q10" s="10" t="s">
        <v>42</v>
      </c>
      <c r="R10" s="4" t="s">
        <v>172</v>
      </c>
      <c r="S10" s="4" t="s">
        <v>122</v>
      </c>
      <c r="T10" s="4" t="s">
        <v>173</v>
      </c>
      <c r="U10" s="4" t="s">
        <v>174</v>
      </c>
      <c r="V10" s="4" t="s">
        <v>175</v>
      </c>
      <c r="W10" s="4" t="s">
        <v>176</v>
      </c>
      <c r="X10" s="4" t="s">
        <v>177</v>
      </c>
      <c r="Y10" s="4"/>
      <c r="Z10" s="13" t="s">
        <v>178</v>
      </c>
      <c r="AA10" s="13" t="s">
        <v>179</v>
      </c>
      <c r="AB10" s="6">
        <v>46219</v>
      </c>
      <c r="AC10" s="4" t="s">
        <v>180</v>
      </c>
      <c r="AD10" s="4" t="s">
        <v>181</v>
      </c>
    </row>
    <row r="11" spans="1:30" ht="42.75">
      <c r="A11" s="3" t="s">
        <v>182</v>
      </c>
      <c r="B11" s="4" t="s">
        <v>54</v>
      </c>
      <c r="C11" s="4" t="s">
        <v>183</v>
      </c>
      <c r="D11" s="4" t="s">
        <v>184</v>
      </c>
      <c r="E11" s="4" t="s">
        <v>157</v>
      </c>
      <c r="F11" s="4" t="s">
        <v>35</v>
      </c>
      <c r="G11" s="6">
        <v>46264</v>
      </c>
      <c r="H11" s="4" t="s">
        <v>36</v>
      </c>
      <c r="I11" s="4" t="s">
        <v>158</v>
      </c>
      <c r="J11" s="4" t="s">
        <v>38</v>
      </c>
      <c r="K11" s="4" t="str">
        <f t="shared" ca="1" si="0"/>
        <v>Vencida</v>
      </c>
      <c r="L11" s="8">
        <v>6000</v>
      </c>
      <c r="M11" s="8">
        <v>25000</v>
      </c>
      <c r="N11" s="4" t="s">
        <v>39</v>
      </c>
      <c r="O11" s="4" t="s">
        <v>123</v>
      </c>
      <c r="P11" s="4" t="s">
        <v>185</v>
      </c>
      <c r="Q11" s="4" t="s">
        <v>160</v>
      </c>
      <c r="R11" s="4" t="s">
        <v>160</v>
      </c>
      <c r="S11" s="4" t="s">
        <v>122</v>
      </c>
      <c r="T11" s="4" t="s">
        <v>108</v>
      </c>
      <c r="U11" s="4" t="s">
        <v>186</v>
      </c>
      <c r="V11" s="4" t="s">
        <v>187</v>
      </c>
      <c r="W11" s="4" t="s">
        <v>188</v>
      </c>
      <c r="X11" s="4" t="s">
        <v>189</v>
      </c>
      <c r="Y11" s="4"/>
      <c r="Z11" s="13" t="s">
        <v>190</v>
      </c>
      <c r="AA11" s="13" t="s">
        <v>191</v>
      </c>
      <c r="AB11" s="6">
        <v>46219</v>
      </c>
      <c r="AC11" s="4" t="s">
        <v>192</v>
      </c>
      <c r="AD11" s="4"/>
    </row>
    <row r="12" spans="1:30" ht="85.5">
      <c r="A12" s="3" t="s">
        <v>193</v>
      </c>
      <c r="B12" s="4"/>
      <c r="C12" t="s">
        <v>194</v>
      </c>
      <c r="D12" s="4" t="s">
        <v>195</v>
      </c>
      <c r="E12" s="4" t="s">
        <v>121</v>
      </c>
      <c r="F12" s="4" t="s">
        <v>196</v>
      </c>
      <c r="G12" s="6">
        <v>46357</v>
      </c>
      <c r="H12" s="4" t="s">
        <v>36</v>
      </c>
      <c r="I12" s="4" t="s">
        <v>87</v>
      </c>
      <c r="J12" s="4" t="s">
        <v>38</v>
      </c>
      <c r="K12" s="4" t="str">
        <f t="shared" ca="1" si="0"/>
        <v>Abierta</v>
      </c>
      <c r="L12" s="8"/>
      <c r="M12" s="8">
        <v>5000000</v>
      </c>
      <c r="N12" s="4" t="s">
        <v>197</v>
      </c>
      <c r="O12" s="4" t="s">
        <v>123</v>
      </c>
      <c r="P12" s="4" t="s">
        <v>142</v>
      </c>
      <c r="Q12" s="4" t="s">
        <v>198</v>
      </c>
      <c r="R12" s="4" t="s">
        <v>199</v>
      </c>
      <c r="S12" s="4" t="s">
        <v>200</v>
      </c>
      <c r="T12" s="4" t="s">
        <v>201</v>
      </c>
      <c r="U12" s="4" t="s">
        <v>202</v>
      </c>
      <c r="V12" s="4" t="s">
        <v>203</v>
      </c>
      <c r="W12" s="4" t="s">
        <v>204</v>
      </c>
      <c r="X12" s="4" t="s">
        <v>205</v>
      </c>
      <c r="Y12" s="4"/>
      <c r="Z12" s="13" t="s">
        <v>206</v>
      </c>
      <c r="AA12" s="4"/>
      <c r="AB12" s="6">
        <v>46219</v>
      </c>
      <c r="AC12" s="4" t="s">
        <v>207</v>
      </c>
      <c r="AD12" s="4"/>
    </row>
    <row r="13" spans="1:30" ht="128.25">
      <c r="A13" s="3" t="s">
        <v>208</v>
      </c>
      <c r="B13" s="4" t="s">
        <v>54</v>
      </c>
      <c r="C13" s="4" t="s">
        <v>209</v>
      </c>
      <c r="D13" s="4" t="s">
        <v>210</v>
      </c>
      <c r="E13" s="4" t="s">
        <v>121</v>
      </c>
      <c r="F13" s="4" t="s">
        <v>196</v>
      </c>
      <c r="G13" s="6">
        <v>46063</v>
      </c>
      <c r="H13" s="4" t="s">
        <v>36</v>
      </c>
      <c r="I13" s="4" t="s">
        <v>87</v>
      </c>
      <c r="J13" s="4" t="s">
        <v>88</v>
      </c>
      <c r="K13" s="4" t="str">
        <f t="shared" ca="1" si="0"/>
        <v>Cerrada</v>
      </c>
      <c r="L13" s="8">
        <v>200000</v>
      </c>
      <c r="M13" s="8">
        <v>1000000</v>
      </c>
      <c r="N13" s="4" t="s">
        <v>197</v>
      </c>
      <c r="O13" s="4" t="s">
        <v>211</v>
      </c>
      <c r="P13" s="4" t="s">
        <v>142</v>
      </c>
      <c r="Q13" s="4" t="s">
        <v>212</v>
      </c>
      <c r="R13" s="4" t="s">
        <v>213</v>
      </c>
      <c r="S13" s="4" t="s">
        <v>214</v>
      </c>
      <c r="T13" s="4" t="s">
        <v>108</v>
      </c>
      <c r="U13" s="4" t="s">
        <v>215</v>
      </c>
      <c r="V13" s="4" t="s">
        <v>216</v>
      </c>
      <c r="W13" s="4" t="s">
        <v>217</v>
      </c>
      <c r="X13" s="4" t="s">
        <v>218</v>
      </c>
      <c r="Y13" s="4" t="s">
        <v>219</v>
      </c>
      <c r="Z13" s="13" t="s">
        <v>220</v>
      </c>
      <c r="AA13" s="4"/>
      <c r="AB13" s="6">
        <v>46219</v>
      </c>
      <c r="AC13" s="4" t="s">
        <v>221</v>
      </c>
      <c r="AD13" s="4"/>
    </row>
    <row r="14" spans="1:30" ht="85.5">
      <c r="A14" s="3" t="s">
        <v>222</v>
      </c>
      <c r="B14" s="4" t="s">
        <v>54</v>
      </c>
      <c r="C14" s="4" t="s">
        <v>223</v>
      </c>
      <c r="D14" s="4" t="s">
        <v>224</v>
      </c>
      <c r="E14" s="4" t="s">
        <v>121</v>
      </c>
      <c r="F14" s="4" t="s">
        <v>35</v>
      </c>
      <c r="G14" s="6"/>
      <c r="H14" s="4" t="s">
        <v>225</v>
      </c>
      <c r="I14" s="4" t="s">
        <v>58</v>
      </c>
      <c r="J14" s="4" t="s">
        <v>226</v>
      </c>
      <c r="K14" s="4" t="str">
        <f t="shared" ca="1" si="0"/>
        <v>Sin fecha</v>
      </c>
      <c r="L14" s="8">
        <v>15000</v>
      </c>
      <c r="M14" s="8">
        <v>30000</v>
      </c>
      <c r="N14" s="4" t="s">
        <v>39</v>
      </c>
      <c r="O14" s="4" t="s">
        <v>227</v>
      </c>
      <c r="P14" s="4" t="s">
        <v>124</v>
      </c>
      <c r="Q14" s="4" t="s">
        <v>228</v>
      </c>
      <c r="R14" s="4" t="s">
        <v>229</v>
      </c>
      <c r="S14" s="4" t="s">
        <v>122</v>
      </c>
      <c r="T14" s="4" t="s">
        <v>230</v>
      </c>
      <c r="U14" s="4" t="s">
        <v>231</v>
      </c>
      <c r="V14" s="4" t="s">
        <v>232</v>
      </c>
      <c r="W14" s="4" t="s">
        <v>233</v>
      </c>
      <c r="X14" s="4" t="s">
        <v>234</v>
      </c>
      <c r="Y14" s="4" t="s">
        <v>235</v>
      </c>
      <c r="Z14" s="13" t="s">
        <v>236</v>
      </c>
      <c r="AA14" s="4"/>
      <c r="AB14" s="6">
        <v>46219</v>
      </c>
      <c r="AC14" s="4" t="s">
        <v>237</v>
      </c>
      <c r="AD14" s="4" t="s">
        <v>238</v>
      </c>
    </row>
    <row r="15" spans="1:30" ht="85.5">
      <c r="A15" s="3" t="s">
        <v>239</v>
      </c>
      <c r="B15" s="4" t="s">
        <v>54</v>
      </c>
      <c r="C15" s="4" t="s">
        <v>240</v>
      </c>
      <c r="D15" s="4" t="s">
        <v>241</v>
      </c>
      <c r="E15" s="4" t="s">
        <v>34</v>
      </c>
      <c r="F15" s="4" t="s">
        <v>35</v>
      </c>
      <c r="G15" s="6">
        <v>46280</v>
      </c>
      <c r="H15" s="4" t="s">
        <v>36</v>
      </c>
      <c r="I15" s="4" t="s">
        <v>58</v>
      </c>
      <c r="J15" s="4" t="s">
        <v>38</v>
      </c>
      <c r="K15" s="4" t="str">
        <f t="shared" ca="1" si="0"/>
        <v>Próxima a vencer</v>
      </c>
      <c r="L15" s="8">
        <v>25000</v>
      </c>
      <c r="M15" s="8">
        <v>25000</v>
      </c>
      <c r="N15" s="4" t="s">
        <v>39</v>
      </c>
      <c r="O15" s="4" t="s">
        <v>60</v>
      </c>
      <c r="P15" s="4" t="s">
        <v>242</v>
      </c>
      <c r="Q15" s="4" t="s">
        <v>243</v>
      </c>
      <c r="R15" s="4"/>
      <c r="S15" s="4" t="s">
        <v>122</v>
      </c>
      <c r="T15" s="4" t="s">
        <v>108</v>
      </c>
      <c r="U15" s="4" t="s">
        <v>244</v>
      </c>
      <c r="V15" s="4" t="s">
        <v>245</v>
      </c>
      <c r="W15" s="4" t="s">
        <v>246</v>
      </c>
      <c r="X15" s="4" t="s">
        <v>247</v>
      </c>
      <c r="Y15" s="4" t="s">
        <v>248</v>
      </c>
      <c r="Z15" s="13" t="s">
        <v>249</v>
      </c>
      <c r="AA15" s="13" t="s">
        <v>250</v>
      </c>
      <c r="AB15" s="6">
        <v>46219</v>
      </c>
      <c r="AC15" s="4" t="s">
        <v>251</v>
      </c>
      <c r="AD15" s="4" t="s">
        <v>252</v>
      </c>
    </row>
    <row r="16" spans="1:30" ht="85.5">
      <c r="A16" s="3" t="s">
        <v>253</v>
      </c>
      <c r="B16" s="4" t="s">
        <v>54</v>
      </c>
      <c r="C16" s="4" t="s">
        <v>254</v>
      </c>
      <c r="D16" s="4" t="s">
        <v>255</v>
      </c>
      <c r="E16" s="4" t="s">
        <v>157</v>
      </c>
      <c r="F16" s="4" t="s">
        <v>35</v>
      </c>
      <c r="G16" s="6">
        <v>46280</v>
      </c>
      <c r="H16" s="4" t="s">
        <v>36</v>
      </c>
      <c r="I16" s="4" t="s">
        <v>61</v>
      </c>
      <c r="J16" s="4" t="s">
        <v>38</v>
      </c>
      <c r="K16" s="4" t="str">
        <f t="shared" ca="1" si="0"/>
        <v>Próxima a vencer</v>
      </c>
      <c r="L16" s="8">
        <v>10000</v>
      </c>
      <c r="M16" s="8">
        <v>20000</v>
      </c>
      <c r="N16" s="4" t="s">
        <v>39</v>
      </c>
      <c r="O16" s="4"/>
      <c r="P16" s="4" t="s">
        <v>142</v>
      </c>
      <c r="Q16" s="4" t="s">
        <v>256</v>
      </c>
      <c r="R16" s="4" t="s">
        <v>257</v>
      </c>
      <c r="S16" s="4" t="s">
        <v>122</v>
      </c>
      <c r="T16" s="4" t="s">
        <v>108</v>
      </c>
      <c r="U16" s="4" t="s">
        <v>258</v>
      </c>
      <c r="V16" s="4" t="s">
        <v>259</v>
      </c>
      <c r="W16" s="4" t="s">
        <v>260</v>
      </c>
      <c r="X16" s="4" t="s">
        <v>261</v>
      </c>
      <c r="Y16" s="4" t="s">
        <v>262</v>
      </c>
      <c r="Z16" s="13" t="s">
        <v>263</v>
      </c>
      <c r="AA16" s="4"/>
      <c r="AB16" s="6">
        <v>46220</v>
      </c>
      <c r="AC16" s="4" t="s">
        <v>264</v>
      </c>
      <c r="AD16" s="4" t="s">
        <v>265</v>
      </c>
    </row>
    <row r="17" spans="1:30" ht="128.25">
      <c r="A17" s="3" t="s">
        <v>266</v>
      </c>
      <c r="B17" s="4" t="s">
        <v>54</v>
      </c>
      <c r="C17" s="4" t="s">
        <v>267</v>
      </c>
      <c r="D17" s="4" t="s">
        <v>268</v>
      </c>
      <c r="E17" s="4" t="s">
        <v>34</v>
      </c>
      <c r="F17" s="4" t="s">
        <v>35</v>
      </c>
      <c r="G17" s="6"/>
      <c r="H17" s="4" t="s">
        <v>225</v>
      </c>
      <c r="I17" s="4" t="s">
        <v>58</v>
      </c>
      <c r="J17" s="4" t="s">
        <v>226</v>
      </c>
      <c r="K17" s="4" t="str">
        <f t="shared" ca="1" si="0"/>
        <v>Sin fecha</v>
      </c>
      <c r="L17" s="8">
        <v>21500</v>
      </c>
      <c r="M17" s="8">
        <v>21500</v>
      </c>
      <c r="N17" s="4" t="s">
        <v>39</v>
      </c>
      <c r="O17" s="4" t="s">
        <v>269</v>
      </c>
      <c r="P17" s="4" t="s">
        <v>159</v>
      </c>
      <c r="Q17" s="4" t="s">
        <v>270</v>
      </c>
      <c r="R17" s="4" t="s">
        <v>271</v>
      </c>
      <c r="S17" s="4" t="s">
        <v>272</v>
      </c>
      <c r="T17" s="4" t="s">
        <v>44</v>
      </c>
      <c r="U17" s="4" t="s">
        <v>273</v>
      </c>
      <c r="V17" s="4" t="s">
        <v>274</v>
      </c>
      <c r="W17" s="4" t="s">
        <v>275</v>
      </c>
      <c r="X17" s="4" t="s">
        <v>276</v>
      </c>
      <c r="Y17" s="4" t="s">
        <v>277</v>
      </c>
      <c r="Z17" s="13" t="str">
        <f>HYPERLINK("https://www.getty.edu/projects/conservation-guest-scholars/","https://www.getty.edu/projects/conservation-guest-scholars/")</f>
        <v>https://www.getty.edu/projects/conservation-guest-scholars/</v>
      </c>
      <c r="AA17" s="4"/>
      <c r="AB17" s="6">
        <v>46220</v>
      </c>
      <c r="AC17" s="4" t="s">
        <v>278</v>
      </c>
      <c r="AD17" s="4" t="s">
        <v>279</v>
      </c>
    </row>
    <row r="18" spans="1:30" ht="114">
      <c r="A18" s="3" t="s">
        <v>280</v>
      </c>
      <c r="B18" s="4" t="s">
        <v>54</v>
      </c>
      <c r="C18" s="4" t="s">
        <v>281</v>
      </c>
      <c r="D18" s="4" t="s">
        <v>282</v>
      </c>
      <c r="E18" s="4" t="s">
        <v>121</v>
      </c>
      <c r="F18" s="4" t="s">
        <v>122</v>
      </c>
      <c r="G18" s="6">
        <v>46266</v>
      </c>
      <c r="H18" s="4" t="s">
        <v>283</v>
      </c>
      <c r="I18" s="4" t="s">
        <v>58</v>
      </c>
      <c r="J18" s="4" t="s">
        <v>226</v>
      </c>
      <c r="K18" s="4" t="str">
        <f ca="1">IF(J18="En revisión","Pendiente Apertura",IF(J18="Cerrada","Cerrada",IF(J18="Suspendida","Suspendida",IF(G18="","Sin fecha",IF(G18&lt;TODAY(),"Vencida",IF(G18-TODAY()&lt;=30,"Próxima a vencer","Abierta"))))))</f>
        <v>Pendiente Apertura</v>
      </c>
      <c r="L18" s="8">
        <v>5000</v>
      </c>
      <c r="M18" s="8">
        <v>15000</v>
      </c>
      <c r="N18" s="4" t="s">
        <v>284</v>
      </c>
      <c r="O18" s="4" t="s">
        <v>285</v>
      </c>
      <c r="P18" s="4" t="s">
        <v>159</v>
      </c>
      <c r="Q18" s="4" t="s">
        <v>286</v>
      </c>
      <c r="R18" s="4" t="s">
        <v>271</v>
      </c>
      <c r="S18" s="4" t="s">
        <v>287</v>
      </c>
      <c r="T18" s="4" t="s">
        <v>288</v>
      </c>
      <c r="U18" s="4" t="s">
        <v>289</v>
      </c>
      <c r="V18" s="4" t="s">
        <v>290</v>
      </c>
      <c r="W18" s="4" t="s">
        <v>291</v>
      </c>
      <c r="X18" s="4" t="s">
        <v>292</v>
      </c>
      <c r="Y18" s="4" t="s">
        <v>293</v>
      </c>
      <c r="Z18" s="13" t="str">
        <f>HYPERLINK("https://www.cca.qc.ca/en/101525/cca-wri-research-fellowship-program","https://www.cca.qc.ca/en/101525/cca-wri-research-fellowship-program")</f>
        <v>https://www.cca.qc.ca/en/101525/cca-wri-research-fellowship-program</v>
      </c>
      <c r="AA18" s="4"/>
      <c r="AB18" s="6">
        <v>46220</v>
      </c>
      <c r="AC18" s="4" t="s">
        <v>294</v>
      </c>
      <c r="AD18" s="4" t="s">
        <v>295</v>
      </c>
    </row>
    <row r="19" spans="1:30" ht="128.25">
      <c r="A19" s="3" t="s">
        <v>296</v>
      </c>
      <c r="B19" s="4" t="s">
        <v>54</v>
      </c>
      <c r="C19" s="4" t="s">
        <v>297</v>
      </c>
      <c r="D19" s="4" t="s">
        <v>298</v>
      </c>
      <c r="E19" s="4" t="s">
        <v>34</v>
      </c>
      <c r="F19" s="4" t="s">
        <v>140</v>
      </c>
      <c r="G19" s="6">
        <v>46209</v>
      </c>
      <c r="H19" s="4" t="s">
        <v>36</v>
      </c>
      <c r="I19" s="4" t="s">
        <v>58</v>
      </c>
      <c r="J19" s="4" t="s">
        <v>88</v>
      </c>
      <c r="K19" s="4" t="str">
        <f t="shared" ref="K19:K80" ca="1" si="1">IF(J19="En revisión","Pendiente Apertura",IF(J19="Cerrada","Cerrada",IF(J19="Suspendida","Suspendida",IF(G19="","Sin fecha",IF(G19&lt;TODAY(),"Vencida",IF(G19-TODAY()&lt;=30,"Próxima a vencer","Abierta"))))))</f>
        <v>Cerrada</v>
      </c>
      <c r="L19" s="8"/>
      <c r="M19" s="8"/>
      <c r="N19" s="4" t="s">
        <v>141</v>
      </c>
      <c r="O19" s="4" t="s">
        <v>299</v>
      </c>
      <c r="P19" s="4" t="s">
        <v>159</v>
      </c>
      <c r="Q19" s="4" t="s">
        <v>42</v>
      </c>
      <c r="R19" s="4" t="s">
        <v>271</v>
      </c>
      <c r="S19" s="4" t="s">
        <v>300</v>
      </c>
      <c r="T19" s="4" t="s">
        <v>301</v>
      </c>
      <c r="U19" s="4" t="s">
        <v>302</v>
      </c>
      <c r="V19" s="4" t="s">
        <v>303</v>
      </c>
      <c r="W19" s="4" t="s">
        <v>304</v>
      </c>
      <c r="X19" s="4" t="s">
        <v>305</v>
      </c>
      <c r="Y19" s="4" t="s">
        <v>306</v>
      </c>
      <c r="Z19" s="13" t="str">
        <f>HYPERLINK("https://www.urbanstudiesfoundation.org/funding/international-fellowships/","https://www.urbanstudiesfoundation.org/funding/international-fellowships/")</f>
        <v>https://www.urbanstudiesfoundation.org/funding/international-fellowships/</v>
      </c>
      <c r="AA19" s="4"/>
      <c r="AB19" s="6">
        <v>46220</v>
      </c>
      <c r="AC19" s="4" t="s">
        <v>307</v>
      </c>
      <c r="AD19" s="4" t="s">
        <v>308</v>
      </c>
    </row>
    <row r="20" spans="1:30" ht="114">
      <c r="A20" s="3" t="s">
        <v>309</v>
      </c>
      <c r="B20" s="4" t="s">
        <v>54</v>
      </c>
      <c r="C20" s="4" t="s">
        <v>310</v>
      </c>
      <c r="D20" s="4" t="s">
        <v>311</v>
      </c>
      <c r="E20" s="4" t="s">
        <v>121</v>
      </c>
      <c r="F20" s="4" t="s">
        <v>122</v>
      </c>
      <c r="G20" s="6">
        <v>46157.708333333299</v>
      </c>
      <c r="H20" s="4" t="s">
        <v>36</v>
      </c>
      <c r="I20" s="4" t="s">
        <v>87</v>
      </c>
      <c r="J20" s="4" t="s">
        <v>88</v>
      </c>
      <c r="K20" s="4" t="str">
        <f t="shared" ca="1" si="1"/>
        <v>Cerrada</v>
      </c>
      <c r="L20" s="8"/>
      <c r="M20" s="8">
        <v>20000</v>
      </c>
      <c r="N20" s="4" t="s">
        <v>197</v>
      </c>
      <c r="O20" s="4" t="s">
        <v>312</v>
      </c>
      <c r="P20" s="4" t="s">
        <v>124</v>
      </c>
      <c r="Q20" s="4" t="s">
        <v>42</v>
      </c>
      <c r="R20" s="4" t="s">
        <v>313</v>
      </c>
      <c r="S20" s="4" t="s">
        <v>314</v>
      </c>
      <c r="T20" s="4" t="s">
        <v>315</v>
      </c>
      <c r="U20" s="4" t="s">
        <v>316</v>
      </c>
      <c r="V20" s="4" t="s">
        <v>317</v>
      </c>
      <c r="W20" s="4" t="s">
        <v>318</v>
      </c>
      <c r="X20" s="4" t="s">
        <v>319</v>
      </c>
      <c r="Y20" s="4" t="s">
        <v>320</v>
      </c>
      <c r="Z20" s="13" t="str">
        <f>HYPERLINK("https://www.cyted.org/assets/img/cyted/Convocatoria%202026/Castellano/01_Convocatoria_oficial_bases_y_lineas_2026_SP.pdf","https://www.cyted.org/assets/img/cyted/Convocatoria%202026/Castellano/01_Convocatoria_oficial_bases_y_lineas_2026_SP.pdf")</f>
        <v>https://www.cyted.org/assets/img/cyted/Convocatoria%202026/Castellano/01_Convocatoria_oficial_bases_y_lineas_2026_SP.pdf</v>
      </c>
      <c r="AA20" s="4"/>
      <c r="AB20" s="6">
        <v>46220</v>
      </c>
      <c r="AC20" s="4" t="s">
        <v>321</v>
      </c>
      <c r="AD20" s="4" t="s">
        <v>322</v>
      </c>
    </row>
    <row r="21" spans="1:30" ht="71.25">
      <c r="A21" s="3" t="s">
        <v>323</v>
      </c>
      <c r="B21" s="4" t="s">
        <v>54</v>
      </c>
      <c r="C21" s="4" t="s">
        <v>324</v>
      </c>
      <c r="D21" s="4" t="s">
        <v>325</v>
      </c>
      <c r="E21" s="4" t="s">
        <v>121</v>
      </c>
      <c r="F21" s="4" t="s">
        <v>196</v>
      </c>
      <c r="G21" s="6">
        <v>46287</v>
      </c>
      <c r="H21" s="4" t="s">
        <v>36</v>
      </c>
      <c r="I21" s="4" t="s">
        <v>87</v>
      </c>
      <c r="J21" s="4" t="s">
        <v>38</v>
      </c>
      <c r="K21" s="4" t="str">
        <f t="shared" ca="1" si="1"/>
        <v>Próxima a vencer</v>
      </c>
      <c r="L21" s="8"/>
      <c r="M21" s="8">
        <v>3250000</v>
      </c>
      <c r="N21" s="4" t="s">
        <v>197</v>
      </c>
      <c r="O21" s="4" t="s">
        <v>326</v>
      </c>
      <c r="P21" s="4" t="s">
        <v>124</v>
      </c>
      <c r="Q21" s="4" t="s">
        <v>42</v>
      </c>
      <c r="R21" s="4" t="s">
        <v>313</v>
      </c>
      <c r="S21" s="4" t="s">
        <v>327</v>
      </c>
      <c r="T21" s="4" t="s">
        <v>44</v>
      </c>
      <c r="U21" s="4" t="s">
        <v>328</v>
      </c>
      <c r="V21" s="4" t="s">
        <v>329</v>
      </c>
      <c r="W21" s="4" t="s">
        <v>330</v>
      </c>
      <c r="X21" s="4" t="s">
        <v>331</v>
      </c>
      <c r="Y21" s="4" t="s">
        <v>332</v>
      </c>
      <c r="Z21" s="4" t="s">
        <v>333</v>
      </c>
      <c r="AA21" s="4"/>
      <c r="AB21" s="6">
        <v>46220</v>
      </c>
      <c r="AC21" s="4" t="s">
        <v>334</v>
      </c>
      <c r="AD21" s="4" t="s">
        <v>335</v>
      </c>
    </row>
    <row r="22" spans="1:30" ht="71.25">
      <c r="A22" s="3" t="s">
        <v>336</v>
      </c>
      <c r="B22" s="4" t="s">
        <v>54</v>
      </c>
      <c r="C22" s="4" t="s">
        <v>337</v>
      </c>
      <c r="D22" s="4" t="s">
        <v>338</v>
      </c>
      <c r="E22" s="4" t="s">
        <v>121</v>
      </c>
      <c r="F22" s="4" t="s">
        <v>122</v>
      </c>
      <c r="G22" s="6">
        <v>46132</v>
      </c>
      <c r="H22" s="4" t="s">
        <v>36</v>
      </c>
      <c r="I22" s="4" t="s">
        <v>87</v>
      </c>
      <c r="J22" s="4" t="s">
        <v>88</v>
      </c>
      <c r="K22" s="4" t="str">
        <f t="shared" ca="1" si="1"/>
        <v>Cerrada</v>
      </c>
      <c r="L22" s="8"/>
      <c r="M22" s="8">
        <v>250000</v>
      </c>
      <c r="N22" s="4" t="s">
        <v>39</v>
      </c>
      <c r="O22" s="4" t="s">
        <v>339</v>
      </c>
      <c r="P22" s="4" t="s">
        <v>124</v>
      </c>
      <c r="Q22" s="4" t="s">
        <v>340</v>
      </c>
      <c r="R22" s="4" t="s">
        <v>313</v>
      </c>
      <c r="S22" s="4" t="s">
        <v>341</v>
      </c>
      <c r="T22" s="4" t="s">
        <v>44</v>
      </c>
      <c r="U22" s="4" t="s">
        <v>342</v>
      </c>
      <c r="V22" s="4" t="s">
        <v>343</v>
      </c>
      <c r="W22" s="4" t="s">
        <v>344</v>
      </c>
      <c r="X22" s="4" t="s">
        <v>345</v>
      </c>
      <c r="Y22" s="4" t="s">
        <v>346</v>
      </c>
      <c r="Z22" s="4" t="s">
        <v>347</v>
      </c>
      <c r="AA22" s="4"/>
      <c r="AB22" s="6">
        <v>46220</v>
      </c>
      <c r="AC22" s="4" t="s">
        <v>348</v>
      </c>
      <c r="AD22" s="4" t="s">
        <v>349</v>
      </c>
    </row>
    <row r="23" spans="1:30" ht="71.25">
      <c r="A23" s="3" t="s">
        <v>350</v>
      </c>
      <c r="B23" s="4" t="s">
        <v>54</v>
      </c>
      <c r="C23" s="4" t="s">
        <v>351</v>
      </c>
      <c r="D23" s="4" t="s">
        <v>325</v>
      </c>
      <c r="E23" s="4" t="s">
        <v>121</v>
      </c>
      <c r="F23" s="4" t="s">
        <v>196</v>
      </c>
      <c r="G23" s="6">
        <v>46287</v>
      </c>
      <c r="H23" s="4" t="s">
        <v>36</v>
      </c>
      <c r="I23" s="4" t="s">
        <v>87</v>
      </c>
      <c r="J23" s="4" t="s">
        <v>38</v>
      </c>
      <c r="K23" s="4" t="str">
        <f t="shared" ca="1" si="1"/>
        <v>Próxima a vencer</v>
      </c>
      <c r="L23" s="8"/>
      <c r="M23" s="8">
        <v>3250000</v>
      </c>
      <c r="N23" s="4" t="s">
        <v>197</v>
      </c>
      <c r="O23" s="4" t="s">
        <v>326</v>
      </c>
      <c r="P23" s="4" t="s">
        <v>124</v>
      </c>
      <c r="Q23" s="4" t="s">
        <v>352</v>
      </c>
      <c r="R23" s="4" t="s">
        <v>313</v>
      </c>
      <c r="S23" s="4" t="s">
        <v>327</v>
      </c>
      <c r="T23" s="4" t="s">
        <v>44</v>
      </c>
      <c r="U23" s="4" t="s">
        <v>353</v>
      </c>
      <c r="V23" s="4" t="s">
        <v>354</v>
      </c>
      <c r="W23" s="4" t="s">
        <v>355</v>
      </c>
      <c r="X23" s="4" t="s">
        <v>356</v>
      </c>
      <c r="Y23" s="4" t="s">
        <v>357</v>
      </c>
      <c r="Z23" s="4" t="s">
        <v>358</v>
      </c>
      <c r="AA23" s="4"/>
      <c r="AB23" s="6">
        <v>46220</v>
      </c>
      <c r="AC23" s="4" t="s">
        <v>359</v>
      </c>
      <c r="AD23" s="4" t="s">
        <v>360</v>
      </c>
    </row>
    <row r="24" spans="1:30" ht="57">
      <c r="A24" s="3" t="s">
        <v>361</v>
      </c>
      <c r="B24" s="4" t="s">
        <v>54</v>
      </c>
      <c r="C24" s="4" t="s">
        <v>362</v>
      </c>
      <c r="D24" s="4" t="s">
        <v>311</v>
      </c>
      <c r="E24" s="4" t="s">
        <v>121</v>
      </c>
      <c r="F24" s="4" t="s">
        <v>122</v>
      </c>
      <c r="G24" s="6">
        <v>46157</v>
      </c>
      <c r="H24" s="4" t="s">
        <v>36</v>
      </c>
      <c r="I24" s="4" t="s">
        <v>58</v>
      </c>
      <c r="J24" s="4" t="s">
        <v>88</v>
      </c>
      <c r="K24" s="4" t="str">
        <f t="shared" ca="1" si="1"/>
        <v>Cerrada</v>
      </c>
      <c r="L24" s="8"/>
      <c r="M24" s="8">
        <v>20000</v>
      </c>
      <c r="N24" s="4" t="s">
        <v>197</v>
      </c>
      <c r="O24" s="4" t="s">
        <v>211</v>
      </c>
      <c r="P24" s="4" t="s">
        <v>124</v>
      </c>
      <c r="Q24" s="4" t="s">
        <v>363</v>
      </c>
      <c r="R24" s="4" t="s">
        <v>364</v>
      </c>
      <c r="S24" s="4" t="s">
        <v>365</v>
      </c>
      <c r="T24" s="4" t="s">
        <v>44</v>
      </c>
      <c r="U24" s="4" t="s">
        <v>366</v>
      </c>
      <c r="V24" s="4" t="s">
        <v>367</v>
      </c>
      <c r="W24" s="4" t="s">
        <v>368</v>
      </c>
      <c r="X24" s="4" t="s">
        <v>369</v>
      </c>
      <c r="Y24" s="4" t="s">
        <v>370</v>
      </c>
      <c r="Z24" s="4" t="s">
        <v>371</v>
      </c>
      <c r="AA24" s="4"/>
      <c r="AB24" s="6">
        <v>46220</v>
      </c>
      <c r="AC24" s="4" t="s">
        <v>372</v>
      </c>
      <c r="AD24" s="4" t="s">
        <v>373</v>
      </c>
    </row>
    <row r="25" spans="1:30" ht="71.25">
      <c r="A25" s="3" t="s">
        <v>374</v>
      </c>
      <c r="B25" s="4" t="s">
        <v>54</v>
      </c>
      <c r="C25" s="4" t="s">
        <v>375</v>
      </c>
      <c r="D25" s="4" t="s">
        <v>376</v>
      </c>
      <c r="E25" s="4" t="s">
        <v>34</v>
      </c>
      <c r="F25" s="4" t="s">
        <v>35</v>
      </c>
      <c r="G25" s="6">
        <v>46357</v>
      </c>
      <c r="H25" s="4" t="s">
        <v>36</v>
      </c>
      <c r="I25" s="4" t="s">
        <v>377</v>
      </c>
      <c r="J25" s="4" t="s">
        <v>38</v>
      </c>
      <c r="K25" s="4" t="str">
        <f t="shared" ca="1" si="1"/>
        <v>Abierta</v>
      </c>
      <c r="L25" s="8">
        <v>15000</v>
      </c>
      <c r="M25" s="8">
        <v>500000</v>
      </c>
      <c r="N25" s="4" t="s">
        <v>39</v>
      </c>
      <c r="O25" s="4" t="s">
        <v>123</v>
      </c>
      <c r="P25" s="4" t="s">
        <v>124</v>
      </c>
      <c r="Q25" s="4" t="s">
        <v>378</v>
      </c>
      <c r="R25" s="4" t="s">
        <v>379</v>
      </c>
      <c r="S25" s="4" t="s">
        <v>44</v>
      </c>
      <c r="T25" s="4" t="s">
        <v>44</v>
      </c>
      <c r="U25" s="4" t="s">
        <v>380</v>
      </c>
      <c r="V25" s="4" t="s">
        <v>381</v>
      </c>
      <c r="W25" s="4" t="s">
        <v>382</v>
      </c>
      <c r="X25" s="4" t="s">
        <v>383</v>
      </c>
      <c r="Y25" s="4" t="s">
        <v>384</v>
      </c>
      <c r="Z25" s="4" t="s">
        <v>385</v>
      </c>
      <c r="AA25" s="4" t="s">
        <v>386</v>
      </c>
      <c r="AB25" s="6">
        <v>46220</v>
      </c>
      <c r="AC25" s="4" t="s">
        <v>387</v>
      </c>
      <c r="AD25" s="4" t="s">
        <v>388</v>
      </c>
    </row>
    <row r="26" spans="1:30" ht="71.25">
      <c r="A26" s="3" t="s">
        <v>389</v>
      </c>
      <c r="B26" s="4" t="s">
        <v>54</v>
      </c>
      <c r="C26" s="4" t="s">
        <v>390</v>
      </c>
      <c r="D26" s="4" t="s">
        <v>325</v>
      </c>
      <c r="E26" s="4" t="s">
        <v>121</v>
      </c>
      <c r="F26" s="4" t="s">
        <v>196</v>
      </c>
      <c r="G26" s="6">
        <v>46287</v>
      </c>
      <c r="H26" s="4" t="s">
        <v>36</v>
      </c>
      <c r="I26" s="4" t="s">
        <v>87</v>
      </c>
      <c r="J26" s="4" t="s">
        <v>38</v>
      </c>
      <c r="K26" s="4" t="str">
        <f t="shared" ca="1" si="1"/>
        <v>Próxima a vencer</v>
      </c>
      <c r="L26" s="8"/>
      <c r="M26" s="8">
        <v>7000000</v>
      </c>
      <c r="N26" s="4" t="s">
        <v>197</v>
      </c>
      <c r="O26" s="4" t="s">
        <v>326</v>
      </c>
      <c r="P26" s="4" t="s">
        <v>124</v>
      </c>
      <c r="Q26" s="4" t="s">
        <v>391</v>
      </c>
      <c r="R26" s="4" t="s">
        <v>313</v>
      </c>
      <c r="S26" s="4" t="s">
        <v>327</v>
      </c>
      <c r="T26" s="4" t="s">
        <v>44</v>
      </c>
      <c r="U26" s="4" t="s">
        <v>392</v>
      </c>
      <c r="V26" s="4" t="s">
        <v>393</v>
      </c>
      <c r="W26" s="4" t="s">
        <v>394</v>
      </c>
      <c r="X26" s="4" t="s">
        <v>395</v>
      </c>
      <c r="Y26" s="4" t="s">
        <v>396</v>
      </c>
      <c r="Z26" s="4" t="s">
        <v>397</v>
      </c>
      <c r="AA26" s="4"/>
      <c r="AB26" s="6">
        <v>46220</v>
      </c>
      <c r="AC26" s="4" t="s">
        <v>398</v>
      </c>
      <c r="AD26" s="4" t="s">
        <v>399</v>
      </c>
    </row>
    <row r="27" spans="1:30" ht="71.25">
      <c r="A27" s="3" t="s">
        <v>400</v>
      </c>
      <c r="B27" s="4" t="s">
        <v>54</v>
      </c>
      <c r="C27" s="4" t="s">
        <v>401</v>
      </c>
      <c r="D27" s="4" t="s">
        <v>325</v>
      </c>
      <c r="E27" s="4" t="s">
        <v>121</v>
      </c>
      <c r="F27" s="4" t="s">
        <v>196</v>
      </c>
      <c r="G27" s="6">
        <v>46287</v>
      </c>
      <c r="H27" s="4" t="s">
        <v>36</v>
      </c>
      <c r="I27" s="4" t="s">
        <v>87</v>
      </c>
      <c r="J27" s="4" t="s">
        <v>38</v>
      </c>
      <c r="K27" s="4" t="str">
        <f t="shared" ca="1" si="1"/>
        <v>Próxima a vencer</v>
      </c>
      <c r="L27" s="8"/>
      <c r="M27" s="8">
        <v>20000000</v>
      </c>
      <c r="N27" s="4" t="s">
        <v>197</v>
      </c>
      <c r="O27" s="4" t="s">
        <v>326</v>
      </c>
      <c r="P27" s="4" t="s">
        <v>124</v>
      </c>
      <c r="Q27" s="4" t="s">
        <v>402</v>
      </c>
      <c r="R27" s="4" t="s">
        <v>313</v>
      </c>
      <c r="S27" s="4" t="s">
        <v>327</v>
      </c>
      <c r="T27" s="4" t="s">
        <v>44</v>
      </c>
      <c r="U27" s="4" t="s">
        <v>403</v>
      </c>
      <c r="V27" s="4" t="s">
        <v>404</v>
      </c>
      <c r="W27" s="4" t="s">
        <v>405</v>
      </c>
      <c r="X27" s="4" t="s">
        <v>406</v>
      </c>
      <c r="Y27" s="4" t="s">
        <v>407</v>
      </c>
      <c r="Z27" s="4" t="s">
        <v>408</v>
      </c>
      <c r="AA27" s="4"/>
      <c r="AB27" s="6">
        <v>46220</v>
      </c>
      <c r="AC27" s="4" t="s">
        <v>409</v>
      </c>
      <c r="AD27" s="4" t="s">
        <v>410</v>
      </c>
    </row>
    <row r="28" spans="1:30" ht="71.25">
      <c r="A28" s="3" t="s">
        <v>411</v>
      </c>
      <c r="B28" s="4" t="s">
        <v>54</v>
      </c>
      <c r="C28" s="4" t="s">
        <v>412</v>
      </c>
      <c r="D28" s="4" t="s">
        <v>325</v>
      </c>
      <c r="E28" s="4" t="s">
        <v>121</v>
      </c>
      <c r="F28" s="4" t="s">
        <v>196</v>
      </c>
      <c r="G28" s="6">
        <v>46287</v>
      </c>
      <c r="H28" s="4" t="s">
        <v>36</v>
      </c>
      <c r="I28" s="4" t="s">
        <v>87</v>
      </c>
      <c r="J28" s="4" t="s">
        <v>38</v>
      </c>
      <c r="K28" s="4" t="str">
        <f t="shared" ca="1" si="1"/>
        <v>Próxima a vencer</v>
      </c>
      <c r="L28" s="8"/>
      <c r="M28" s="8">
        <v>20000000</v>
      </c>
      <c r="N28" s="4" t="s">
        <v>197</v>
      </c>
      <c r="O28" s="4" t="s">
        <v>326</v>
      </c>
      <c r="P28" s="4" t="s">
        <v>124</v>
      </c>
      <c r="Q28" s="4" t="s">
        <v>413</v>
      </c>
      <c r="R28" s="4" t="s">
        <v>313</v>
      </c>
      <c r="S28" s="4" t="s">
        <v>327</v>
      </c>
      <c r="T28" s="4" t="s">
        <v>44</v>
      </c>
      <c r="U28" s="4" t="s">
        <v>414</v>
      </c>
      <c r="V28" s="4" t="s">
        <v>415</v>
      </c>
      <c r="W28" s="4" t="s">
        <v>416</v>
      </c>
      <c r="X28" s="4" t="s">
        <v>417</v>
      </c>
      <c r="Y28" s="4" t="s">
        <v>418</v>
      </c>
      <c r="Z28" s="4" t="s">
        <v>419</v>
      </c>
      <c r="AA28" s="4"/>
      <c r="AB28" s="6">
        <v>46220</v>
      </c>
      <c r="AC28" s="4" t="s">
        <v>420</v>
      </c>
      <c r="AD28" s="4" t="s">
        <v>421</v>
      </c>
    </row>
    <row r="29" spans="1:30" ht="71.25">
      <c r="A29" s="3" t="s">
        <v>422</v>
      </c>
      <c r="B29" s="4" t="s">
        <v>54</v>
      </c>
      <c r="C29" s="4" t="s">
        <v>423</v>
      </c>
      <c r="D29" s="4" t="s">
        <v>325</v>
      </c>
      <c r="E29" s="4" t="s">
        <v>121</v>
      </c>
      <c r="F29" s="4" t="s">
        <v>196</v>
      </c>
      <c r="G29" s="6">
        <v>46287</v>
      </c>
      <c r="H29" s="4" t="s">
        <v>36</v>
      </c>
      <c r="I29" s="4" t="s">
        <v>87</v>
      </c>
      <c r="J29" s="4" t="s">
        <v>38</v>
      </c>
      <c r="K29" s="4" t="str">
        <f t="shared" ca="1" si="1"/>
        <v>Próxima a vencer</v>
      </c>
      <c r="L29" s="8"/>
      <c r="M29" s="8">
        <v>7000000</v>
      </c>
      <c r="N29" s="4" t="s">
        <v>197</v>
      </c>
      <c r="O29" s="4" t="s">
        <v>326</v>
      </c>
      <c r="P29" s="4" t="s">
        <v>124</v>
      </c>
      <c r="Q29" s="4" t="s">
        <v>424</v>
      </c>
      <c r="R29" s="4" t="s">
        <v>313</v>
      </c>
      <c r="S29" s="4" t="s">
        <v>327</v>
      </c>
      <c r="T29" s="4" t="s">
        <v>44</v>
      </c>
      <c r="U29" s="4" t="s">
        <v>425</v>
      </c>
      <c r="V29" s="4" t="s">
        <v>426</v>
      </c>
      <c r="W29" s="4" t="s">
        <v>427</v>
      </c>
      <c r="X29" s="4" t="s">
        <v>428</v>
      </c>
      <c r="Y29" s="4" t="s">
        <v>429</v>
      </c>
      <c r="Z29" s="4" t="s">
        <v>430</v>
      </c>
      <c r="AA29" s="4"/>
      <c r="AB29" s="6">
        <v>46220</v>
      </c>
      <c r="AC29" s="4" t="s">
        <v>431</v>
      </c>
      <c r="AD29" s="4" t="s">
        <v>432</v>
      </c>
    </row>
    <row r="30" spans="1:30" ht="71.25">
      <c r="A30" s="3" t="s">
        <v>433</v>
      </c>
      <c r="B30" s="4" t="s">
        <v>54</v>
      </c>
      <c r="C30" s="4" t="s">
        <v>434</v>
      </c>
      <c r="D30" s="4" t="s">
        <v>435</v>
      </c>
      <c r="E30" s="4" t="s">
        <v>121</v>
      </c>
      <c r="F30" s="4" t="s">
        <v>122</v>
      </c>
      <c r="G30" s="6">
        <v>46216</v>
      </c>
      <c r="H30" s="4" t="s">
        <v>36</v>
      </c>
      <c r="I30" s="4" t="s">
        <v>436</v>
      </c>
      <c r="J30" s="4" t="s">
        <v>88</v>
      </c>
      <c r="K30" s="4" t="str">
        <f t="shared" ca="1" si="1"/>
        <v>Cerrada</v>
      </c>
      <c r="L30" s="8"/>
      <c r="M30" s="8">
        <v>50000</v>
      </c>
      <c r="N30" s="4" t="s">
        <v>39</v>
      </c>
      <c r="O30" s="4" t="s">
        <v>437</v>
      </c>
      <c r="P30" s="4" t="s">
        <v>124</v>
      </c>
      <c r="Q30" s="4" t="s">
        <v>438</v>
      </c>
      <c r="R30" s="4" t="s">
        <v>379</v>
      </c>
      <c r="S30" s="4" t="s">
        <v>439</v>
      </c>
      <c r="T30" s="4" t="s">
        <v>44</v>
      </c>
      <c r="U30" s="4" t="s">
        <v>440</v>
      </c>
      <c r="V30" s="4" t="s">
        <v>441</v>
      </c>
      <c r="W30" s="4" t="s">
        <v>442</v>
      </c>
      <c r="X30" s="4" t="s">
        <v>443</v>
      </c>
      <c r="Y30" s="4" t="s">
        <v>444</v>
      </c>
      <c r="Z30" s="4" t="s">
        <v>445</v>
      </c>
      <c r="AA30" s="4"/>
      <c r="AB30" s="6">
        <v>46220</v>
      </c>
      <c r="AC30" s="4" t="s">
        <v>446</v>
      </c>
      <c r="AD30" s="4" t="s">
        <v>447</v>
      </c>
    </row>
    <row r="31" spans="1:30" ht="71.25">
      <c r="A31" s="3" t="s">
        <v>448</v>
      </c>
      <c r="B31" s="4" t="s">
        <v>54</v>
      </c>
      <c r="C31" s="4" t="s">
        <v>449</v>
      </c>
      <c r="D31" s="4" t="s">
        <v>311</v>
      </c>
      <c r="E31" s="4" t="s">
        <v>121</v>
      </c>
      <c r="F31" s="4" t="s">
        <v>122</v>
      </c>
      <c r="G31" s="6">
        <v>46157</v>
      </c>
      <c r="H31" s="4" t="s">
        <v>36</v>
      </c>
      <c r="I31" s="4" t="s">
        <v>87</v>
      </c>
      <c r="J31" s="4" t="s">
        <v>88</v>
      </c>
      <c r="K31" s="4" t="str">
        <f t="shared" ca="1" si="1"/>
        <v>Cerrada</v>
      </c>
      <c r="L31" s="8"/>
      <c r="M31" s="8">
        <v>20000</v>
      </c>
      <c r="N31" s="4" t="s">
        <v>197</v>
      </c>
      <c r="O31" s="4" t="s">
        <v>211</v>
      </c>
      <c r="P31" s="4" t="s">
        <v>124</v>
      </c>
      <c r="Q31" s="4" t="s">
        <v>450</v>
      </c>
      <c r="R31" s="4" t="s">
        <v>313</v>
      </c>
      <c r="S31" s="4" t="s">
        <v>365</v>
      </c>
      <c r="T31" s="4" t="s">
        <v>44</v>
      </c>
      <c r="U31" s="4" t="s">
        <v>451</v>
      </c>
      <c r="V31" s="4" t="s">
        <v>452</v>
      </c>
      <c r="W31" s="4" t="s">
        <v>453</v>
      </c>
      <c r="X31" s="4" t="s">
        <v>454</v>
      </c>
      <c r="Y31" s="4" t="s">
        <v>455</v>
      </c>
      <c r="Z31" s="4" t="s">
        <v>371</v>
      </c>
      <c r="AA31" s="4"/>
      <c r="AB31" s="6">
        <v>46220</v>
      </c>
      <c r="AC31" s="4" t="s">
        <v>456</v>
      </c>
      <c r="AD31" s="4" t="s">
        <v>457</v>
      </c>
    </row>
    <row r="32" spans="1:30" ht="71.25">
      <c r="A32" s="3" t="s">
        <v>458</v>
      </c>
      <c r="B32" s="4" t="s">
        <v>54</v>
      </c>
      <c r="C32" s="4" t="s">
        <v>459</v>
      </c>
      <c r="D32" s="4" t="s">
        <v>311</v>
      </c>
      <c r="E32" s="4" t="s">
        <v>121</v>
      </c>
      <c r="F32" s="4" t="s">
        <v>122</v>
      </c>
      <c r="G32" s="6">
        <v>46157</v>
      </c>
      <c r="H32" s="4" t="s">
        <v>36</v>
      </c>
      <c r="I32" s="4" t="s">
        <v>87</v>
      </c>
      <c r="J32" s="4" t="s">
        <v>88</v>
      </c>
      <c r="K32" s="4" t="str">
        <f t="shared" ca="1" si="1"/>
        <v>Cerrada</v>
      </c>
      <c r="L32" s="8"/>
      <c r="M32" s="8">
        <v>20000</v>
      </c>
      <c r="N32" s="4" t="s">
        <v>197</v>
      </c>
      <c r="O32" s="4" t="s">
        <v>211</v>
      </c>
      <c r="P32" s="4" t="s">
        <v>124</v>
      </c>
      <c r="Q32" s="4" t="s">
        <v>460</v>
      </c>
      <c r="R32" s="4" t="s">
        <v>313</v>
      </c>
      <c r="S32" s="4" t="s">
        <v>365</v>
      </c>
      <c r="T32" s="4" t="s">
        <v>44</v>
      </c>
      <c r="U32" s="4" t="s">
        <v>461</v>
      </c>
      <c r="V32" s="4" t="s">
        <v>462</v>
      </c>
      <c r="W32" s="4" t="s">
        <v>463</v>
      </c>
      <c r="X32" s="4" t="s">
        <v>464</v>
      </c>
      <c r="Y32" s="4" t="s">
        <v>465</v>
      </c>
      <c r="Z32" s="4" t="s">
        <v>371</v>
      </c>
      <c r="AA32" s="4"/>
      <c r="AB32" s="6">
        <v>46220</v>
      </c>
      <c r="AC32" s="4" t="s">
        <v>456</v>
      </c>
      <c r="AD32" s="4" t="s">
        <v>466</v>
      </c>
    </row>
    <row r="33" spans="1:30" ht="71.25">
      <c r="A33" s="3" t="s">
        <v>467</v>
      </c>
      <c r="B33" s="4" t="s">
        <v>54</v>
      </c>
      <c r="C33" s="4" t="s">
        <v>468</v>
      </c>
      <c r="D33" s="4" t="s">
        <v>469</v>
      </c>
      <c r="E33" s="4" t="s">
        <v>470</v>
      </c>
      <c r="F33" s="4" t="s">
        <v>35</v>
      </c>
      <c r="G33" s="6">
        <v>46357</v>
      </c>
      <c r="H33" s="4" t="s">
        <v>36</v>
      </c>
      <c r="I33" s="4" t="s">
        <v>58</v>
      </c>
      <c r="J33" s="4" t="s">
        <v>38</v>
      </c>
      <c r="K33" s="4" t="str">
        <f t="shared" ca="1" si="1"/>
        <v>Abierta</v>
      </c>
      <c r="L33" s="8"/>
      <c r="M33" s="8">
        <v>5000</v>
      </c>
      <c r="N33" s="4" t="s">
        <v>39</v>
      </c>
      <c r="O33" s="4"/>
      <c r="P33" s="4" t="s">
        <v>471</v>
      </c>
      <c r="Q33" s="4" t="s">
        <v>472</v>
      </c>
      <c r="R33" s="4" t="s">
        <v>473</v>
      </c>
      <c r="S33" s="4" t="s">
        <v>44</v>
      </c>
      <c r="T33" s="4" t="s">
        <v>44</v>
      </c>
      <c r="U33" s="4" t="s">
        <v>474</v>
      </c>
      <c r="V33" s="4" t="s">
        <v>475</v>
      </c>
      <c r="W33" s="4" t="s">
        <v>476</v>
      </c>
      <c r="X33" s="4" t="s">
        <v>477</v>
      </c>
      <c r="Y33" s="4" t="s">
        <v>478</v>
      </c>
      <c r="Z33" s="4" t="s">
        <v>479</v>
      </c>
      <c r="AA33" s="4"/>
      <c r="AB33" s="6">
        <v>46220</v>
      </c>
      <c r="AC33" s="4" t="s">
        <v>480</v>
      </c>
      <c r="AD33" s="4" t="s">
        <v>481</v>
      </c>
    </row>
    <row r="34" spans="1:30" ht="71.25">
      <c r="A34" s="3" t="s">
        <v>482</v>
      </c>
      <c r="B34" s="4" t="s">
        <v>54</v>
      </c>
      <c r="C34" s="4" t="s">
        <v>483</v>
      </c>
      <c r="D34" s="4" t="s">
        <v>484</v>
      </c>
      <c r="E34" s="4" t="s">
        <v>470</v>
      </c>
      <c r="F34" s="4" t="s">
        <v>35</v>
      </c>
      <c r="G34" s="6">
        <v>46264</v>
      </c>
      <c r="H34" s="4" t="s">
        <v>36</v>
      </c>
      <c r="I34" s="4" t="s">
        <v>37</v>
      </c>
      <c r="J34" s="4" t="s">
        <v>38</v>
      </c>
      <c r="K34" s="4" t="str">
        <f t="shared" ca="1" si="1"/>
        <v>Vencida</v>
      </c>
      <c r="L34" s="8"/>
      <c r="M34" s="8">
        <v>50000</v>
      </c>
      <c r="N34" s="4" t="s">
        <v>39</v>
      </c>
      <c r="O34" s="4" t="s">
        <v>485</v>
      </c>
      <c r="P34" s="4" t="s">
        <v>124</v>
      </c>
      <c r="Q34" s="4" t="s">
        <v>486</v>
      </c>
      <c r="R34" s="4" t="s">
        <v>487</v>
      </c>
      <c r="S34" s="4" t="s">
        <v>122</v>
      </c>
      <c r="T34" s="4" t="s">
        <v>44</v>
      </c>
      <c r="U34" s="4" t="s">
        <v>488</v>
      </c>
      <c r="V34" s="4" t="s">
        <v>489</v>
      </c>
      <c r="W34" s="4" t="s">
        <v>490</v>
      </c>
      <c r="X34" s="4" t="s">
        <v>491</v>
      </c>
      <c r="Y34" s="4" t="s">
        <v>492</v>
      </c>
      <c r="Z34" s="4" t="s">
        <v>493</v>
      </c>
      <c r="AA34" s="4"/>
      <c r="AB34" s="6">
        <v>46220</v>
      </c>
      <c r="AC34" s="4" t="s">
        <v>494</v>
      </c>
      <c r="AD34" s="4" t="s">
        <v>495</v>
      </c>
    </row>
    <row r="35" spans="1:30" ht="71.25">
      <c r="A35" s="3" t="s">
        <v>496</v>
      </c>
      <c r="B35" s="4" t="s">
        <v>54</v>
      </c>
      <c r="C35" s="4" t="s">
        <v>497</v>
      </c>
      <c r="D35" s="4" t="s">
        <v>498</v>
      </c>
      <c r="E35" s="4" t="s">
        <v>470</v>
      </c>
      <c r="F35" s="4" t="s">
        <v>122</v>
      </c>
      <c r="G35" s="6">
        <v>46295</v>
      </c>
      <c r="H35" s="4" t="s">
        <v>36</v>
      </c>
      <c r="I35" s="4" t="s">
        <v>58</v>
      </c>
      <c r="J35" s="4" t="s">
        <v>38</v>
      </c>
      <c r="K35" s="4" t="str">
        <f t="shared" ca="1" si="1"/>
        <v>Próxima a vencer</v>
      </c>
      <c r="L35" s="8"/>
      <c r="M35" s="8">
        <v>2500</v>
      </c>
      <c r="N35" s="4" t="s">
        <v>197</v>
      </c>
      <c r="O35" s="4" t="s">
        <v>499</v>
      </c>
      <c r="P35" s="4" t="s">
        <v>124</v>
      </c>
      <c r="Q35" s="4" t="s">
        <v>500</v>
      </c>
      <c r="R35" s="4" t="s">
        <v>501</v>
      </c>
      <c r="S35" s="4" t="s">
        <v>122</v>
      </c>
      <c r="T35" s="4" t="s">
        <v>44</v>
      </c>
      <c r="U35" s="4" t="s">
        <v>502</v>
      </c>
      <c r="V35" s="4" t="s">
        <v>503</v>
      </c>
      <c r="W35" s="4" t="s">
        <v>504</v>
      </c>
      <c r="X35" s="4" t="s">
        <v>505</v>
      </c>
      <c r="Y35" s="4" t="s">
        <v>506</v>
      </c>
      <c r="Z35" s="4" t="s">
        <v>507</v>
      </c>
      <c r="AA35" s="4"/>
      <c r="AB35" s="6">
        <v>46220</v>
      </c>
      <c r="AC35" s="4" t="s">
        <v>498</v>
      </c>
      <c r="AD35" s="4" t="s">
        <v>508</v>
      </c>
    </row>
    <row r="36" spans="1:30" ht="71.25">
      <c r="A36" s="3" t="s">
        <v>509</v>
      </c>
      <c r="B36" s="4" t="s">
        <v>54</v>
      </c>
      <c r="C36" s="4" t="s">
        <v>510</v>
      </c>
      <c r="D36" s="4" t="s">
        <v>498</v>
      </c>
      <c r="E36" s="4" t="s">
        <v>470</v>
      </c>
      <c r="F36" s="4" t="s">
        <v>122</v>
      </c>
      <c r="G36" s="6">
        <v>46295</v>
      </c>
      <c r="H36" s="4" t="s">
        <v>36</v>
      </c>
      <c r="I36" s="4" t="s">
        <v>58</v>
      </c>
      <c r="J36" s="4" t="s">
        <v>38</v>
      </c>
      <c r="K36" s="4" t="str">
        <f t="shared" ca="1" si="1"/>
        <v>Próxima a vencer</v>
      </c>
      <c r="L36" s="8"/>
      <c r="M36" s="8">
        <v>10000</v>
      </c>
      <c r="N36" s="4" t="s">
        <v>197</v>
      </c>
      <c r="O36" s="4" t="s">
        <v>326</v>
      </c>
      <c r="P36" s="4" t="s">
        <v>124</v>
      </c>
      <c r="Q36" s="4" t="s">
        <v>511</v>
      </c>
      <c r="R36" s="4" t="s">
        <v>512</v>
      </c>
      <c r="S36" s="4" t="s">
        <v>513</v>
      </c>
      <c r="T36" s="4" t="s">
        <v>44</v>
      </c>
      <c r="U36" s="4" t="s">
        <v>514</v>
      </c>
      <c r="V36" s="4" t="s">
        <v>515</v>
      </c>
      <c r="W36" s="4" t="s">
        <v>516</v>
      </c>
      <c r="X36" s="4" t="s">
        <v>517</v>
      </c>
      <c r="Y36" s="4" t="s">
        <v>518</v>
      </c>
      <c r="Z36" s="4" t="s">
        <v>507</v>
      </c>
      <c r="AA36" s="4"/>
      <c r="AB36" s="6">
        <v>46220</v>
      </c>
      <c r="AC36" s="4" t="s">
        <v>519</v>
      </c>
      <c r="AD36" s="4" t="s">
        <v>520</v>
      </c>
    </row>
    <row r="37" spans="1:30" ht="85.5">
      <c r="A37" s="3" t="s">
        <v>521</v>
      </c>
      <c r="B37" s="4" t="s">
        <v>54</v>
      </c>
      <c r="C37" s="4" t="s">
        <v>522</v>
      </c>
      <c r="D37" s="4" t="s">
        <v>523</v>
      </c>
      <c r="E37" s="4" t="s">
        <v>34</v>
      </c>
      <c r="F37" s="4" t="s">
        <v>140</v>
      </c>
      <c r="G37" s="6"/>
      <c r="H37" s="4" t="s">
        <v>57</v>
      </c>
      <c r="I37" s="4" t="s">
        <v>58</v>
      </c>
      <c r="J37" s="4" t="s">
        <v>38</v>
      </c>
      <c r="K37" s="4" t="str">
        <f t="shared" ca="1" si="1"/>
        <v>Sin fecha</v>
      </c>
      <c r="L37" s="8"/>
      <c r="M37" s="8">
        <v>7000</v>
      </c>
      <c r="N37" s="4" t="s">
        <v>141</v>
      </c>
      <c r="O37" s="4" t="s">
        <v>326</v>
      </c>
      <c r="P37" s="4" t="s">
        <v>124</v>
      </c>
      <c r="Q37" s="4" t="s">
        <v>524</v>
      </c>
      <c r="R37" s="4" t="s">
        <v>525</v>
      </c>
      <c r="S37" s="4" t="s">
        <v>86</v>
      </c>
      <c r="T37" s="4" t="s">
        <v>44</v>
      </c>
      <c r="U37" s="4" t="s">
        <v>526</v>
      </c>
      <c r="V37" s="4" t="s">
        <v>527</v>
      </c>
      <c r="W37" s="4" t="s">
        <v>528</v>
      </c>
      <c r="X37" s="4" t="s">
        <v>529</v>
      </c>
      <c r="Y37" s="4" t="s">
        <v>530</v>
      </c>
      <c r="Z37" s="4" t="s">
        <v>531</v>
      </c>
      <c r="AA37" s="4"/>
      <c r="AB37" s="6">
        <v>46220</v>
      </c>
      <c r="AC37" s="4" t="s">
        <v>523</v>
      </c>
      <c r="AD37" s="4" t="s">
        <v>532</v>
      </c>
    </row>
    <row r="38" spans="1:30" ht="85.5">
      <c r="A38" s="3" t="s">
        <v>533</v>
      </c>
      <c r="B38" s="4" t="s">
        <v>54</v>
      </c>
      <c r="C38" s="4" t="s">
        <v>534</v>
      </c>
      <c r="D38" s="4" t="s">
        <v>535</v>
      </c>
      <c r="E38" s="4" t="s">
        <v>470</v>
      </c>
      <c r="F38" s="4" t="s">
        <v>35</v>
      </c>
      <c r="G38" s="6">
        <v>46094</v>
      </c>
      <c r="H38" s="4" t="s">
        <v>36</v>
      </c>
      <c r="I38" s="4" t="s">
        <v>58</v>
      </c>
      <c r="J38" s="4" t="s">
        <v>88</v>
      </c>
      <c r="K38" s="4" t="str">
        <f t="shared" ca="1" si="1"/>
        <v>Cerrada</v>
      </c>
      <c r="L38" s="8"/>
      <c r="M38" s="8">
        <v>10000</v>
      </c>
      <c r="N38" s="4" t="s">
        <v>39</v>
      </c>
      <c r="O38" s="4" t="s">
        <v>60</v>
      </c>
      <c r="P38" s="4" t="s">
        <v>124</v>
      </c>
      <c r="Q38" s="4" t="s">
        <v>536</v>
      </c>
      <c r="R38" s="4" t="s">
        <v>271</v>
      </c>
      <c r="S38" s="4" t="s">
        <v>122</v>
      </c>
      <c r="T38" s="4" t="s">
        <v>44</v>
      </c>
      <c r="U38" s="4" t="s">
        <v>537</v>
      </c>
      <c r="V38" s="4" t="s">
        <v>538</v>
      </c>
      <c r="W38" s="4" t="s">
        <v>539</v>
      </c>
      <c r="X38" s="4" t="s">
        <v>540</v>
      </c>
      <c r="Y38" s="4" t="s">
        <v>541</v>
      </c>
      <c r="Z38" s="4" t="s">
        <v>542</v>
      </c>
      <c r="AA38" s="4"/>
      <c r="AB38" s="6">
        <v>46220</v>
      </c>
      <c r="AC38" s="4" t="s">
        <v>543</v>
      </c>
      <c r="AD38" s="4" t="s">
        <v>544</v>
      </c>
    </row>
    <row r="39" spans="1:30" ht="128.25" customHeight="1">
      <c r="A39" s="3" t="s">
        <v>545</v>
      </c>
      <c r="B39" s="4" t="s">
        <v>54</v>
      </c>
      <c r="C39" s="4" t="s">
        <v>546</v>
      </c>
      <c r="D39" s="4" t="s">
        <v>547</v>
      </c>
      <c r="E39" s="4" t="s">
        <v>470</v>
      </c>
      <c r="F39" s="4" t="s">
        <v>548</v>
      </c>
      <c r="G39" s="6">
        <v>46142</v>
      </c>
      <c r="H39" s="4" t="s">
        <v>36</v>
      </c>
      <c r="I39" s="4" t="s">
        <v>58</v>
      </c>
      <c r="J39" s="4" t="s">
        <v>88</v>
      </c>
      <c r="K39" s="4" t="str">
        <f t="shared" ca="1" si="1"/>
        <v>Cerrada</v>
      </c>
      <c r="L39" s="8">
        <v>15000</v>
      </c>
      <c r="M39" s="8">
        <v>15000</v>
      </c>
      <c r="N39" s="4" t="s">
        <v>197</v>
      </c>
      <c r="O39" s="4" t="s">
        <v>123</v>
      </c>
      <c r="P39" s="4" t="s">
        <v>185</v>
      </c>
      <c r="Q39" s="4" t="s">
        <v>549</v>
      </c>
      <c r="R39" s="4" t="s">
        <v>271</v>
      </c>
      <c r="S39" s="4" t="s">
        <v>550</v>
      </c>
      <c r="T39" s="4" t="s">
        <v>551</v>
      </c>
      <c r="U39" s="4" t="s">
        <v>552</v>
      </c>
      <c r="V39" s="4" t="s">
        <v>553</v>
      </c>
      <c r="W39" s="4" t="s">
        <v>554</v>
      </c>
      <c r="X39" s="4" t="s">
        <v>555</v>
      </c>
      <c r="Y39" s="4" t="s">
        <v>556</v>
      </c>
      <c r="Z39" s="4" t="s">
        <v>557</v>
      </c>
      <c r="AA39" s="4"/>
      <c r="AB39" s="6">
        <v>46223</v>
      </c>
      <c r="AC39" s="4" t="s">
        <v>547</v>
      </c>
      <c r="AD39" s="4" t="s">
        <v>558</v>
      </c>
    </row>
    <row r="40" spans="1:30" ht="128.25" customHeight="1">
      <c r="A40" s="3" t="s">
        <v>559</v>
      </c>
      <c r="B40" s="4" t="s">
        <v>54</v>
      </c>
      <c r="C40" s="4" t="s">
        <v>560</v>
      </c>
      <c r="D40" s="4" t="s">
        <v>561</v>
      </c>
      <c r="E40" s="4" t="s">
        <v>470</v>
      </c>
      <c r="F40" s="4" t="s">
        <v>35</v>
      </c>
      <c r="G40" s="6">
        <v>46204</v>
      </c>
      <c r="H40" s="4" t="s">
        <v>36</v>
      </c>
      <c r="I40" s="4" t="s">
        <v>58</v>
      </c>
      <c r="J40" s="4" t="s">
        <v>88</v>
      </c>
      <c r="K40" s="4" t="str">
        <f t="shared" ca="1" si="1"/>
        <v>Cerrada</v>
      </c>
      <c r="L40" s="8"/>
      <c r="M40" s="8">
        <v>7000</v>
      </c>
      <c r="N40" s="4" t="s">
        <v>39</v>
      </c>
      <c r="O40" s="4" t="s">
        <v>123</v>
      </c>
      <c r="P40" s="4" t="s">
        <v>124</v>
      </c>
      <c r="Q40" s="4" t="s">
        <v>562</v>
      </c>
      <c r="R40" s="4" t="s">
        <v>271</v>
      </c>
      <c r="S40" s="4" t="s">
        <v>122</v>
      </c>
      <c r="T40" s="4" t="s">
        <v>563</v>
      </c>
      <c r="U40" s="4" t="s">
        <v>564</v>
      </c>
      <c r="V40" s="4" t="s">
        <v>565</v>
      </c>
      <c r="W40" s="4" t="s">
        <v>566</v>
      </c>
      <c r="X40" s="4" t="s">
        <v>567</v>
      </c>
      <c r="Y40" s="4" t="s">
        <v>568</v>
      </c>
      <c r="Z40" s="4" t="s">
        <v>569</v>
      </c>
      <c r="AA40" s="4"/>
      <c r="AB40" s="6">
        <v>46223</v>
      </c>
      <c r="AC40" s="4" t="s">
        <v>561</v>
      </c>
      <c r="AD40" s="4" t="s">
        <v>570</v>
      </c>
    </row>
    <row r="41" spans="1:30" ht="128.25" customHeight="1">
      <c r="A41" s="3" t="s">
        <v>571</v>
      </c>
      <c r="B41" s="4" t="s">
        <v>54</v>
      </c>
      <c r="C41" s="4" t="s">
        <v>572</v>
      </c>
      <c r="D41" s="4" t="s">
        <v>561</v>
      </c>
      <c r="E41" s="4" t="s">
        <v>470</v>
      </c>
      <c r="F41" s="4" t="s">
        <v>35</v>
      </c>
      <c r="G41" s="6">
        <v>46204</v>
      </c>
      <c r="H41" s="4" t="s">
        <v>36</v>
      </c>
      <c r="I41" s="4" t="s">
        <v>58</v>
      </c>
      <c r="J41" s="4" t="s">
        <v>88</v>
      </c>
      <c r="K41" s="4" t="str">
        <f t="shared" ca="1" si="1"/>
        <v>Cerrada</v>
      </c>
      <c r="L41" s="8"/>
      <c r="M41" s="8">
        <v>32500</v>
      </c>
      <c r="N41" s="4" t="s">
        <v>39</v>
      </c>
      <c r="O41" s="4" t="s">
        <v>123</v>
      </c>
      <c r="P41" s="4" t="s">
        <v>124</v>
      </c>
      <c r="Q41" s="4" t="s">
        <v>270</v>
      </c>
      <c r="R41" s="4" t="s">
        <v>379</v>
      </c>
      <c r="S41" s="4" t="s">
        <v>573</v>
      </c>
      <c r="T41" s="4" t="s">
        <v>574</v>
      </c>
      <c r="U41" s="4" t="s">
        <v>575</v>
      </c>
      <c r="V41" s="4" t="s">
        <v>576</v>
      </c>
      <c r="W41" s="4" t="s">
        <v>577</v>
      </c>
      <c r="X41" s="4" t="s">
        <v>578</v>
      </c>
      <c r="Y41" s="4" t="s">
        <v>579</v>
      </c>
      <c r="Z41" s="4" t="s">
        <v>569</v>
      </c>
      <c r="AA41" s="4"/>
      <c r="AB41" s="6">
        <v>46223</v>
      </c>
      <c r="AC41" s="4" t="s">
        <v>561</v>
      </c>
      <c r="AD41" s="4" t="s">
        <v>580</v>
      </c>
    </row>
    <row r="42" spans="1:30" ht="128.25" customHeight="1">
      <c r="A42" s="3" t="s">
        <v>581</v>
      </c>
      <c r="B42" s="4" t="s">
        <v>54</v>
      </c>
      <c r="C42" s="4" t="s">
        <v>582</v>
      </c>
      <c r="D42" s="4" t="s">
        <v>583</v>
      </c>
      <c r="E42" s="4" t="s">
        <v>34</v>
      </c>
      <c r="F42" s="4" t="s">
        <v>122</v>
      </c>
      <c r="G42" s="6">
        <v>46341</v>
      </c>
      <c r="H42" s="4" t="s">
        <v>36</v>
      </c>
      <c r="I42" s="4" t="s">
        <v>58</v>
      </c>
      <c r="J42" s="4" t="s">
        <v>38</v>
      </c>
      <c r="K42" s="4" t="str">
        <f t="shared" ca="1" si="1"/>
        <v>Abierta</v>
      </c>
      <c r="L42" s="8">
        <v>1500</v>
      </c>
      <c r="M42" s="8">
        <v>20000</v>
      </c>
      <c r="N42" s="4" t="s">
        <v>39</v>
      </c>
      <c r="O42" s="4" t="s">
        <v>584</v>
      </c>
      <c r="P42" s="4" t="s">
        <v>185</v>
      </c>
      <c r="Q42" s="4" t="s">
        <v>549</v>
      </c>
      <c r="R42" s="4" t="s">
        <v>271</v>
      </c>
      <c r="S42" s="4" t="s">
        <v>122</v>
      </c>
      <c r="T42" s="4" t="s">
        <v>585</v>
      </c>
      <c r="U42" s="4" t="s">
        <v>586</v>
      </c>
      <c r="V42" s="4" t="s">
        <v>587</v>
      </c>
      <c r="W42" s="4" t="s">
        <v>588</v>
      </c>
      <c r="X42" s="4" t="s">
        <v>589</v>
      </c>
      <c r="Y42" s="4" t="s">
        <v>590</v>
      </c>
      <c r="Z42" s="4" t="s">
        <v>591</v>
      </c>
      <c r="AA42" s="4"/>
      <c r="AB42" s="6">
        <v>46223</v>
      </c>
      <c r="AC42" s="4" t="s">
        <v>592</v>
      </c>
      <c r="AD42" s="4" t="s">
        <v>593</v>
      </c>
    </row>
    <row r="43" spans="1:30" ht="128.25" customHeight="1">
      <c r="A43" s="3" t="s">
        <v>594</v>
      </c>
      <c r="B43" s="4" t="s">
        <v>54</v>
      </c>
      <c r="C43" s="4" t="s">
        <v>595</v>
      </c>
      <c r="D43" s="4" t="s">
        <v>583</v>
      </c>
      <c r="E43" s="4" t="s">
        <v>34</v>
      </c>
      <c r="F43" s="4" t="s">
        <v>122</v>
      </c>
      <c r="G43" s="6">
        <v>46265</v>
      </c>
      <c r="H43" s="4" t="s">
        <v>36</v>
      </c>
      <c r="I43" s="4" t="s">
        <v>87</v>
      </c>
      <c r="J43" s="4" t="s">
        <v>38</v>
      </c>
      <c r="K43" s="4" t="str">
        <f t="shared" ca="1" si="1"/>
        <v>Vencida</v>
      </c>
      <c r="L43" s="8"/>
      <c r="M43" s="8">
        <v>200000</v>
      </c>
      <c r="N43" s="4" t="s">
        <v>39</v>
      </c>
      <c r="O43" s="4" t="s">
        <v>596</v>
      </c>
      <c r="P43" s="4" t="s">
        <v>124</v>
      </c>
      <c r="Q43" s="4" t="s">
        <v>270</v>
      </c>
      <c r="R43" s="4" t="s">
        <v>379</v>
      </c>
      <c r="S43" s="4" t="s">
        <v>122</v>
      </c>
      <c r="T43" s="4" t="s">
        <v>585</v>
      </c>
      <c r="U43" s="4" t="s">
        <v>597</v>
      </c>
      <c r="V43" s="4" t="s">
        <v>598</v>
      </c>
      <c r="W43" s="4" t="s">
        <v>599</v>
      </c>
      <c r="X43" s="4" t="s">
        <v>600</v>
      </c>
      <c r="Y43" s="4" t="s">
        <v>601</v>
      </c>
      <c r="Z43" s="4" t="s">
        <v>602</v>
      </c>
      <c r="AA43" s="4"/>
      <c r="AB43" s="6">
        <v>46223</v>
      </c>
      <c r="AC43" s="4" t="s">
        <v>592</v>
      </c>
      <c r="AD43" s="4" t="s">
        <v>603</v>
      </c>
    </row>
    <row r="44" spans="1:30" ht="85.5">
      <c r="A44" s="3" t="s">
        <v>604</v>
      </c>
      <c r="B44" s="4" t="s">
        <v>54</v>
      </c>
      <c r="C44" s="4" t="s">
        <v>605</v>
      </c>
      <c r="D44" s="4" t="s">
        <v>606</v>
      </c>
      <c r="E44" s="4" t="s">
        <v>139</v>
      </c>
      <c r="F44" s="4" t="s">
        <v>35</v>
      </c>
      <c r="G44" s="6">
        <v>46237</v>
      </c>
      <c r="H44" s="4" t="s">
        <v>36</v>
      </c>
      <c r="I44" s="4" t="s">
        <v>37</v>
      </c>
      <c r="J44" s="4" t="s">
        <v>38</v>
      </c>
      <c r="K44" s="4" t="str">
        <f t="shared" ca="1" si="1"/>
        <v>Vencida</v>
      </c>
      <c r="L44" s="8"/>
      <c r="M44" s="8">
        <v>800000</v>
      </c>
      <c r="N44" s="4" t="s">
        <v>39</v>
      </c>
      <c r="O44" s="4" t="s">
        <v>607</v>
      </c>
      <c r="P44" s="4" t="s">
        <v>124</v>
      </c>
      <c r="Q44" s="4" t="s">
        <v>608</v>
      </c>
      <c r="R44" s="4" t="s">
        <v>609</v>
      </c>
      <c r="S44" s="4" t="s">
        <v>610</v>
      </c>
      <c r="T44" s="4" t="s">
        <v>611</v>
      </c>
      <c r="U44" s="4" t="s">
        <v>612</v>
      </c>
      <c r="V44" s="4" t="s">
        <v>613</v>
      </c>
      <c r="W44" s="4" t="s">
        <v>614</v>
      </c>
      <c r="X44" s="4" t="s">
        <v>615</v>
      </c>
      <c r="Y44" s="4" t="s">
        <v>616</v>
      </c>
      <c r="Z44" s="4" t="s">
        <v>617</v>
      </c>
      <c r="AA44" s="4"/>
      <c r="AB44" s="6">
        <v>46223</v>
      </c>
      <c r="AC44" s="4" t="s">
        <v>618</v>
      </c>
      <c r="AD44" s="4" t="s">
        <v>619</v>
      </c>
    </row>
    <row r="45" spans="1:30" ht="85.5">
      <c r="A45" s="3" t="s">
        <v>620</v>
      </c>
      <c r="B45" s="4" t="s">
        <v>54</v>
      </c>
      <c r="C45" s="4" t="s">
        <v>621</v>
      </c>
      <c r="D45" s="4" t="s">
        <v>622</v>
      </c>
      <c r="E45" s="4" t="s">
        <v>139</v>
      </c>
      <c r="F45" s="4" t="s">
        <v>35</v>
      </c>
      <c r="G45" s="6">
        <v>46226</v>
      </c>
      <c r="H45" s="4" t="s">
        <v>36</v>
      </c>
      <c r="I45" s="4" t="s">
        <v>37</v>
      </c>
      <c r="J45" s="4" t="s">
        <v>38</v>
      </c>
      <c r="K45" s="4" t="str">
        <f t="shared" ca="1" si="1"/>
        <v>Vencida</v>
      </c>
      <c r="L45" s="8"/>
      <c r="M45" s="8">
        <v>3600000</v>
      </c>
      <c r="N45" s="4" t="s">
        <v>39</v>
      </c>
      <c r="O45" s="4" t="s">
        <v>623</v>
      </c>
      <c r="P45" s="4" t="s">
        <v>124</v>
      </c>
      <c r="Q45" s="4" t="s">
        <v>624</v>
      </c>
      <c r="R45" s="4" t="s">
        <v>609</v>
      </c>
      <c r="S45" s="4" t="s">
        <v>610</v>
      </c>
      <c r="T45" s="4" t="s">
        <v>611</v>
      </c>
      <c r="U45" s="4" t="s">
        <v>625</v>
      </c>
      <c r="V45" s="4" t="s">
        <v>626</v>
      </c>
      <c r="W45" s="4" t="s">
        <v>627</v>
      </c>
      <c r="X45" s="4" t="s">
        <v>628</v>
      </c>
      <c r="Y45" s="4" t="s">
        <v>629</v>
      </c>
      <c r="Z45" s="4" t="s">
        <v>630</v>
      </c>
      <c r="AA45" s="4"/>
      <c r="AB45" s="6">
        <v>46223</v>
      </c>
      <c r="AC45" s="4" t="s">
        <v>631</v>
      </c>
      <c r="AD45" s="4" t="s">
        <v>632</v>
      </c>
    </row>
    <row r="46" spans="1:30" ht="71.25">
      <c r="A46" s="3" t="s">
        <v>633</v>
      </c>
      <c r="B46" s="4" t="s">
        <v>54</v>
      </c>
      <c r="C46" s="4" t="s">
        <v>634</v>
      </c>
      <c r="D46" s="4" t="s">
        <v>622</v>
      </c>
      <c r="E46" s="4" t="s">
        <v>139</v>
      </c>
      <c r="F46" s="4" t="s">
        <v>35</v>
      </c>
      <c r="G46" s="6">
        <v>46226</v>
      </c>
      <c r="H46" s="4" t="s">
        <v>36</v>
      </c>
      <c r="I46" s="4" t="s">
        <v>37</v>
      </c>
      <c r="J46" s="4" t="s">
        <v>38</v>
      </c>
      <c r="K46" s="4" t="str">
        <f t="shared" ca="1" si="1"/>
        <v>Vencida</v>
      </c>
      <c r="L46" s="8"/>
      <c r="M46" s="8">
        <v>5600000</v>
      </c>
      <c r="N46" s="4" t="s">
        <v>39</v>
      </c>
      <c r="O46" s="4" t="s">
        <v>211</v>
      </c>
      <c r="P46" s="4" t="s">
        <v>124</v>
      </c>
      <c r="Q46" s="4" t="s">
        <v>635</v>
      </c>
      <c r="R46" s="4" t="s">
        <v>636</v>
      </c>
      <c r="S46" s="4" t="s">
        <v>610</v>
      </c>
      <c r="T46" s="4" t="s">
        <v>611</v>
      </c>
      <c r="U46" s="4" t="s">
        <v>625</v>
      </c>
      <c r="V46" s="4" t="s">
        <v>637</v>
      </c>
      <c r="W46" s="4" t="s">
        <v>638</v>
      </c>
      <c r="X46" s="4" t="s">
        <v>639</v>
      </c>
      <c r="Y46" s="4" t="s">
        <v>640</v>
      </c>
      <c r="Z46" s="4" t="s">
        <v>641</v>
      </c>
      <c r="AA46" s="4"/>
      <c r="AB46" s="6">
        <v>46223</v>
      </c>
      <c r="AC46" s="4" t="s">
        <v>631</v>
      </c>
      <c r="AD46" s="4" t="s">
        <v>642</v>
      </c>
    </row>
    <row r="47" spans="1:30" ht="71.25">
      <c r="A47" s="3" t="s">
        <v>643</v>
      </c>
      <c r="B47" s="4" t="s">
        <v>54</v>
      </c>
      <c r="C47" s="4" t="s">
        <v>644</v>
      </c>
      <c r="D47" s="4" t="s">
        <v>645</v>
      </c>
      <c r="E47" s="4" t="s">
        <v>34</v>
      </c>
      <c r="F47" s="4" t="s">
        <v>35</v>
      </c>
      <c r="G47" s="6">
        <v>46296</v>
      </c>
      <c r="H47" s="4" t="s">
        <v>36</v>
      </c>
      <c r="I47" s="4" t="s">
        <v>58</v>
      </c>
      <c r="J47" s="4" t="s">
        <v>38</v>
      </c>
      <c r="K47" s="4" t="str">
        <f t="shared" ca="1" si="1"/>
        <v>Próxima a vencer</v>
      </c>
      <c r="L47" s="8">
        <v>150000</v>
      </c>
      <c r="M47" s="8">
        <v>150000</v>
      </c>
      <c r="N47" s="4" t="s">
        <v>39</v>
      </c>
      <c r="O47" s="4" t="s">
        <v>123</v>
      </c>
      <c r="P47" s="4" t="s">
        <v>159</v>
      </c>
      <c r="Q47" s="4" t="s">
        <v>549</v>
      </c>
      <c r="R47" s="4" t="s">
        <v>646</v>
      </c>
      <c r="S47" s="4" t="s">
        <v>647</v>
      </c>
      <c r="T47" s="4" t="s">
        <v>648</v>
      </c>
      <c r="U47" s="4" t="s">
        <v>649</v>
      </c>
      <c r="V47" s="4" t="s">
        <v>650</v>
      </c>
      <c r="W47" s="4" t="s">
        <v>651</v>
      </c>
      <c r="X47" s="4" t="s">
        <v>652</v>
      </c>
      <c r="Y47" s="4" t="s">
        <v>653</v>
      </c>
      <c r="Z47" s="4" t="s">
        <v>654</v>
      </c>
      <c r="AA47" s="4"/>
      <c r="AB47" s="6">
        <v>46223</v>
      </c>
      <c r="AC47" s="4" t="s">
        <v>655</v>
      </c>
      <c r="AD47" s="4" t="s">
        <v>656</v>
      </c>
    </row>
    <row r="48" spans="1:30" ht="71.25">
      <c r="A48" s="3" t="s">
        <v>657</v>
      </c>
      <c r="B48" s="4" t="s">
        <v>54</v>
      </c>
      <c r="C48" s="4" t="s">
        <v>658</v>
      </c>
      <c r="D48" s="4" t="s">
        <v>659</v>
      </c>
      <c r="E48" s="4" t="s">
        <v>470</v>
      </c>
      <c r="F48" s="4" t="s">
        <v>660</v>
      </c>
      <c r="G48" s="6">
        <v>46295</v>
      </c>
      <c r="H48" s="4" t="s">
        <v>36</v>
      </c>
      <c r="I48" s="4" t="s">
        <v>87</v>
      </c>
      <c r="J48" s="4" t="s">
        <v>38</v>
      </c>
      <c r="K48" s="4" t="str">
        <f t="shared" ca="1" si="1"/>
        <v>Próxima a vencer</v>
      </c>
      <c r="L48" s="8">
        <v>20000</v>
      </c>
      <c r="M48" s="8">
        <v>20000</v>
      </c>
      <c r="N48" s="4" t="s">
        <v>284</v>
      </c>
      <c r="O48" s="4" t="s">
        <v>60</v>
      </c>
      <c r="P48" s="4" t="s">
        <v>124</v>
      </c>
      <c r="Q48" s="4" t="s">
        <v>661</v>
      </c>
      <c r="R48" s="4" t="s">
        <v>662</v>
      </c>
      <c r="S48" s="4" t="s">
        <v>122</v>
      </c>
      <c r="T48" s="4" t="s">
        <v>663</v>
      </c>
      <c r="U48" s="4" t="s">
        <v>664</v>
      </c>
      <c r="V48" s="4" t="s">
        <v>665</v>
      </c>
      <c r="W48" s="4" t="s">
        <v>666</v>
      </c>
      <c r="X48" s="4" t="s">
        <v>667</v>
      </c>
      <c r="Y48" s="4" t="s">
        <v>668</v>
      </c>
      <c r="Z48" s="4" t="s">
        <v>669</v>
      </c>
      <c r="AA48" s="4"/>
      <c r="AB48" s="6">
        <v>46223</v>
      </c>
      <c r="AC48" s="4" t="s">
        <v>659</v>
      </c>
      <c r="AD48" s="4" t="s">
        <v>670</v>
      </c>
    </row>
    <row r="49" spans="1:30" ht="71.25">
      <c r="A49" s="3" t="s">
        <v>671</v>
      </c>
      <c r="B49" s="4" t="s">
        <v>54</v>
      </c>
      <c r="C49" s="4" t="s">
        <v>672</v>
      </c>
      <c r="D49" s="4" t="s">
        <v>673</v>
      </c>
      <c r="E49" s="4" t="s">
        <v>139</v>
      </c>
      <c r="F49" s="4" t="s">
        <v>35</v>
      </c>
      <c r="G49" s="6">
        <v>46311</v>
      </c>
      <c r="H49" s="4" t="s">
        <v>36</v>
      </c>
      <c r="I49" s="4" t="s">
        <v>87</v>
      </c>
      <c r="J49" s="4" t="s">
        <v>38</v>
      </c>
      <c r="K49" s="4" t="str">
        <f t="shared" ca="1" si="1"/>
        <v>Abierta</v>
      </c>
      <c r="L49" s="8"/>
      <c r="M49" s="8">
        <v>100000</v>
      </c>
      <c r="N49" s="4" t="s">
        <v>39</v>
      </c>
      <c r="O49" s="4" t="s">
        <v>123</v>
      </c>
      <c r="P49" s="4" t="s">
        <v>142</v>
      </c>
      <c r="Q49" s="4" t="s">
        <v>674</v>
      </c>
      <c r="R49" s="4" t="s">
        <v>675</v>
      </c>
      <c r="S49" s="4" t="s">
        <v>610</v>
      </c>
      <c r="T49" s="4" t="s">
        <v>676</v>
      </c>
      <c r="U49" s="4" t="s">
        <v>677</v>
      </c>
      <c r="V49" s="4" t="s">
        <v>678</v>
      </c>
      <c r="W49" s="4" t="s">
        <v>679</v>
      </c>
      <c r="X49" s="4" t="s">
        <v>680</v>
      </c>
      <c r="Y49" s="4" t="s">
        <v>681</v>
      </c>
      <c r="Z49" s="4" t="s">
        <v>682</v>
      </c>
      <c r="AA49" s="4"/>
      <c r="AB49" s="6">
        <v>46223</v>
      </c>
      <c r="AC49" s="4" t="s">
        <v>683</v>
      </c>
      <c r="AD49" s="4" t="s">
        <v>684</v>
      </c>
    </row>
    <row r="50" spans="1:30" ht="85.5">
      <c r="A50" s="3" t="s">
        <v>685</v>
      </c>
      <c r="B50" s="4" t="s">
        <v>54</v>
      </c>
      <c r="C50" s="4" t="s">
        <v>686</v>
      </c>
      <c r="D50" s="4" t="s">
        <v>687</v>
      </c>
      <c r="E50" s="4" t="s">
        <v>34</v>
      </c>
      <c r="F50" s="4" t="s">
        <v>140</v>
      </c>
      <c r="G50" s="6">
        <v>46287</v>
      </c>
      <c r="H50" s="4" t="s">
        <v>36</v>
      </c>
      <c r="I50" s="4" t="s">
        <v>87</v>
      </c>
      <c r="J50" s="4" t="s">
        <v>38</v>
      </c>
      <c r="K50" s="4" t="str">
        <f t="shared" ca="1" si="1"/>
        <v>Próxima a vencer</v>
      </c>
      <c r="L50" s="8"/>
      <c r="M50" s="8"/>
      <c r="N50" s="4" t="s">
        <v>141</v>
      </c>
      <c r="O50" s="4" t="s">
        <v>688</v>
      </c>
      <c r="P50" s="4" t="s">
        <v>142</v>
      </c>
      <c r="Q50" s="4" t="s">
        <v>689</v>
      </c>
      <c r="R50" s="4" t="s">
        <v>690</v>
      </c>
      <c r="S50" s="4" t="s">
        <v>691</v>
      </c>
      <c r="T50" s="4" t="s">
        <v>692</v>
      </c>
      <c r="U50" s="4" t="s">
        <v>693</v>
      </c>
      <c r="V50" s="4" t="s">
        <v>694</v>
      </c>
      <c r="W50" s="4" t="s">
        <v>695</v>
      </c>
      <c r="X50" s="4" t="s">
        <v>696</v>
      </c>
      <c r="Y50" s="4" t="s">
        <v>697</v>
      </c>
      <c r="Z50" s="4" t="s">
        <v>698</v>
      </c>
      <c r="AA50" s="4"/>
      <c r="AB50" s="6">
        <v>46223</v>
      </c>
      <c r="AC50" s="4" t="s">
        <v>687</v>
      </c>
      <c r="AD50" s="4"/>
    </row>
    <row r="51" spans="1:30" ht="85.5">
      <c r="A51" s="3" t="s">
        <v>699</v>
      </c>
      <c r="B51" s="4" t="s">
        <v>54</v>
      </c>
      <c r="C51" s="4" t="s">
        <v>700</v>
      </c>
      <c r="D51" s="4" t="s">
        <v>701</v>
      </c>
      <c r="E51" s="4" t="s">
        <v>34</v>
      </c>
      <c r="F51" s="4" t="s">
        <v>702</v>
      </c>
      <c r="G51" s="6">
        <v>46418</v>
      </c>
      <c r="H51" s="4" t="s">
        <v>36</v>
      </c>
      <c r="I51" s="4" t="s">
        <v>58</v>
      </c>
      <c r="J51" s="4" t="s">
        <v>38</v>
      </c>
      <c r="K51" s="4" t="str">
        <f t="shared" ca="1" si="1"/>
        <v>Abierta</v>
      </c>
      <c r="L51" s="8">
        <v>32000</v>
      </c>
      <c r="M51" s="8">
        <v>32000</v>
      </c>
      <c r="N51" s="4" t="s">
        <v>197</v>
      </c>
      <c r="O51" s="4" t="s">
        <v>60</v>
      </c>
      <c r="P51" s="4" t="s">
        <v>159</v>
      </c>
      <c r="Q51" s="4" t="s">
        <v>703</v>
      </c>
      <c r="R51" s="4" t="s">
        <v>704</v>
      </c>
      <c r="S51" s="4" t="s">
        <v>122</v>
      </c>
      <c r="T51" s="4" t="s">
        <v>705</v>
      </c>
      <c r="U51" s="4" t="s">
        <v>706</v>
      </c>
      <c r="V51" s="4" t="s">
        <v>707</v>
      </c>
      <c r="W51" s="4" t="s">
        <v>708</v>
      </c>
      <c r="X51" s="4" t="s">
        <v>709</v>
      </c>
      <c r="Y51" s="4" t="s">
        <v>710</v>
      </c>
      <c r="Z51" s="4" t="s">
        <v>711</v>
      </c>
      <c r="AA51" s="4"/>
      <c r="AB51" s="6">
        <v>46223</v>
      </c>
      <c r="AC51" s="4" t="s">
        <v>712</v>
      </c>
      <c r="AD51" s="4" t="s">
        <v>713</v>
      </c>
    </row>
    <row r="52" spans="1:30" ht="85.5">
      <c r="A52" s="3" t="s">
        <v>714</v>
      </c>
      <c r="B52" s="4" t="s">
        <v>54</v>
      </c>
      <c r="C52" s="4" t="s">
        <v>715</v>
      </c>
      <c r="D52" s="4" t="s">
        <v>716</v>
      </c>
      <c r="E52" s="4" t="s">
        <v>139</v>
      </c>
      <c r="F52" s="4" t="s">
        <v>140</v>
      </c>
      <c r="G52" s="6">
        <v>46223</v>
      </c>
      <c r="H52" s="4" t="s">
        <v>36</v>
      </c>
      <c r="I52" s="4" t="s">
        <v>377</v>
      </c>
      <c r="J52" s="4" t="s">
        <v>38</v>
      </c>
      <c r="K52" s="4" t="str">
        <f t="shared" ca="1" si="1"/>
        <v>Vencida</v>
      </c>
      <c r="L52" s="8">
        <v>200000</v>
      </c>
      <c r="M52" s="8">
        <v>1000000</v>
      </c>
      <c r="N52" s="4" t="s">
        <v>141</v>
      </c>
      <c r="O52" s="4" t="s">
        <v>717</v>
      </c>
      <c r="P52" s="4" t="s">
        <v>142</v>
      </c>
      <c r="Q52" s="4" t="s">
        <v>718</v>
      </c>
      <c r="R52" s="4" t="s">
        <v>719</v>
      </c>
      <c r="S52" s="4" t="s">
        <v>720</v>
      </c>
      <c r="T52" s="4" t="s">
        <v>44</v>
      </c>
      <c r="U52" s="4" t="s">
        <v>721</v>
      </c>
      <c r="V52" s="4" t="s">
        <v>722</v>
      </c>
      <c r="W52" s="4" t="s">
        <v>723</v>
      </c>
      <c r="X52" s="4" t="s">
        <v>724</v>
      </c>
      <c r="Y52" s="4" t="s">
        <v>725</v>
      </c>
      <c r="Z52" s="4" t="s">
        <v>726</v>
      </c>
      <c r="AA52" s="4" t="s">
        <v>727</v>
      </c>
      <c r="AB52" s="6">
        <v>46223</v>
      </c>
      <c r="AC52" s="4" t="s">
        <v>728</v>
      </c>
      <c r="AD52" s="4" t="s">
        <v>729</v>
      </c>
    </row>
    <row r="53" spans="1:30" ht="71.25">
      <c r="A53" s="3" t="s">
        <v>730</v>
      </c>
      <c r="B53" s="4" t="s">
        <v>54</v>
      </c>
      <c r="C53" s="4" t="s">
        <v>731</v>
      </c>
      <c r="D53" s="4" t="s">
        <v>716</v>
      </c>
      <c r="E53" s="4" t="s">
        <v>139</v>
      </c>
      <c r="F53" s="4" t="s">
        <v>140</v>
      </c>
      <c r="G53" s="6">
        <v>46265</v>
      </c>
      <c r="H53" s="4" t="s">
        <v>36</v>
      </c>
      <c r="I53" s="4" t="s">
        <v>87</v>
      </c>
      <c r="J53" s="4" t="s">
        <v>38</v>
      </c>
      <c r="K53" s="4" t="str">
        <f t="shared" ca="1" si="1"/>
        <v>Vencida</v>
      </c>
      <c r="L53" s="8">
        <v>75000</v>
      </c>
      <c r="M53" s="8">
        <v>250000</v>
      </c>
      <c r="N53" s="4" t="s">
        <v>141</v>
      </c>
      <c r="O53" s="4" t="s">
        <v>437</v>
      </c>
      <c r="P53" s="4" t="s">
        <v>732</v>
      </c>
      <c r="Q53" s="4" t="s">
        <v>733</v>
      </c>
      <c r="R53" s="4" t="s">
        <v>734</v>
      </c>
      <c r="S53" s="4" t="s">
        <v>720</v>
      </c>
      <c r="T53" s="4" t="s">
        <v>44</v>
      </c>
      <c r="U53" s="4" t="s">
        <v>735</v>
      </c>
      <c r="V53" s="4" t="s">
        <v>736</v>
      </c>
      <c r="W53" s="4" t="s">
        <v>737</v>
      </c>
      <c r="X53" s="4" t="s">
        <v>738</v>
      </c>
      <c r="Y53" s="4" t="s">
        <v>739</v>
      </c>
      <c r="Z53" s="4" t="s">
        <v>740</v>
      </c>
      <c r="AA53" s="4"/>
      <c r="AB53" s="6">
        <v>46223</v>
      </c>
      <c r="AC53" s="4" t="s">
        <v>728</v>
      </c>
      <c r="AD53" s="4" t="s">
        <v>741</v>
      </c>
    </row>
    <row r="54" spans="1:30" ht="85.5">
      <c r="A54" s="3" t="s">
        <v>742</v>
      </c>
      <c r="B54" s="4" t="s">
        <v>54</v>
      </c>
      <c r="C54" s="4" t="s">
        <v>743</v>
      </c>
      <c r="D54" s="4" t="s">
        <v>744</v>
      </c>
      <c r="E54" s="4" t="s">
        <v>34</v>
      </c>
      <c r="F54" s="4" t="s">
        <v>35</v>
      </c>
      <c r="G54" s="6">
        <v>46378</v>
      </c>
      <c r="H54" s="4" t="s">
        <v>36</v>
      </c>
      <c r="I54" s="4" t="s">
        <v>37</v>
      </c>
      <c r="J54" s="4" t="s">
        <v>226</v>
      </c>
      <c r="K54" s="4" t="str">
        <f t="shared" ca="1" si="1"/>
        <v>Pendiente Apertura</v>
      </c>
      <c r="L54" s="8"/>
      <c r="M54" s="8"/>
      <c r="N54" s="4" t="s">
        <v>39</v>
      </c>
      <c r="O54" s="4" t="s">
        <v>123</v>
      </c>
      <c r="P54" s="4" t="s">
        <v>142</v>
      </c>
      <c r="Q54" s="4" t="s">
        <v>745</v>
      </c>
      <c r="R54" s="4" t="s">
        <v>746</v>
      </c>
      <c r="S54" s="4" t="s">
        <v>747</v>
      </c>
      <c r="T54" s="4" t="s">
        <v>44</v>
      </c>
      <c r="U54" s="4" t="s">
        <v>748</v>
      </c>
      <c r="V54" s="4" t="s">
        <v>749</v>
      </c>
      <c r="W54" s="4" t="s">
        <v>750</v>
      </c>
      <c r="X54" s="4" t="s">
        <v>751</v>
      </c>
      <c r="Y54" s="4" t="s">
        <v>752</v>
      </c>
      <c r="Z54" s="4" t="s">
        <v>753</v>
      </c>
      <c r="AA54" s="4"/>
      <c r="AB54" s="6">
        <v>46223</v>
      </c>
      <c r="AC54" s="4" t="s">
        <v>754</v>
      </c>
      <c r="AD54" s="4"/>
    </row>
    <row r="55" spans="1:30" ht="71.25">
      <c r="A55" s="3" t="s">
        <v>755</v>
      </c>
      <c r="B55" s="4" t="s">
        <v>54</v>
      </c>
      <c r="C55" s="4" t="s">
        <v>756</v>
      </c>
      <c r="D55" s="4" t="s">
        <v>757</v>
      </c>
      <c r="E55" s="4" t="s">
        <v>139</v>
      </c>
      <c r="F55" s="4" t="s">
        <v>35</v>
      </c>
      <c r="G55" s="6">
        <v>46295</v>
      </c>
      <c r="H55" s="4" t="s">
        <v>36</v>
      </c>
      <c r="I55" s="4" t="s">
        <v>87</v>
      </c>
      <c r="J55" s="4" t="s">
        <v>38</v>
      </c>
      <c r="K55" s="4" t="str">
        <f t="shared" ca="1" si="1"/>
        <v>Próxima a vencer</v>
      </c>
      <c r="L55" s="8"/>
      <c r="M55" s="8"/>
      <c r="N55" s="4" t="s">
        <v>39</v>
      </c>
      <c r="O55" s="4" t="s">
        <v>326</v>
      </c>
      <c r="P55" s="4" t="s">
        <v>142</v>
      </c>
      <c r="Q55" s="4" t="s">
        <v>758</v>
      </c>
      <c r="R55" s="4" t="s">
        <v>759</v>
      </c>
      <c r="S55" s="4" t="s">
        <v>610</v>
      </c>
      <c r="T55" s="4" t="s">
        <v>44</v>
      </c>
      <c r="U55" s="4" t="s">
        <v>760</v>
      </c>
      <c r="V55" s="4" t="s">
        <v>761</v>
      </c>
      <c r="W55" s="4" t="s">
        <v>762</v>
      </c>
      <c r="X55" s="4" t="s">
        <v>763</v>
      </c>
      <c r="Y55" s="4" t="s">
        <v>764</v>
      </c>
      <c r="Z55" s="4" t="s">
        <v>765</v>
      </c>
      <c r="AA55" s="4" t="s">
        <v>766</v>
      </c>
      <c r="AB55" s="6">
        <v>46223</v>
      </c>
      <c r="AC55" s="4" t="s">
        <v>767</v>
      </c>
      <c r="AD55" s="4" t="s">
        <v>768</v>
      </c>
    </row>
    <row r="56" spans="1:30" ht="114">
      <c r="A56" s="3" t="s">
        <v>769</v>
      </c>
      <c r="B56" s="4" t="s">
        <v>54</v>
      </c>
      <c r="C56" s="4" t="s">
        <v>770</v>
      </c>
      <c r="D56" s="4" t="s">
        <v>771</v>
      </c>
      <c r="E56" s="4" t="s">
        <v>34</v>
      </c>
      <c r="F56" s="4" t="s">
        <v>702</v>
      </c>
      <c r="G56" s="6"/>
      <c r="H56" s="4" t="s">
        <v>57</v>
      </c>
      <c r="I56" s="4" t="s">
        <v>37</v>
      </c>
      <c r="J56" s="4" t="s">
        <v>38</v>
      </c>
      <c r="K56" s="4" t="str">
        <f t="shared" ca="1" si="1"/>
        <v>Sin fecha</v>
      </c>
      <c r="L56" s="8"/>
      <c r="M56" s="8">
        <v>300000</v>
      </c>
      <c r="N56" s="4" t="s">
        <v>39</v>
      </c>
      <c r="O56" s="4" t="s">
        <v>437</v>
      </c>
      <c r="P56" s="4" t="s">
        <v>124</v>
      </c>
      <c r="Q56" s="4" t="s">
        <v>549</v>
      </c>
      <c r="R56" s="4" t="s">
        <v>379</v>
      </c>
      <c r="S56" s="4" t="s">
        <v>772</v>
      </c>
      <c r="T56" s="4" t="s">
        <v>44</v>
      </c>
      <c r="U56" s="4" t="s">
        <v>773</v>
      </c>
      <c r="V56" s="4" t="s">
        <v>774</v>
      </c>
      <c r="W56" s="4" t="s">
        <v>775</v>
      </c>
      <c r="X56" s="4" t="s">
        <v>776</v>
      </c>
      <c r="Y56" s="4" t="s">
        <v>777</v>
      </c>
      <c r="Z56" s="4" t="s">
        <v>778</v>
      </c>
      <c r="AA56" s="4"/>
      <c r="AB56" s="6">
        <v>46223</v>
      </c>
      <c r="AC56" s="4" t="s">
        <v>779</v>
      </c>
      <c r="AD56" s="4" t="s">
        <v>780</v>
      </c>
    </row>
    <row r="57" spans="1:30" ht="85.5">
      <c r="A57" s="3" t="s">
        <v>781</v>
      </c>
      <c r="B57" s="4" t="s">
        <v>54</v>
      </c>
      <c r="C57" s="4" t="s">
        <v>782</v>
      </c>
      <c r="D57" s="4" t="s">
        <v>783</v>
      </c>
      <c r="E57" s="4" t="s">
        <v>34</v>
      </c>
      <c r="F57" s="4" t="s">
        <v>122</v>
      </c>
      <c r="G57" s="6">
        <v>46371</v>
      </c>
      <c r="H57" s="4" t="s">
        <v>283</v>
      </c>
      <c r="I57" s="4" t="s">
        <v>58</v>
      </c>
      <c r="J57" s="4" t="s">
        <v>226</v>
      </c>
      <c r="K57" s="4" t="str">
        <f t="shared" ca="1" si="1"/>
        <v>Pendiente Apertura</v>
      </c>
      <c r="L57" s="8">
        <v>25000</v>
      </c>
      <c r="M57" s="8">
        <v>250000</v>
      </c>
      <c r="N57" s="4" t="s">
        <v>39</v>
      </c>
      <c r="O57" s="4" t="s">
        <v>784</v>
      </c>
      <c r="P57" s="4" t="s">
        <v>242</v>
      </c>
      <c r="Q57" s="4" t="s">
        <v>549</v>
      </c>
      <c r="R57" s="4" t="s">
        <v>379</v>
      </c>
      <c r="S57" s="4" t="s">
        <v>785</v>
      </c>
      <c r="T57" s="4" t="s">
        <v>44</v>
      </c>
      <c r="U57" s="4" t="s">
        <v>786</v>
      </c>
      <c r="V57" s="4" t="s">
        <v>787</v>
      </c>
      <c r="W57" s="4" t="s">
        <v>788</v>
      </c>
      <c r="X57" s="4" t="s">
        <v>789</v>
      </c>
      <c r="Y57" s="4" t="s">
        <v>790</v>
      </c>
      <c r="Z57" s="4" t="s">
        <v>791</v>
      </c>
      <c r="AA57" s="4"/>
      <c r="AB57" s="6">
        <v>46223</v>
      </c>
      <c r="AC57" s="4" t="s">
        <v>792</v>
      </c>
      <c r="AD57" s="4" t="s">
        <v>793</v>
      </c>
    </row>
    <row r="58" spans="1:30" ht="99.75">
      <c r="A58" s="3" t="s">
        <v>794</v>
      </c>
      <c r="B58" s="4" t="s">
        <v>54</v>
      </c>
      <c r="C58" s="4" t="s">
        <v>795</v>
      </c>
      <c r="D58" s="4" t="s">
        <v>796</v>
      </c>
      <c r="E58" s="4" t="s">
        <v>470</v>
      </c>
      <c r="F58" s="4" t="s">
        <v>35</v>
      </c>
      <c r="G58" s="6">
        <v>46307</v>
      </c>
      <c r="H58" s="4" t="s">
        <v>36</v>
      </c>
      <c r="I58" s="4" t="s">
        <v>58</v>
      </c>
      <c r="J58" s="4" t="s">
        <v>38</v>
      </c>
      <c r="K58" s="4" t="str">
        <f t="shared" ca="1" si="1"/>
        <v>Abierta</v>
      </c>
      <c r="L58" s="8"/>
      <c r="M58" s="8">
        <v>2500</v>
      </c>
      <c r="N58" s="4" t="s">
        <v>39</v>
      </c>
      <c r="O58" s="4" t="s">
        <v>797</v>
      </c>
      <c r="P58" s="4" t="s">
        <v>185</v>
      </c>
      <c r="Q58" s="4" t="s">
        <v>549</v>
      </c>
      <c r="R58" s="4" t="s">
        <v>271</v>
      </c>
      <c r="S58" s="4" t="s">
        <v>122</v>
      </c>
      <c r="T58" s="4" t="s">
        <v>798</v>
      </c>
      <c r="U58" s="4" t="s">
        <v>799</v>
      </c>
      <c r="V58" s="4" t="s">
        <v>800</v>
      </c>
      <c r="W58" s="4" t="s">
        <v>801</v>
      </c>
      <c r="X58" s="4" t="s">
        <v>802</v>
      </c>
      <c r="Y58" s="4" t="s">
        <v>803</v>
      </c>
      <c r="Z58" s="4" t="s">
        <v>804</v>
      </c>
      <c r="AA58" s="4" t="s">
        <v>805</v>
      </c>
      <c r="AB58" s="6">
        <v>46223</v>
      </c>
      <c r="AC58" s="4" t="s">
        <v>806</v>
      </c>
      <c r="AD58" s="4" t="s">
        <v>807</v>
      </c>
    </row>
    <row r="59" spans="1:30" ht="99.75">
      <c r="A59" s="3" t="s">
        <v>808</v>
      </c>
      <c r="B59" s="4" t="s">
        <v>54</v>
      </c>
      <c r="C59" s="4" t="s">
        <v>809</v>
      </c>
      <c r="D59" s="4" t="s">
        <v>796</v>
      </c>
      <c r="E59" s="4" t="s">
        <v>470</v>
      </c>
      <c r="F59" s="4" t="s">
        <v>35</v>
      </c>
      <c r="G59" s="6">
        <v>46307</v>
      </c>
      <c r="H59" s="4" t="s">
        <v>36</v>
      </c>
      <c r="I59" s="4" t="s">
        <v>58</v>
      </c>
      <c r="J59" s="4" t="s">
        <v>38</v>
      </c>
      <c r="K59" s="4" t="str">
        <f t="shared" ca="1" si="1"/>
        <v>Abierta</v>
      </c>
      <c r="L59" s="8"/>
      <c r="M59" s="8">
        <v>2000</v>
      </c>
      <c r="N59" s="4" t="s">
        <v>39</v>
      </c>
      <c r="O59" s="4" t="s">
        <v>326</v>
      </c>
      <c r="P59" s="4" t="s">
        <v>185</v>
      </c>
      <c r="Q59" s="4" t="s">
        <v>562</v>
      </c>
      <c r="R59" s="4" t="s">
        <v>271</v>
      </c>
      <c r="S59" s="4" t="s">
        <v>122</v>
      </c>
      <c r="T59" s="4" t="s">
        <v>798</v>
      </c>
      <c r="U59" s="4" t="s">
        <v>810</v>
      </c>
      <c r="V59" s="4" t="s">
        <v>811</v>
      </c>
      <c r="W59" s="4" t="s">
        <v>812</v>
      </c>
      <c r="X59" s="4" t="s">
        <v>813</v>
      </c>
      <c r="Y59" s="4" t="s">
        <v>814</v>
      </c>
      <c r="Z59" s="4" t="s">
        <v>815</v>
      </c>
      <c r="AA59" s="4"/>
      <c r="AB59" s="6">
        <v>46223</v>
      </c>
      <c r="AC59" s="4" t="s">
        <v>806</v>
      </c>
      <c r="AD59" s="4" t="s">
        <v>816</v>
      </c>
    </row>
    <row r="60" spans="1:30" ht="85.5">
      <c r="A60" s="3" t="s">
        <v>817</v>
      </c>
      <c r="B60" s="4" t="s">
        <v>54</v>
      </c>
      <c r="C60" s="4" t="s">
        <v>818</v>
      </c>
      <c r="D60" s="4" t="s">
        <v>819</v>
      </c>
      <c r="E60" s="4" t="s">
        <v>34</v>
      </c>
      <c r="F60" s="4" t="s">
        <v>820</v>
      </c>
      <c r="G60" s="6"/>
      <c r="H60" s="4" t="s">
        <v>57</v>
      </c>
      <c r="I60" s="4" t="s">
        <v>158</v>
      </c>
      <c r="J60" s="4" t="s">
        <v>38</v>
      </c>
      <c r="K60" s="4" t="str">
        <f t="shared" ca="1" si="1"/>
        <v>Sin fecha</v>
      </c>
      <c r="L60" s="8">
        <v>150000</v>
      </c>
      <c r="M60" s="8">
        <v>1500000</v>
      </c>
      <c r="N60" s="4" t="s">
        <v>39</v>
      </c>
      <c r="O60" s="4" t="s">
        <v>821</v>
      </c>
      <c r="P60" s="4" t="s">
        <v>471</v>
      </c>
      <c r="Q60" s="4" t="s">
        <v>821</v>
      </c>
      <c r="R60" s="4" t="s">
        <v>379</v>
      </c>
      <c r="S60" s="4" t="s">
        <v>122</v>
      </c>
      <c r="T60" s="4" t="s">
        <v>44</v>
      </c>
      <c r="U60" s="4" t="s">
        <v>822</v>
      </c>
      <c r="V60" s="4" t="s">
        <v>823</v>
      </c>
      <c r="W60" s="4" t="s">
        <v>824</v>
      </c>
      <c r="X60" s="4" t="s">
        <v>825</v>
      </c>
      <c r="Y60" s="4" t="s">
        <v>826</v>
      </c>
      <c r="Z60" s="4" t="s">
        <v>827</v>
      </c>
      <c r="AA60" s="4"/>
      <c r="AB60" s="6">
        <v>46223</v>
      </c>
      <c r="AC60" s="4" t="s">
        <v>819</v>
      </c>
      <c r="AD60" s="4" t="s">
        <v>828</v>
      </c>
    </row>
    <row r="61" spans="1:30" ht="85.5">
      <c r="A61" s="3" t="s">
        <v>829</v>
      </c>
      <c r="B61" s="4" t="s">
        <v>54</v>
      </c>
      <c r="C61" s="4" t="s">
        <v>830</v>
      </c>
      <c r="D61" s="4" t="s">
        <v>831</v>
      </c>
      <c r="E61" s="4" t="s">
        <v>470</v>
      </c>
      <c r="F61" s="4" t="s">
        <v>35</v>
      </c>
      <c r="G61" s="6">
        <v>46063</v>
      </c>
      <c r="H61" s="4" t="s">
        <v>36</v>
      </c>
      <c r="I61" s="4" t="s">
        <v>158</v>
      </c>
      <c r="J61" s="4" t="s">
        <v>88</v>
      </c>
      <c r="K61" s="4" t="str">
        <f t="shared" ca="1" si="1"/>
        <v>Cerrada</v>
      </c>
      <c r="L61" s="8"/>
      <c r="M61" s="8"/>
      <c r="N61" s="4" t="s">
        <v>39</v>
      </c>
      <c r="O61" s="4" t="s">
        <v>821</v>
      </c>
      <c r="P61" s="4" t="s">
        <v>471</v>
      </c>
      <c r="Q61" s="4" t="s">
        <v>821</v>
      </c>
      <c r="R61" s="4" t="s">
        <v>271</v>
      </c>
      <c r="S61" s="4" t="s">
        <v>122</v>
      </c>
      <c r="T61" s="4" t="s">
        <v>832</v>
      </c>
      <c r="U61" s="4" t="s">
        <v>833</v>
      </c>
      <c r="V61" s="4" t="s">
        <v>834</v>
      </c>
      <c r="W61" s="4" t="s">
        <v>835</v>
      </c>
      <c r="X61" s="4" t="s">
        <v>836</v>
      </c>
      <c r="Y61" s="4"/>
      <c r="Z61" s="4" t="s">
        <v>837</v>
      </c>
      <c r="AA61" s="4" t="s">
        <v>838</v>
      </c>
      <c r="AB61" s="6">
        <v>46223</v>
      </c>
      <c r="AC61" s="4" t="s">
        <v>831</v>
      </c>
      <c r="AD61" s="4" t="s">
        <v>839</v>
      </c>
    </row>
    <row r="62" spans="1:30" ht="71.25">
      <c r="A62" s="3" t="s">
        <v>840</v>
      </c>
      <c r="B62" s="4" t="s">
        <v>54</v>
      </c>
      <c r="C62" s="4" t="s">
        <v>841</v>
      </c>
      <c r="D62" s="4" t="s">
        <v>842</v>
      </c>
      <c r="E62" s="4" t="s">
        <v>34</v>
      </c>
      <c r="F62" s="4" t="s">
        <v>35</v>
      </c>
      <c r="G62" s="6">
        <v>46351</v>
      </c>
      <c r="H62" s="4" t="s">
        <v>36</v>
      </c>
      <c r="I62" s="4" t="s">
        <v>58</v>
      </c>
      <c r="J62" s="4" t="s">
        <v>226</v>
      </c>
      <c r="K62" s="4" t="str">
        <f t="shared" ca="1" si="1"/>
        <v>Pendiente Apertura</v>
      </c>
      <c r="L62" s="8"/>
      <c r="M62" s="8">
        <v>5500</v>
      </c>
      <c r="N62" s="4" t="s">
        <v>39</v>
      </c>
      <c r="O62" s="4" t="s">
        <v>843</v>
      </c>
      <c r="P62" s="4" t="s">
        <v>185</v>
      </c>
      <c r="Q62" s="4" t="s">
        <v>844</v>
      </c>
      <c r="R62" s="4" t="s">
        <v>845</v>
      </c>
      <c r="S62" s="4" t="s">
        <v>846</v>
      </c>
      <c r="T62" s="4" t="s">
        <v>288</v>
      </c>
      <c r="U62" s="4" t="s">
        <v>847</v>
      </c>
      <c r="V62" s="4" t="s">
        <v>848</v>
      </c>
      <c r="W62" s="4" t="s">
        <v>849</v>
      </c>
      <c r="X62" s="4" t="s">
        <v>850</v>
      </c>
      <c r="Y62" s="4" t="s">
        <v>851</v>
      </c>
      <c r="Z62" s="4" t="s">
        <v>852</v>
      </c>
      <c r="AA62" s="4"/>
      <c r="AB62" s="6">
        <v>46223</v>
      </c>
      <c r="AC62" s="4" t="s">
        <v>853</v>
      </c>
      <c r="AD62" s="4" t="s">
        <v>854</v>
      </c>
    </row>
    <row r="63" spans="1:30" ht="71.25">
      <c r="A63" s="3" t="s">
        <v>855</v>
      </c>
      <c r="B63" s="4" t="s">
        <v>54</v>
      </c>
      <c r="C63" s="4" t="s">
        <v>856</v>
      </c>
      <c r="D63" s="4" t="s">
        <v>842</v>
      </c>
      <c r="E63" s="4" t="s">
        <v>34</v>
      </c>
      <c r="F63" s="4" t="s">
        <v>35</v>
      </c>
      <c r="G63" s="6">
        <v>46295</v>
      </c>
      <c r="H63" s="4" t="s">
        <v>36</v>
      </c>
      <c r="I63" s="4" t="s">
        <v>377</v>
      </c>
      <c r="J63" s="4" t="s">
        <v>226</v>
      </c>
      <c r="K63" s="4" t="str">
        <f t="shared" ca="1" si="1"/>
        <v>Pendiente Apertura</v>
      </c>
      <c r="L63" s="8"/>
      <c r="M63" s="8"/>
      <c r="N63" s="4" t="s">
        <v>39</v>
      </c>
      <c r="O63" s="4"/>
      <c r="P63" s="4" t="s">
        <v>124</v>
      </c>
      <c r="Q63" s="4" t="s">
        <v>857</v>
      </c>
      <c r="R63" s="4" t="s">
        <v>858</v>
      </c>
      <c r="S63" s="4" t="s">
        <v>122</v>
      </c>
      <c r="T63" s="4" t="s">
        <v>859</v>
      </c>
      <c r="U63" s="4" t="s">
        <v>860</v>
      </c>
      <c r="V63" s="4" t="s">
        <v>861</v>
      </c>
      <c r="W63" s="4" t="s">
        <v>862</v>
      </c>
      <c r="X63" s="4" t="s">
        <v>863</v>
      </c>
      <c r="Y63" s="4" t="s">
        <v>864</v>
      </c>
      <c r="Z63" s="4" t="s">
        <v>865</v>
      </c>
      <c r="AA63" s="4"/>
      <c r="AB63" s="6">
        <v>46223</v>
      </c>
      <c r="AC63" s="4" t="s">
        <v>866</v>
      </c>
      <c r="AD63" s="4" t="s">
        <v>867</v>
      </c>
    </row>
    <row r="64" spans="1:30" ht="71.25">
      <c r="A64" s="3" t="s">
        <v>868</v>
      </c>
      <c r="B64" s="4" t="s">
        <v>54</v>
      </c>
      <c r="C64" s="4" t="s">
        <v>869</v>
      </c>
      <c r="D64" s="4" t="s">
        <v>870</v>
      </c>
      <c r="E64" s="4" t="s">
        <v>34</v>
      </c>
      <c r="F64" s="4" t="s">
        <v>140</v>
      </c>
      <c r="G64" s="6">
        <v>46295</v>
      </c>
      <c r="H64" s="4" t="s">
        <v>36</v>
      </c>
      <c r="I64" s="4" t="s">
        <v>58</v>
      </c>
      <c r="J64" s="4" t="s">
        <v>38</v>
      </c>
      <c r="K64" s="4" t="str">
        <f t="shared" ca="1" si="1"/>
        <v>Próxima a vencer</v>
      </c>
      <c r="L64" s="8">
        <v>100</v>
      </c>
      <c r="M64" s="8">
        <v>1000</v>
      </c>
      <c r="N64" s="4" t="s">
        <v>141</v>
      </c>
      <c r="O64" s="4" t="s">
        <v>326</v>
      </c>
      <c r="P64" s="4" t="s">
        <v>124</v>
      </c>
      <c r="Q64" s="4" t="s">
        <v>871</v>
      </c>
      <c r="R64" s="4" t="s">
        <v>271</v>
      </c>
      <c r="S64" s="4" t="s">
        <v>122</v>
      </c>
      <c r="T64" s="4" t="s">
        <v>288</v>
      </c>
      <c r="U64" s="4" t="s">
        <v>872</v>
      </c>
      <c r="V64" s="4" t="s">
        <v>873</v>
      </c>
      <c r="W64" s="4" t="s">
        <v>874</v>
      </c>
      <c r="X64" s="4" t="s">
        <v>875</v>
      </c>
      <c r="Y64" s="4" t="s">
        <v>876</v>
      </c>
      <c r="Z64" s="4" t="s">
        <v>877</v>
      </c>
      <c r="AA64" s="4"/>
      <c r="AB64" s="6">
        <v>46223</v>
      </c>
      <c r="AC64" s="4" t="s">
        <v>878</v>
      </c>
      <c r="AD64" s="4" t="s">
        <v>879</v>
      </c>
    </row>
    <row r="65" spans="1:30" ht="71.25">
      <c r="A65" s="3" t="s">
        <v>880</v>
      </c>
      <c r="B65" s="4" t="s">
        <v>54</v>
      </c>
      <c r="C65" s="4" t="s">
        <v>881</v>
      </c>
      <c r="D65" s="4" t="s">
        <v>882</v>
      </c>
      <c r="E65" s="4" t="s">
        <v>34</v>
      </c>
      <c r="F65" s="4" t="s">
        <v>35</v>
      </c>
      <c r="G65" s="6">
        <v>46255</v>
      </c>
      <c r="H65" s="4" t="s">
        <v>36</v>
      </c>
      <c r="I65" s="4" t="s">
        <v>87</v>
      </c>
      <c r="J65" s="4" t="s">
        <v>38</v>
      </c>
      <c r="K65" s="4" t="str">
        <f t="shared" ca="1" si="1"/>
        <v>Vencida</v>
      </c>
      <c r="L65" s="8"/>
      <c r="M65" s="8">
        <v>50000</v>
      </c>
      <c r="N65" s="4" t="s">
        <v>39</v>
      </c>
      <c r="O65" s="4"/>
      <c r="P65" s="4" t="s">
        <v>124</v>
      </c>
      <c r="Q65" s="4" t="s">
        <v>883</v>
      </c>
      <c r="R65" s="4" t="s">
        <v>858</v>
      </c>
      <c r="S65" s="4" t="s">
        <v>122</v>
      </c>
      <c r="T65" s="4" t="s">
        <v>288</v>
      </c>
      <c r="U65" s="4" t="s">
        <v>884</v>
      </c>
      <c r="V65" s="4" t="s">
        <v>885</v>
      </c>
      <c r="W65" s="4" t="s">
        <v>886</v>
      </c>
      <c r="X65" s="4" t="s">
        <v>887</v>
      </c>
      <c r="Y65" s="4" t="s">
        <v>888</v>
      </c>
      <c r="Z65" s="4" t="s">
        <v>889</v>
      </c>
      <c r="AA65" s="4"/>
      <c r="AB65" s="6">
        <v>46223</v>
      </c>
      <c r="AC65" s="4" t="s">
        <v>890</v>
      </c>
      <c r="AD65" s="4" t="s">
        <v>891</v>
      </c>
    </row>
    <row r="66" spans="1:30" ht="85.5" customHeight="1">
      <c r="A66" s="3" t="s">
        <v>892</v>
      </c>
      <c r="B66" s="4" t="s">
        <v>54</v>
      </c>
      <c r="C66" s="4" t="s">
        <v>893</v>
      </c>
      <c r="D66" s="4" t="s">
        <v>894</v>
      </c>
      <c r="E66" s="4" t="s">
        <v>34</v>
      </c>
      <c r="F66" s="4" t="s">
        <v>35</v>
      </c>
      <c r="G66" s="6">
        <v>46234</v>
      </c>
      <c r="H66" s="4" t="s">
        <v>36</v>
      </c>
      <c r="I66" s="4" t="s">
        <v>37</v>
      </c>
      <c r="J66" s="4" t="s">
        <v>38</v>
      </c>
      <c r="K66" s="4" t="str">
        <f t="shared" ca="1" si="1"/>
        <v>Vencida</v>
      </c>
      <c r="L66" s="8">
        <v>15000</v>
      </c>
      <c r="M66" s="8">
        <v>75000</v>
      </c>
      <c r="N66" s="4" t="s">
        <v>39</v>
      </c>
      <c r="O66" s="4" t="s">
        <v>123</v>
      </c>
      <c r="P66" s="4" t="s">
        <v>124</v>
      </c>
      <c r="Q66" s="4" t="s">
        <v>270</v>
      </c>
      <c r="R66" s="4" t="s">
        <v>895</v>
      </c>
      <c r="S66" s="4" t="s">
        <v>122</v>
      </c>
      <c r="T66" s="4" t="s">
        <v>44</v>
      </c>
      <c r="U66" s="4" t="s">
        <v>896</v>
      </c>
      <c r="V66" s="4" t="s">
        <v>897</v>
      </c>
      <c r="W66" s="4" t="s">
        <v>898</v>
      </c>
      <c r="X66" s="4" t="s">
        <v>899</v>
      </c>
      <c r="Y66" s="4" t="s">
        <v>900</v>
      </c>
      <c r="Z66" s="4" t="s">
        <v>901</v>
      </c>
      <c r="AA66" s="4"/>
      <c r="AB66" s="6">
        <v>46224</v>
      </c>
      <c r="AC66" s="4" t="s">
        <v>894</v>
      </c>
      <c r="AD66" s="4" t="s">
        <v>902</v>
      </c>
    </row>
    <row r="67" spans="1:30" ht="85.5" customHeight="1">
      <c r="A67" s="3" t="s">
        <v>903</v>
      </c>
      <c r="B67" s="4" t="s">
        <v>54</v>
      </c>
      <c r="C67" s="4" t="s">
        <v>904</v>
      </c>
      <c r="D67" s="4" t="s">
        <v>905</v>
      </c>
      <c r="E67" s="4" t="s">
        <v>34</v>
      </c>
      <c r="F67" s="4" t="s">
        <v>906</v>
      </c>
      <c r="G67" s="6">
        <v>46346</v>
      </c>
      <c r="H67" s="4" t="s">
        <v>36</v>
      </c>
      <c r="I67" s="4" t="s">
        <v>87</v>
      </c>
      <c r="J67" s="4" t="s">
        <v>38</v>
      </c>
      <c r="K67" s="4" t="str">
        <f t="shared" ca="1" si="1"/>
        <v>Abierta</v>
      </c>
      <c r="L67" s="8"/>
      <c r="M67" s="8">
        <v>30000</v>
      </c>
      <c r="N67" s="4" t="s">
        <v>197</v>
      </c>
      <c r="O67" s="4"/>
      <c r="P67" s="4" t="s">
        <v>142</v>
      </c>
      <c r="Q67" s="4" t="s">
        <v>907</v>
      </c>
      <c r="R67" s="4" t="s">
        <v>908</v>
      </c>
      <c r="S67" s="4" t="s">
        <v>122</v>
      </c>
      <c r="T67" s="4" t="s">
        <v>44</v>
      </c>
      <c r="U67" s="4" t="s">
        <v>909</v>
      </c>
      <c r="V67" s="4" t="s">
        <v>910</v>
      </c>
      <c r="W67" s="4" t="s">
        <v>911</v>
      </c>
      <c r="X67" s="4" t="s">
        <v>912</v>
      </c>
      <c r="Y67" s="4" t="s">
        <v>913</v>
      </c>
      <c r="Z67" s="4" t="s">
        <v>914</v>
      </c>
      <c r="AA67" s="4" t="s">
        <v>915</v>
      </c>
      <c r="AB67" s="6">
        <v>46224</v>
      </c>
      <c r="AC67" s="4" t="s">
        <v>905</v>
      </c>
      <c r="AD67" s="4" t="s">
        <v>916</v>
      </c>
    </row>
    <row r="68" spans="1:30" ht="85.5" customHeight="1">
      <c r="A68" s="3" t="s">
        <v>917</v>
      </c>
      <c r="B68" s="4" t="s">
        <v>54</v>
      </c>
      <c r="C68" s="4" t="s">
        <v>918</v>
      </c>
      <c r="D68" s="4" t="s">
        <v>919</v>
      </c>
      <c r="E68" s="4" t="s">
        <v>85</v>
      </c>
      <c r="F68" s="4" t="s">
        <v>86</v>
      </c>
      <c r="G68" s="6">
        <v>46233</v>
      </c>
      <c r="H68" s="4" t="s">
        <v>36</v>
      </c>
      <c r="I68" s="4" t="s">
        <v>61</v>
      </c>
      <c r="J68" s="4" t="s">
        <v>38</v>
      </c>
      <c r="K68" s="4" t="str">
        <f t="shared" ca="1" si="1"/>
        <v>Vencida</v>
      </c>
      <c r="L68" s="8">
        <v>75000</v>
      </c>
      <c r="M68" s="8">
        <v>200000</v>
      </c>
      <c r="N68" s="4" t="s">
        <v>89</v>
      </c>
      <c r="O68" s="4" t="s">
        <v>821</v>
      </c>
      <c r="P68" s="4" t="s">
        <v>471</v>
      </c>
      <c r="Q68" s="4" t="s">
        <v>920</v>
      </c>
      <c r="R68" s="4" t="s">
        <v>921</v>
      </c>
      <c r="S68" s="4" t="s">
        <v>86</v>
      </c>
      <c r="T68" s="4" t="s">
        <v>922</v>
      </c>
      <c r="U68" s="4" t="s">
        <v>923</v>
      </c>
      <c r="V68" s="4" t="s">
        <v>924</v>
      </c>
      <c r="W68" s="4" t="s">
        <v>925</v>
      </c>
      <c r="X68" s="4" t="s">
        <v>926</v>
      </c>
      <c r="Y68" s="4" t="s">
        <v>927</v>
      </c>
      <c r="Z68" s="4" t="s">
        <v>928</v>
      </c>
      <c r="AA68" s="4"/>
      <c r="AB68" s="6">
        <v>46224</v>
      </c>
      <c r="AC68" s="4" t="s">
        <v>919</v>
      </c>
      <c r="AD68" s="4" t="s">
        <v>929</v>
      </c>
    </row>
    <row r="69" spans="1:30" ht="85.5" customHeight="1">
      <c r="A69" s="3" t="s">
        <v>930</v>
      </c>
      <c r="B69" s="4" t="s">
        <v>54</v>
      </c>
      <c r="C69" s="4" t="s">
        <v>931</v>
      </c>
      <c r="D69" s="4" t="s">
        <v>932</v>
      </c>
      <c r="E69" s="4" t="s">
        <v>470</v>
      </c>
      <c r="F69" s="4" t="s">
        <v>35</v>
      </c>
      <c r="G69" s="6">
        <v>46113</v>
      </c>
      <c r="H69" s="4" t="s">
        <v>36</v>
      </c>
      <c r="I69" s="4" t="s">
        <v>87</v>
      </c>
      <c r="J69" s="4" t="s">
        <v>88</v>
      </c>
      <c r="K69" s="4" t="str">
        <f t="shared" ca="1" si="1"/>
        <v>Cerrada</v>
      </c>
      <c r="L69" s="8"/>
      <c r="M69" s="8">
        <v>10000</v>
      </c>
      <c r="N69" s="4" t="s">
        <v>39</v>
      </c>
      <c r="O69" s="4" t="s">
        <v>60</v>
      </c>
      <c r="P69" s="4" t="s">
        <v>124</v>
      </c>
      <c r="Q69" s="4" t="s">
        <v>42</v>
      </c>
      <c r="R69" s="4" t="s">
        <v>933</v>
      </c>
      <c r="S69" s="4" t="s">
        <v>122</v>
      </c>
      <c r="T69" s="4" t="s">
        <v>934</v>
      </c>
      <c r="U69" s="4" t="s">
        <v>935</v>
      </c>
      <c r="V69" s="4" t="s">
        <v>936</v>
      </c>
      <c r="W69" s="4" t="s">
        <v>937</v>
      </c>
      <c r="X69" s="4" t="s">
        <v>938</v>
      </c>
      <c r="Y69" s="4" t="s">
        <v>939</v>
      </c>
      <c r="Z69" s="4" t="s">
        <v>940</v>
      </c>
      <c r="AA69" s="4" t="s">
        <v>941</v>
      </c>
      <c r="AB69" s="6">
        <v>46224</v>
      </c>
      <c r="AC69" s="4" t="s">
        <v>942</v>
      </c>
      <c r="AD69" s="4" t="s">
        <v>943</v>
      </c>
    </row>
    <row r="70" spans="1:30" ht="85.5" customHeight="1">
      <c r="A70" s="3" t="s">
        <v>944</v>
      </c>
      <c r="B70" s="4" t="s">
        <v>54</v>
      </c>
      <c r="C70" s="4" t="s">
        <v>945</v>
      </c>
      <c r="D70" s="4" t="s">
        <v>946</v>
      </c>
      <c r="E70" s="4" t="s">
        <v>379</v>
      </c>
      <c r="F70" s="4" t="s">
        <v>947</v>
      </c>
      <c r="G70" s="6">
        <v>46082</v>
      </c>
      <c r="H70" s="4" t="s">
        <v>36</v>
      </c>
      <c r="I70" s="4" t="s">
        <v>58</v>
      </c>
      <c r="J70" s="4" t="s">
        <v>88</v>
      </c>
      <c r="K70" s="4" t="str">
        <f t="shared" ca="1" si="1"/>
        <v>Cerrada</v>
      </c>
      <c r="L70" s="8"/>
      <c r="M70" s="8">
        <v>7500</v>
      </c>
      <c r="N70" s="4" t="s">
        <v>284</v>
      </c>
      <c r="O70" s="4">
        <v>7</v>
      </c>
      <c r="P70" s="4" t="s">
        <v>124</v>
      </c>
      <c r="Q70" s="4" t="s">
        <v>42</v>
      </c>
      <c r="R70" s="4" t="s">
        <v>948</v>
      </c>
      <c r="S70" s="4" t="s">
        <v>949</v>
      </c>
      <c r="T70" s="4" t="s">
        <v>950</v>
      </c>
      <c r="U70" s="4" t="s">
        <v>951</v>
      </c>
      <c r="V70" s="4" t="s">
        <v>952</v>
      </c>
      <c r="W70" s="4" t="s">
        <v>953</v>
      </c>
      <c r="X70" s="4" t="s">
        <v>954</v>
      </c>
      <c r="Y70" s="4" t="s">
        <v>955</v>
      </c>
      <c r="Z70" s="4" t="s">
        <v>956</v>
      </c>
      <c r="AA70" s="4" t="s">
        <v>957</v>
      </c>
      <c r="AB70" s="6">
        <v>46224</v>
      </c>
      <c r="AC70" s="4" t="s">
        <v>946</v>
      </c>
      <c r="AD70" s="4" t="s">
        <v>958</v>
      </c>
    </row>
    <row r="71" spans="1:30" ht="85.5" customHeight="1">
      <c r="A71" s="3" t="s">
        <v>959</v>
      </c>
      <c r="B71" s="4" t="s">
        <v>54</v>
      </c>
      <c r="C71" s="4" t="s">
        <v>960</v>
      </c>
      <c r="D71" s="4" t="s">
        <v>961</v>
      </c>
      <c r="E71" s="4" t="s">
        <v>470</v>
      </c>
      <c r="F71" s="4" t="s">
        <v>35</v>
      </c>
      <c r="G71" s="6">
        <v>46174</v>
      </c>
      <c r="H71" s="4" t="s">
        <v>36</v>
      </c>
      <c r="I71" s="4" t="s">
        <v>87</v>
      </c>
      <c r="J71" s="4" t="s">
        <v>88</v>
      </c>
      <c r="K71" s="4" t="str">
        <f t="shared" ca="1" si="1"/>
        <v>Cerrada</v>
      </c>
      <c r="L71" s="8">
        <v>2000</v>
      </c>
      <c r="M71" s="8">
        <v>2000</v>
      </c>
      <c r="N71" s="4" t="s">
        <v>39</v>
      </c>
      <c r="O71" s="4"/>
      <c r="P71" s="4" t="s">
        <v>185</v>
      </c>
      <c r="Q71" s="4" t="s">
        <v>962</v>
      </c>
      <c r="R71" s="4" t="s">
        <v>271</v>
      </c>
      <c r="S71" s="4" t="s">
        <v>122</v>
      </c>
      <c r="T71" s="4" t="s">
        <v>585</v>
      </c>
      <c r="U71" s="4" t="s">
        <v>963</v>
      </c>
      <c r="V71" s="4" t="s">
        <v>964</v>
      </c>
      <c r="W71" s="4" t="s">
        <v>965</v>
      </c>
      <c r="X71" s="4" t="s">
        <v>966</v>
      </c>
      <c r="Y71" s="4" t="s">
        <v>967</v>
      </c>
      <c r="Z71" s="4" t="s">
        <v>968</v>
      </c>
      <c r="AA71" s="4"/>
      <c r="AB71" s="6">
        <v>46224</v>
      </c>
      <c r="AC71" s="4" t="s">
        <v>961</v>
      </c>
      <c r="AD71" s="4" t="s">
        <v>969</v>
      </c>
    </row>
    <row r="72" spans="1:30" ht="71.25">
      <c r="A72" s="3" t="s">
        <v>970</v>
      </c>
      <c r="B72" s="4" t="s">
        <v>54</v>
      </c>
      <c r="C72" s="4" t="s">
        <v>971</v>
      </c>
      <c r="D72" s="4" t="s">
        <v>972</v>
      </c>
      <c r="E72" s="4" t="s">
        <v>34</v>
      </c>
      <c r="F72" s="4" t="s">
        <v>35</v>
      </c>
      <c r="G72" s="6">
        <v>46295</v>
      </c>
      <c r="H72" s="4" t="s">
        <v>36</v>
      </c>
      <c r="I72" s="4" t="s">
        <v>87</v>
      </c>
      <c r="J72" s="4" t="s">
        <v>38</v>
      </c>
      <c r="K72" s="4" t="str">
        <f t="shared" ca="1" si="1"/>
        <v>Próxima a vencer</v>
      </c>
      <c r="L72" s="8"/>
      <c r="M72" s="8">
        <v>750000</v>
      </c>
      <c r="N72" s="4" t="s">
        <v>39</v>
      </c>
      <c r="O72" s="4" t="s">
        <v>437</v>
      </c>
      <c r="P72" s="4" t="s">
        <v>124</v>
      </c>
      <c r="Q72" s="4" t="s">
        <v>973</v>
      </c>
      <c r="R72" s="4" t="s">
        <v>379</v>
      </c>
      <c r="S72" s="4" t="s">
        <v>122</v>
      </c>
      <c r="T72" s="4" t="s">
        <v>585</v>
      </c>
      <c r="U72" s="4" t="s">
        <v>974</v>
      </c>
      <c r="V72" s="4" t="s">
        <v>975</v>
      </c>
      <c r="W72" s="4" t="s">
        <v>976</v>
      </c>
      <c r="X72" s="4" t="s">
        <v>977</v>
      </c>
      <c r="Y72" s="4" t="s">
        <v>978</v>
      </c>
      <c r="Z72" s="4" t="s">
        <v>979</v>
      </c>
      <c r="AA72" s="4"/>
      <c r="AB72" s="6">
        <v>46224</v>
      </c>
      <c r="AC72" s="4" t="s">
        <v>980</v>
      </c>
      <c r="AD72" s="4" t="s">
        <v>981</v>
      </c>
    </row>
    <row r="73" spans="1:30" ht="57">
      <c r="A73" s="3" t="s">
        <v>982</v>
      </c>
      <c r="B73" s="4" t="s">
        <v>54</v>
      </c>
      <c r="C73" s="4" t="s">
        <v>983</v>
      </c>
      <c r="D73" s="4" t="s">
        <v>984</v>
      </c>
      <c r="E73" s="4" t="s">
        <v>139</v>
      </c>
      <c r="F73" s="4" t="s">
        <v>35</v>
      </c>
      <c r="G73" s="6">
        <v>46295</v>
      </c>
      <c r="H73" s="4" t="s">
        <v>36</v>
      </c>
      <c r="I73" s="4" t="s">
        <v>87</v>
      </c>
      <c r="J73" s="4" t="s">
        <v>38</v>
      </c>
      <c r="K73" s="4" t="str">
        <f t="shared" ca="1" si="1"/>
        <v>Próxima a vencer</v>
      </c>
      <c r="L73" s="8"/>
      <c r="M73" s="8"/>
      <c r="N73" s="4" t="s">
        <v>39</v>
      </c>
      <c r="O73" s="4"/>
      <c r="P73" s="4" t="s">
        <v>124</v>
      </c>
      <c r="Q73" s="4" t="s">
        <v>985</v>
      </c>
      <c r="R73" s="4" t="s">
        <v>379</v>
      </c>
      <c r="S73" s="4" t="s">
        <v>122</v>
      </c>
      <c r="T73" s="4" t="s">
        <v>986</v>
      </c>
      <c r="U73" s="4" t="s">
        <v>987</v>
      </c>
      <c r="V73" s="4" t="s">
        <v>988</v>
      </c>
      <c r="W73" s="4" t="s">
        <v>989</v>
      </c>
      <c r="X73" s="4" t="s">
        <v>990</v>
      </c>
      <c r="Y73" s="4" t="s">
        <v>991</v>
      </c>
      <c r="Z73" s="4" t="s">
        <v>992</v>
      </c>
      <c r="AA73" s="4"/>
      <c r="AB73" s="6">
        <v>46224</v>
      </c>
      <c r="AC73" s="4" t="s">
        <v>993</v>
      </c>
      <c r="AD73" s="4" t="s">
        <v>994</v>
      </c>
    </row>
    <row r="74" spans="1:30" ht="71.25">
      <c r="A74" s="3" t="s">
        <v>995</v>
      </c>
      <c r="B74" s="4" t="s">
        <v>54</v>
      </c>
      <c r="C74" s="4" t="s">
        <v>996</v>
      </c>
      <c r="D74" s="4" t="s">
        <v>997</v>
      </c>
      <c r="E74" s="4" t="s">
        <v>121</v>
      </c>
      <c r="F74" s="4" t="s">
        <v>122</v>
      </c>
      <c r="G74" s="6">
        <v>46295</v>
      </c>
      <c r="H74" s="4" t="s">
        <v>36</v>
      </c>
      <c r="I74" s="4" t="s">
        <v>58</v>
      </c>
      <c r="J74" s="4" t="s">
        <v>38</v>
      </c>
      <c r="K74" s="4" t="str">
        <f t="shared" ca="1" si="1"/>
        <v>Próxima a vencer</v>
      </c>
      <c r="L74" s="8"/>
      <c r="M74" s="8">
        <v>5000</v>
      </c>
      <c r="N74" s="4" t="s">
        <v>197</v>
      </c>
      <c r="O74" s="4"/>
      <c r="P74" s="4" t="s">
        <v>732</v>
      </c>
      <c r="Q74" s="4" t="s">
        <v>998</v>
      </c>
      <c r="R74" s="4" t="s">
        <v>379</v>
      </c>
      <c r="S74" s="4" t="s">
        <v>122</v>
      </c>
      <c r="T74" s="4" t="s">
        <v>999</v>
      </c>
      <c r="U74" s="4" t="s">
        <v>1000</v>
      </c>
      <c r="V74" s="4" t="s">
        <v>1001</v>
      </c>
      <c r="W74" s="4" t="s">
        <v>1002</v>
      </c>
      <c r="X74" s="4" t="s">
        <v>1003</v>
      </c>
      <c r="Y74" s="4" t="s">
        <v>1004</v>
      </c>
      <c r="Z74" s="4" t="s">
        <v>1005</v>
      </c>
      <c r="AA74" s="4"/>
      <c r="AB74" s="6">
        <v>46224</v>
      </c>
      <c r="AC74" s="4" t="s">
        <v>1006</v>
      </c>
      <c r="AD74" s="4" t="s">
        <v>1007</v>
      </c>
    </row>
    <row r="75" spans="1:30" ht="71.25">
      <c r="A75" s="3" t="s">
        <v>1008</v>
      </c>
      <c r="B75" s="4" t="s">
        <v>54</v>
      </c>
      <c r="C75" s="4" t="s">
        <v>1009</v>
      </c>
      <c r="D75" s="4" t="s">
        <v>997</v>
      </c>
      <c r="E75" s="4" t="s">
        <v>121</v>
      </c>
      <c r="F75" s="4" t="s">
        <v>122</v>
      </c>
      <c r="G75" s="6">
        <v>46249</v>
      </c>
      <c r="H75" s="4" t="s">
        <v>36</v>
      </c>
      <c r="I75" s="4" t="s">
        <v>58</v>
      </c>
      <c r="J75" s="4" t="s">
        <v>38</v>
      </c>
      <c r="K75" s="4" t="str">
        <f t="shared" ca="1" si="1"/>
        <v>Vencida</v>
      </c>
      <c r="L75" s="8"/>
      <c r="M75" s="8"/>
      <c r="N75" s="4"/>
      <c r="O75" s="4" t="s">
        <v>269</v>
      </c>
      <c r="P75" s="4" t="s">
        <v>185</v>
      </c>
      <c r="Q75" s="4" t="s">
        <v>1010</v>
      </c>
      <c r="R75" s="4" t="s">
        <v>271</v>
      </c>
      <c r="S75" s="4" t="s">
        <v>1011</v>
      </c>
      <c r="T75" s="4" t="s">
        <v>1012</v>
      </c>
      <c r="U75" s="4" t="s">
        <v>1013</v>
      </c>
      <c r="V75" s="4" t="s">
        <v>1014</v>
      </c>
      <c r="W75" s="4" t="s">
        <v>1015</v>
      </c>
      <c r="X75" s="4" t="s">
        <v>1016</v>
      </c>
      <c r="Y75" s="4" t="s">
        <v>1017</v>
      </c>
      <c r="Z75" s="4" t="s">
        <v>1018</v>
      </c>
      <c r="AA75" s="4"/>
      <c r="AB75" s="6">
        <v>46224</v>
      </c>
      <c r="AC75" s="4" t="s">
        <v>1019</v>
      </c>
      <c r="AD75" s="4" t="s">
        <v>1020</v>
      </c>
    </row>
    <row r="76" spans="1:30" ht="71.25">
      <c r="A76" s="3" t="s">
        <v>1021</v>
      </c>
      <c r="B76" s="4" t="s">
        <v>54</v>
      </c>
      <c r="C76" s="4" t="s">
        <v>1022</v>
      </c>
      <c r="D76" s="4" t="s">
        <v>1023</v>
      </c>
      <c r="E76" s="4" t="s">
        <v>470</v>
      </c>
      <c r="F76" s="4" t="s">
        <v>35</v>
      </c>
      <c r="G76" s="6"/>
      <c r="H76" s="4" t="s">
        <v>225</v>
      </c>
      <c r="I76" s="4" t="s">
        <v>58</v>
      </c>
      <c r="J76" s="4" t="s">
        <v>38</v>
      </c>
      <c r="K76" s="4" t="str">
        <f t="shared" ca="1" si="1"/>
        <v>Sin fecha</v>
      </c>
      <c r="L76" s="8">
        <v>200</v>
      </c>
      <c r="M76" s="8">
        <v>2000</v>
      </c>
      <c r="N76" s="4" t="s">
        <v>39</v>
      </c>
      <c r="O76" s="4"/>
      <c r="P76" s="4" t="s">
        <v>185</v>
      </c>
      <c r="Q76" s="4" t="s">
        <v>1024</v>
      </c>
      <c r="R76" s="4" t="s">
        <v>271</v>
      </c>
      <c r="S76" s="4" t="s">
        <v>1025</v>
      </c>
      <c r="T76" s="4" t="s">
        <v>1026</v>
      </c>
      <c r="U76" s="4" t="s">
        <v>1027</v>
      </c>
      <c r="V76" s="4" t="s">
        <v>1028</v>
      </c>
      <c r="W76" s="4" t="s">
        <v>1029</v>
      </c>
      <c r="X76" s="4" t="s">
        <v>1030</v>
      </c>
      <c r="Y76" s="4" t="s">
        <v>1031</v>
      </c>
      <c r="Z76" s="4" t="s">
        <v>1032</v>
      </c>
      <c r="AA76" s="4" t="s">
        <v>1033</v>
      </c>
      <c r="AB76" s="6">
        <v>46224</v>
      </c>
      <c r="AC76" s="4" t="s">
        <v>1034</v>
      </c>
      <c r="AD76" s="4" t="s">
        <v>1035</v>
      </c>
    </row>
    <row r="77" spans="1:30" ht="57">
      <c r="A77" s="3" t="s">
        <v>1036</v>
      </c>
      <c r="B77" s="4" t="s">
        <v>54</v>
      </c>
      <c r="C77" s="4" t="s">
        <v>1037</v>
      </c>
      <c r="D77" s="4" t="s">
        <v>1038</v>
      </c>
      <c r="E77" s="4" t="s">
        <v>470</v>
      </c>
      <c r="F77" s="4" t="s">
        <v>35</v>
      </c>
      <c r="G77" s="6">
        <v>46266</v>
      </c>
      <c r="H77" s="4" t="s">
        <v>36</v>
      </c>
      <c r="I77" s="4" t="s">
        <v>158</v>
      </c>
      <c r="J77" s="4" t="s">
        <v>38</v>
      </c>
      <c r="K77" s="4" t="str">
        <f t="shared" ca="1" si="1"/>
        <v>Vencida</v>
      </c>
      <c r="L77" s="8">
        <v>2500</v>
      </c>
      <c r="M77" s="8">
        <v>3000</v>
      </c>
      <c r="N77" s="4" t="s">
        <v>39</v>
      </c>
      <c r="O77" s="4"/>
      <c r="P77" s="4" t="s">
        <v>471</v>
      </c>
      <c r="Q77" s="4" t="s">
        <v>1039</v>
      </c>
      <c r="R77" s="4" t="s">
        <v>271</v>
      </c>
      <c r="S77" s="4" t="s">
        <v>122</v>
      </c>
      <c r="T77" s="4" t="s">
        <v>585</v>
      </c>
      <c r="U77" s="4" t="s">
        <v>1040</v>
      </c>
      <c r="V77" s="4" t="s">
        <v>1041</v>
      </c>
      <c r="W77" s="4" t="s">
        <v>1042</v>
      </c>
      <c r="X77" s="4" t="s">
        <v>1043</v>
      </c>
      <c r="Y77" s="4" t="s">
        <v>1044</v>
      </c>
      <c r="Z77" s="4" t="s">
        <v>1045</v>
      </c>
      <c r="AA77" s="4" t="s">
        <v>1046</v>
      </c>
      <c r="AB77" s="6">
        <v>46224</v>
      </c>
      <c r="AC77" s="4" t="s">
        <v>1038</v>
      </c>
      <c r="AD77" s="4" t="s">
        <v>1047</v>
      </c>
    </row>
    <row r="78" spans="1:30" ht="57">
      <c r="A78" s="3" t="s">
        <v>1048</v>
      </c>
      <c r="B78" s="4" t="s">
        <v>54</v>
      </c>
      <c r="C78" s="4" t="s">
        <v>1049</v>
      </c>
      <c r="D78" s="4" t="s">
        <v>1050</v>
      </c>
      <c r="E78" s="4" t="s">
        <v>470</v>
      </c>
      <c r="F78" s="4" t="s">
        <v>35</v>
      </c>
      <c r="G78" s="6">
        <v>46300</v>
      </c>
      <c r="H78" s="4" t="s">
        <v>36</v>
      </c>
      <c r="I78" s="4" t="s">
        <v>158</v>
      </c>
      <c r="J78" s="4" t="s">
        <v>38</v>
      </c>
      <c r="K78" s="4" t="str">
        <f t="shared" ca="1" si="1"/>
        <v>Próxima a vencer</v>
      </c>
      <c r="L78" s="8">
        <v>200000</v>
      </c>
      <c r="M78" s="8">
        <v>200000</v>
      </c>
      <c r="N78" s="4" t="s">
        <v>39</v>
      </c>
      <c r="O78" s="4"/>
      <c r="P78" s="4" t="s">
        <v>471</v>
      </c>
      <c r="Q78" s="4" t="s">
        <v>1051</v>
      </c>
      <c r="R78" s="4" t="s">
        <v>271</v>
      </c>
      <c r="S78" s="4" t="s">
        <v>122</v>
      </c>
      <c r="T78" s="4" t="s">
        <v>1052</v>
      </c>
      <c r="U78" s="4" t="s">
        <v>1053</v>
      </c>
      <c r="V78" s="4" t="s">
        <v>1054</v>
      </c>
      <c r="W78" s="4" t="s">
        <v>1055</v>
      </c>
      <c r="X78" s="4" t="s">
        <v>1056</v>
      </c>
      <c r="Y78" s="4" t="s">
        <v>1057</v>
      </c>
      <c r="Z78" s="4" t="s">
        <v>1058</v>
      </c>
      <c r="AA78" s="4" t="s">
        <v>1059</v>
      </c>
      <c r="AB78" s="6">
        <v>46224</v>
      </c>
      <c r="AC78" s="4" t="s">
        <v>1060</v>
      </c>
      <c r="AD78" s="4" t="s">
        <v>1061</v>
      </c>
    </row>
    <row r="79" spans="1:30" ht="57">
      <c r="A79" s="3" t="s">
        <v>1062</v>
      </c>
      <c r="B79" s="4" t="s">
        <v>54</v>
      </c>
      <c r="C79" s="4" t="s">
        <v>1063</v>
      </c>
      <c r="D79" s="4" t="s">
        <v>1038</v>
      </c>
      <c r="E79" s="4" t="s">
        <v>470</v>
      </c>
      <c r="F79" s="4" t="s">
        <v>35</v>
      </c>
      <c r="G79" s="6">
        <v>46266</v>
      </c>
      <c r="H79" s="4" t="s">
        <v>36</v>
      </c>
      <c r="I79" s="4" t="s">
        <v>158</v>
      </c>
      <c r="J79" s="4" t="s">
        <v>38</v>
      </c>
      <c r="K79" s="4" t="str">
        <f t="shared" ca="1" si="1"/>
        <v>Vencida</v>
      </c>
      <c r="L79" s="8">
        <v>2500</v>
      </c>
      <c r="M79" s="8">
        <v>4000</v>
      </c>
      <c r="N79" s="4" t="s">
        <v>39</v>
      </c>
      <c r="O79" s="4"/>
      <c r="P79" s="4" t="s">
        <v>471</v>
      </c>
      <c r="Q79" s="4" t="s">
        <v>1064</v>
      </c>
      <c r="R79" s="4" t="s">
        <v>271</v>
      </c>
      <c r="S79" s="4" t="s">
        <v>122</v>
      </c>
      <c r="T79" s="4" t="s">
        <v>1065</v>
      </c>
      <c r="U79" s="4" t="s">
        <v>1066</v>
      </c>
      <c r="V79" s="4" t="s">
        <v>1067</v>
      </c>
      <c r="W79" s="4" t="s">
        <v>1068</v>
      </c>
      <c r="X79" s="4" t="s">
        <v>1069</v>
      </c>
      <c r="Y79" s="4" t="s">
        <v>1070</v>
      </c>
      <c r="Z79" s="4" t="s">
        <v>1071</v>
      </c>
      <c r="AA79" s="4" t="s">
        <v>1072</v>
      </c>
      <c r="AB79" s="6">
        <v>46224</v>
      </c>
      <c r="AC79" s="4" t="s">
        <v>1038</v>
      </c>
      <c r="AD79" s="4" t="s">
        <v>1073</v>
      </c>
    </row>
    <row r="80" spans="1:30" ht="142.5">
      <c r="A80" s="3" t="s">
        <v>1074</v>
      </c>
      <c r="B80" s="4" t="s">
        <v>54</v>
      </c>
      <c r="C80" s="4" t="s">
        <v>1075</v>
      </c>
      <c r="D80" s="4" t="s">
        <v>1076</v>
      </c>
      <c r="E80" s="4" t="s">
        <v>157</v>
      </c>
      <c r="F80" s="4" t="s">
        <v>35</v>
      </c>
      <c r="G80" s="6"/>
      <c r="H80" s="4" t="s">
        <v>57</v>
      </c>
      <c r="I80" s="4" t="s">
        <v>58</v>
      </c>
      <c r="J80" s="4" t="s">
        <v>38</v>
      </c>
      <c r="K80" s="4" t="str">
        <f t="shared" ca="1" si="1"/>
        <v>Sin fecha</v>
      </c>
      <c r="L80" s="8"/>
      <c r="M80" s="8"/>
      <c r="N80" s="4"/>
      <c r="O80" s="4" t="s">
        <v>1077</v>
      </c>
      <c r="P80" s="4" t="s">
        <v>61</v>
      </c>
      <c r="Q80" s="4" t="s">
        <v>1078</v>
      </c>
      <c r="R80" s="4" t="s">
        <v>379</v>
      </c>
      <c r="S80" s="4" t="s">
        <v>1079</v>
      </c>
      <c r="T80" s="4" t="s">
        <v>1080</v>
      </c>
      <c r="U80" s="4" t="s">
        <v>1081</v>
      </c>
      <c r="V80" s="4" t="s">
        <v>1082</v>
      </c>
      <c r="W80" s="4" t="s">
        <v>1083</v>
      </c>
      <c r="X80" s="4" t="s">
        <v>1084</v>
      </c>
      <c r="Y80" s="4" t="s">
        <v>1085</v>
      </c>
      <c r="Z80" s="4" t="s">
        <v>1086</v>
      </c>
      <c r="AA80" s="4"/>
      <c r="AB80" s="6">
        <v>46224</v>
      </c>
      <c r="AC80" s="4" t="s">
        <v>1087</v>
      </c>
      <c r="AD80" s="4" t="s">
        <v>1088</v>
      </c>
    </row>
    <row r="81" spans="1:30" ht="128.25">
      <c r="A81" s="3" t="s">
        <v>1089</v>
      </c>
      <c r="B81" s="4" t="s">
        <v>54</v>
      </c>
      <c r="C81" s="4" t="s">
        <v>1090</v>
      </c>
      <c r="D81" s="4" t="s">
        <v>1091</v>
      </c>
      <c r="E81" s="4" t="s">
        <v>34</v>
      </c>
      <c r="F81" s="4" t="s">
        <v>35</v>
      </c>
      <c r="G81" s="6">
        <v>46357</v>
      </c>
      <c r="H81" s="4" t="s">
        <v>36</v>
      </c>
      <c r="I81" s="4" t="s">
        <v>377</v>
      </c>
      <c r="J81" s="4" t="s">
        <v>226</v>
      </c>
      <c r="K81" s="4" t="str">
        <f t="shared" ref="K81:K118" ca="1" si="2">IF(J81="En revisión","Pendiente Apertura",IF(J81="Cerrada","Cerrada",IF(J81="Suspendida","Suspendida",IF(G81="","Sin fecha",IF(G81&lt;TODAY(),"Vencida",IF(G81-TODAY()&lt;=30,"Próxima a vencer","Abierta"))))))</f>
        <v>Pendiente Apertura</v>
      </c>
      <c r="L81" s="8"/>
      <c r="M81" s="8"/>
      <c r="N81" s="4" t="s">
        <v>39</v>
      </c>
      <c r="O81" s="4" t="s">
        <v>1092</v>
      </c>
      <c r="P81" s="4" t="s">
        <v>124</v>
      </c>
      <c r="Q81" s="4" t="s">
        <v>1093</v>
      </c>
      <c r="R81" s="4" t="s">
        <v>379</v>
      </c>
      <c r="S81" s="4" t="s">
        <v>1094</v>
      </c>
      <c r="T81" s="4" t="s">
        <v>585</v>
      </c>
      <c r="U81" s="4" t="s">
        <v>1095</v>
      </c>
      <c r="V81" s="4" t="s">
        <v>1096</v>
      </c>
      <c r="W81" s="4" t="s">
        <v>1097</v>
      </c>
      <c r="X81" s="4" t="s">
        <v>1098</v>
      </c>
      <c r="Y81" s="4" t="s">
        <v>1099</v>
      </c>
      <c r="Z81" s="4" t="s">
        <v>385</v>
      </c>
      <c r="AA81" s="4"/>
      <c r="AB81" s="6">
        <v>46224</v>
      </c>
      <c r="AC81" s="4" t="s">
        <v>1100</v>
      </c>
      <c r="AD81" s="4" t="s">
        <v>1101</v>
      </c>
    </row>
    <row r="82" spans="1:30" ht="99.75">
      <c r="A82" s="3" t="s">
        <v>1102</v>
      </c>
      <c r="B82" s="4" t="s">
        <v>54</v>
      </c>
      <c r="C82" s="4" t="s">
        <v>1103</v>
      </c>
      <c r="D82" s="4" t="s">
        <v>1104</v>
      </c>
      <c r="E82" s="4" t="s">
        <v>121</v>
      </c>
      <c r="F82" s="4" t="s">
        <v>1105</v>
      </c>
      <c r="G82" s="6">
        <v>46310</v>
      </c>
      <c r="H82" s="4" t="s">
        <v>36</v>
      </c>
      <c r="I82" s="4" t="s">
        <v>58</v>
      </c>
      <c r="J82" s="4" t="s">
        <v>226</v>
      </c>
      <c r="K82" s="4" t="str">
        <f t="shared" ca="1" si="2"/>
        <v>Pendiente Apertura</v>
      </c>
      <c r="L82" s="8"/>
      <c r="M82" s="8">
        <v>1250</v>
      </c>
      <c r="N82" s="4" t="s">
        <v>39</v>
      </c>
      <c r="O82" s="4" t="s">
        <v>1106</v>
      </c>
      <c r="P82" s="4" t="s">
        <v>1107</v>
      </c>
      <c r="Q82" s="4" t="s">
        <v>1108</v>
      </c>
      <c r="R82" s="4" t="s">
        <v>271</v>
      </c>
      <c r="S82" s="4" t="s">
        <v>1109</v>
      </c>
      <c r="T82" s="4" t="s">
        <v>1110</v>
      </c>
      <c r="U82" s="4" t="s">
        <v>1111</v>
      </c>
      <c r="V82" s="4" t="s">
        <v>1112</v>
      </c>
      <c r="W82" s="4" t="s">
        <v>1113</v>
      </c>
      <c r="X82" s="4" t="s">
        <v>1114</v>
      </c>
      <c r="Y82" s="4" t="s">
        <v>1115</v>
      </c>
      <c r="Z82" s="4" t="s">
        <v>1116</v>
      </c>
      <c r="AA82" s="4"/>
      <c r="AB82" s="6">
        <v>46224</v>
      </c>
      <c r="AC82" s="4" t="s">
        <v>1117</v>
      </c>
      <c r="AD82" s="4" t="s">
        <v>1118</v>
      </c>
    </row>
    <row r="83" spans="1:30" ht="213.75">
      <c r="A83" s="3" t="s">
        <v>1119</v>
      </c>
      <c r="B83" s="4" t="s">
        <v>54</v>
      </c>
      <c r="C83" s="4" t="s">
        <v>1120</v>
      </c>
      <c r="D83" s="4" t="s">
        <v>1121</v>
      </c>
      <c r="E83" s="4" t="s">
        <v>139</v>
      </c>
      <c r="F83" s="4" t="s">
        <v>140</v>
      </c>
      <c r="G83" s="6">
        <v>46275</v>
      </c>
      <c r="H83" s="4" t="s">
        <v>57</v>
      </c>
      <c r="I83" s="4" t="s">
        <v>58</v>
      </c>
      <c r="J83" s="4" t="s">
        <v>38</v>
      </c>
      <c r="K83" s="4" t="str">
        <f t="shared" ca="1" si="2"/>
        <v>Próxima a vencer</v>
      </c>
      <c r="L83" s="8"/>
      <c r="M83" s="8">
        <v>300000</v>
      </c>
      <c r="N83" s="4" t="s">
        <v>141</v>
      </c>
      <c r="O83" s="4">
        <v>36</v>
      </c>
      <c r="P83" s="4" t="s">
        <v>61</v>
      </c>
      <c r="Q83" s="4" t="s">
        <v>1122</v>
      </c>
      <c r="R83" s="4" t="s">
        <v>1123</v>
      </c>
      <c r="S83" s="14" t="s">
        <v>1124</v>
      </c>
      <c r="T83" s="4" t="s">
        <v>585</v>
      </c>
      <c r="U83" s="4" t="s">
        <v>1125</v>
      </c>
      <c r="V83" s="4" t="s">
        <v>1126</v>
      </c>
      <c r="W83" s="4" t="s">
        <v>1127</v>
      </c>
      <c r="X83" s="4" t="s">
        <v>1128</v>
      </c>
      <c r="Y83" s="4" t="s">
        <v>1129</v>
      </c>
      <c r="Z83" s="13" t="s">
        <v>1130</v>
      </c>
      <c r="AA83" s="4"/>
      <c r="AB83" s="6">
        <v>46226</v>
      </c>
      <c r="AC83" s="4" t="s">
        <v>1131</v>
      </c>
      <c r="AD83" s="4" t="s">
        <v>1132</v>
      </c>
    </row>
    <row r="84" spans="1:30" ht="99.75">
      <c r="A84" s="3" t="s">
        <v>1133</v>
      </c>
      <c r="B84" s="4" t="s">
        <v>54</v>
      </c>
      <c r="C84" s="4" t="s">
        <v>1134</v>
      </c>
      <c r="D84" s="4" t="s">
        <v>1135</v>
      </c>
      <c r="E84" s="4" t="s">
        <v>139</v>
      </c>
      <c r="F84" s="4" t="s">
        <v>1136</v>
      </c>
      <c r="G84" s="6">
        <v>46266</v>
      </c>
      <c r="H84" s="4" t="s">
        <v>57</v>
      </c>
      <c r="I84" s="4" t="s">
        <v>58</v>
      </c>
      <c r="J84" s="4" t="s">
        <v>226</v>
      </c>
      <c r="K84" s="4" t="str">
        <f t="shared" ca="1" si="2"/>
        <v>Pendiente Apertura</v>
      </c>
      <c r="L84" s="8"/>
      <c r="M84" s="8">
        <v>4000000</v>
      </c>
      <c r="N84" s="4" t="s">
        <v>197</v>
      </c>
      <c r="O84" s="4" t="s">
        <v>1137</v>
      </c>
      <c r="P84" s="4" t="s">
        <v>1138</v>
      </c>
      <c r="Q84" s="4" t="s">
        <v>1139</v>
      </c>
      <c r="R84" s="4" t="s">
        <v>1140</v>
      </c>
      <c r="S84" s="12" t="s">
        <v>1141</v>
      </c>
      <c r="T84" s="4" t="s">
        <v>1142</v>
      </c>
      <c r="U84" s="4" t="s">
        <v>1143</v>
      </c>
      <c r="V84" s="4" t="s">
        <v>1144</v>
      </c>
      <c r="W84" s="4" t="s">
        <v>1145</v>
      </c>
      <c r="X84" s="4" t="s">
        <v>1146</v>
      </c>
      <c r="Y84" s="4" t="s">
        <v>1147</v>
      </c>
      <c r="Z84" s="4" t="s">
        <v>1148</v>
      </c>
      <c r="AA84" s="4"/>
      <c r="AB84" s="6">
        <v>46226</v>
      </c>
      <c r="AC84" s="4" t="s">
        <v>1135</v>
      </c>
      <c r="AD84" s="4" t="s">
        <v>1149</v>
      </c>
    </row>
    <row r="85" spans="1:30" ht="99.75">
      <c r="A85" s="3" t="s">
        <v>1150</v>
      </c>
      <c r="B85" s="4" t="s">
        <v>54</v>
      </c>
      <c r="C85" s="4" t="s">
        <v>1151</v>
      </c>
      <c r="D85" s="4" t="s">
        <v>1152</v>
      </c>
      <c r="E85" s="4" t="s">
        <v>85</v>
      </c>
      <c r="F85" s="4" t="s">
        <v>86</v>
      </c>
      <c r="G85" s="6">
        <v>46171</v>
      </c>
      <c r="H85" s="4" t="s">
        <v>36</v>
      </c>
      <c r="I85" s="4" t="s">
        <v>87</v>
      </c>
      <c r="J85" s="4" t="s">
        <v>88</v>
      </c>
      <c r="K85" s="4" t="str">
        <f t="shared" ca="1" si="2"/>
        <v>Cerrada</v>
      </c>
      <c r="L85" s="8"/>
      <c r="M85" s="8">
        <v>2500000</v>
      </c>
      <c r="N85" s="4" t="s">
        <v>89</v>
      </c>
      <c r="O85" s="4" t="s">
        <v>1153</v>
      </c>
      <c r="P85" s="4" t="s">
        <v>1154</v>
      </c>
      <c r="Q85" s="4" t="s">
        <v>1155</v>
      </c>
      <c r="R85" s="4" t="s">
        <v>1156</v>
      </c>
      <c r="S85" s="4" t="s">
        <v>86</v>
      </c>
      <c r="T85" s="4" t="s">
        <v>1157</v>
      </c>
      <c r="U85" s="4" t="s">
        <v>1158</v>
      </c>
      <c r="V85" s="4" t="s">
        <v>1159</v>
      </c>
      <c r="W85" s="4" t="s">
        <v>1160</v>
      </c>
      <c r="X85" s="4" t="s">
        <v>1161</v>
      </c>
      <c r="Y85" s="4" t="s">
        <v>1162</v>
      </c>
      <c r="Z85" s="4" t="s">
        <v>1163</v>
      </c>
      <c r="AA85" s="4"/>
      <c r="AB85" s="6">
        <v>46226</v>
      </c>
      <c r="AC85" s="4" t="s">
        <v>1164</v>
      </c>
      <c r="AD85" s="4" t="s">
        <v>1165</v>
      </c>
    </row>
    <row r="86" spans="1:30" ht="99.75">
      <c r="A86" s="3" t="s">
        <v>1166</v>
      </c>
      <c r="B86" s="4" t="s">
        <v>54</v>
      </c>
      <c r="C86" s="4" t="s">
        <v>1167</v>
      </c>
      <c r="D86" s="4" t="s">
        <v>33</v>
      </c>
      <c r="E86" s="4" t="s">
        <v>34</v>
      </c>
      <c r="F86" s="4" t="s">
        <v>35</v>
      </c>
      <c r="G86" s="6">
        <v>46213</v>
      </c>
      <c r="H86" s="4" t="s">
        <v>36</v>
      </c>
      <c r="I86" s="4" t="s">
        <v>377</v>
      </c>
      <c r="J86" s="4" t="s">
        <v>88</v>
      </c>
      <c r="K86" s="4" t="str">
        <f t="shared" ca="1" si="2"/>
        <v>Cerrada</v>
      </c>
      <c r="L86" s="8"/>
      <c r="M86" s="8">
        <v>400000</v>
      </c>
      <c r="N86" s="4" t="s">
        <v>39</v>
      </c>
      <c r="O86" s="4" t="s">
        <v>1168</v>
      </c>
      <c r="P86" s="4" t="s">
        <v>1169</v>
      </c>
      <c r="Q86" s="4" t="s">
        <v>1170</v>
      </c>
      <c r="R86" s="4" t="s">
        <v>1171</v>
      </c>
      <c r="S86" s="4" t="s">
        <v>122</v>
      </c>
      <c r="T86" s="4" t="s">
        <v>1172</v>
      </c>
      <c r="U86" s="4" t="s">
        <v>1173</v>
      </c>
      <c r="V86" s="4" t="s">
        <v>1174</v>
      </c>
      <c r="W86" s="4" t="s">
        <v>1175</v>
      </c>
      <c r="X86" s="4" t="s">
        <v>1176</v>
      </c>
      <c r="Y86" s="4" t="s">
        <v>1177</v>
      </c>
      <c r="Z86" s="4" t="s">
        <v>1178</v>
      </c>
      <c r="AA86" s="4"/>
      <c r="AB86" s="6">
        <v>46226</v>
      </c>
      <c r="AC86" s="4" t="s">
        <v>1179</v>
      </c>
      <c r="AD86" s="4" t="s">
        <v>1180</v>
      </c>
    </row>
    <row r="87" spans="1:30" ht="114">
      <c r="A87" s="3" t="s">
        <v>1181</v>
      </c>
      <c r="B87" s="4" t="s">
        <v>54</v>
      </c>
      <c r="C87" s="4" t="s">
        <v>1182</v>
      </c>
      <c r="D87" s="4" t="s">
        <v>1183</v>
      </c>
      <c r="E87" s="4" t="s">
        <v>34</v>
      </c>
      <c r="F87" s="4" t="s">
        <v>35</v>
      </c>
      <c r="G87" s="6">
        <v>46253</v>
      </c>
      <c r="H87" s="4" t="s">
        <v>36</v>
      </c>
      <c r="I87" s="4" t="s">
        <v>377</v>
      </c>
      <c r="J87" s="4" t="s">
        <v>38</v>
      </c>
      <c r="K87" s="4" t="str">
        <f t="shared" ca="1" si="2"/>
        <v>Vencida</v>
      </c>
      <c r="L87" s="8">
        <v>50000</v>
      </c>
      <c r="M87" s="8">
        <v>400000</v>
      </c>
      <c r="N87" s="4" t="s">
        <v>39</v>
      </c>
      <c r="O87" s="4" t="s">
        <v>1184</v>
      </c>
      <c r="P87" s="4" t="s">
        <v>124</v>
      </c>
      <c r="Q87" s="4" t="s">
        <v>1185</v>
      </c>
      <c r="R87" s="4" t="s">
        <v>1186</v>
      </c>
      <c r="S87" s="4" t="s">
        <v>1187</v>
      </c>
      <c r="T87" s="4" t="s">
        <v>44</v>
      </c>
      <c r="U87" s="4" t="s">
        <v>1188</v>
      </c>
      <c r="V87" s="4" t="s">
        <v>1189</v>
      </c>
      <c r="W87" s="4" t="s">
        <v>1190</v>
      </c>
      <c r="X87" s="4" t="s">
        <v>1191</v>
      </c>
      <c r="Y87" s="4" t="s">
        <v>1192</v>
      </c>
      <c r="Z87" s="4" t="s">
        <v>1193</v>
      </c>
      <c r="AA87" s="4"/>
      <c r="AB87" s="6">
        <v>46227</v>
      </c>
      <c r="AC87" s="4" t="s">
        <v>1194</v>
      </c>
      <c r="AD87" s="4" t="s">
        <v>1195</v>
      </c>
    </row>
    <row r="88" spans="1:30" ht="85.5">
      <c r="A88" s="3" t="s">
        <v>1196</v>
      </c>
      <c r="B88" s="4" t="s">
        <v>54</v>
      </c>
      <c r="C88" s="4" t="s">
        <v>1197</v>
      </c>
      <c r="D88" s="4" t="s">
        <v>1198</v>
      </c>
      <c r="E88" s="4" t="s">
        <v>85</v>
      </c>
      <c r="F88" s="4" t="s">
        <v>86</v>
      </c>
      <c r="G88" s="6">
        <v>46265</v>
      </c>
      <c r="H88" s="4" t="s">
        <v>36</v>
      </c>
      <c r="I88" s="4" t="s">
        <v>158</v>
      </c>
      <c r="J88" s="4" t="s">
        <v>38</v>
      </c>
      <c r="K88" s="4" t="str">
        <f t="shared" ca="1" si="2"/>
        <v>Vencida</v>
      </c>
      <c r="L88" s="8" t="s">
        <v>1199</v>
      </c>
      <c r="M88" s="8" t="s">
        <v>1199</v>
      </c>
      <c r="N88" s="4" t="s">
        <v>1200</v>
      </c>
      <c r="O88" s="4" t="s">
        <v>821</v>
      </c>
      <c r="P88" s="4" t="s">
        <v>471</v>
      </c>
      <c r="Q88" s="4" t="s">
        <v>1201</v>
      </c>
      <c r="R88" s="4" t="s">
        <v>1202</v>
      </c>
      <c r="S88" s="4" t="s">
        <v>86</v>
      </c>
      <c r="T88" s="4" t="s">
        <v>1203</v>
      </c>
      <c r="U88" s="4" t="s">
        <v>1188</v>
      </c>
      <c r="V88" s="4" t="s">
        <v>1204</v>
      </c>
      <c r="W88" s="4" t="s">
        <v>1205</v>
      </c>
      <c r="X88" s="4" t="s">
        <v>1206</v>
      </c>
      <c r="Y88" s="4" t="s">
        <v>1207</v>
      </c>
      <c r="Z88" s="4" t="s">
        <v>1208</v>
      </c>
      <c r="AA88" s="4"/>
      <c r="AB88" s="6">
        <v>46227</v>
      </c>
      <c r="AC88" s="4" t="s">
        <v>1209</v>
      </c>
      <c r="AD88" s="4" t="s">
        <v>1210</v>
      </c>
    </row>
    <row r="89" spans="1:30" ht="128.25">
      <c r="A89" s="3" t="s">
        <v>1211</v>
      </c>
      <c r="B89" s="4" t="s">
        <v>54</v>
      </c>
      <c r="C89" s="4" t="s">
        <v>1212</v>
      </c>
      <c r="D89" s="4" t="s">
        <v>1213</v>
      </c>
      <c r="E89" s="4" t="s">
        <v>139</v>
      </c>
      <c r="F89" s="4" t="s">
        <v>906</v>
      </c>
      <c r="G89" s="6">
        <v>46070</v>
      </c>
      <c r="H89" s="4" t="s">
        <v>36</v>
      </c>
      <c r="I89" s="4" t="s">
        <v>377</v>
      </c>
      <c r="J89" s="4" t="s">
        <v>88</v>
      </c>
      <c r="K89" s="4" t="str">
        <f t="shared" ca="1" si="2"/>
        <v>Cerrada</v>
      </c>
      <c r="L89" s="8">
        <v>5000000</v>
      </c>
      <c r="M89" s="8">
        <v>20000000</v>
      </c>
      <c r="N89" s="4" t="s">
        <v>197</v>
      </c>
      <c r="O89" s="4" t="s">
        <v>1214</v>
      </c>
      <c r="P89" s="4" t="s">
        <v>142</v>
      </c>
      <c r="Q89" s="4" t="s">
        <v>270</v>
      </c>
      <c r="R89" s="4" t="s">
        <v>1215</v>
      </c>
      <c r="S89" s="4" t="s">
        <v>1216</v>
      </c>
      <c r="T89" s="4" t="s">
        <v>44</v>
      </c>
      <c r="U89" s="4" t="s">
        <v>1217</v>
      </c>
      <c r="V89" s="4" t="s">
        <v>1218</v>
      </c>
      <c r="W89" s="4" t="s">
        <v>1219</v>
      </c>
      <c r="X89" s="4" t="s">
        <v>1220</v>
      </c>
      <c r="Y89" s="4" t="s">
        <v>1221</v>
      </c>
      <c r="Z89" s="4" t="s">
        <v>1222</v>
      </c>
      <c r="AA89" s="4"/>
      <c r="AB89" s="6">
        <v>46227</v>
      </c>
      <c r="AC89" s="4" t="s">
        <v>1223</v>
      </c>
      <c r="AD89" s="4" t="s">
        <v>1224</v>
      </c>
    </row>
    <row r="90" spans="1:30" ht="114">
      <c r="A90" s="3" t="s">
        <v>1225</v>
      </c>
      <c r="B90" s="4" t="s">
        <v>54</v>
      </c>
      <c r="C90" s="4" t="s">
        <v>1226</v>
      </c>
      <c r="D90" s="4" t="s">
        <v>1213</v>
      </c>
      <c r="E90" s="4" t="s">
        <v>139</v>
      </c>
      <c r="F90" s="4" t="s">
        <v>906</v>
      </c>
      <c r="G90" s="6">
        <v>46042</v>
      </c>
      <c r="H90" s="4" t="s">
        <v>36</v>
      </c>
      <c r="I90" s="4" t="s">
        <v>377</v>
      </c>
      <c r="J90" s="4" t="s">
        <v>88</v>
      </c>
      <c r="K90" s="4" t="str">
        <f t="shared" ca="1" si="2"/>
        <v>Cerrada</v>
      </c>
      <c r="L90" s="8">
        <v>300000</v>
      </c>
      <c r="M90" s="8">
        <v>800000</v>
      </c>
      <c r="N90" s="4" t="s">
        <v>197</v>
      </c>
      <c r="O90" s="4" t="s">
        <v>1227</v>
      </c>
      <c r="P90" s="4" t="s">
        <v>142</v>
      </c>
      <c r="Q90" s="4" t="s">
        <v>270</v>
      </c>
      <c r="R90" s="4" t="s">
        <v>1228</v>
      </c>
      <c r="S90" s="4" t="s">
        <v>1229</v>
      </c>
      <c r="T90" s="4" t="s">
        <v>44</v>
      </c>
      <c r="U90" s="4" t="s">
        <v>1217</v>
      </c>
      <c r="V90" s="4" t="s">
        <v>1230</v>
      </c>
      <c r="W90" s="4" t="s">
        <v>1231</v>
      </c>
      <c r="X90" s="4" t="s">
        <v>1232</v>
      </c>
      <c r="Y90" s="4" t="s">
        <v>1233</v>
      </c>
      <c r="Z90" s="4" t="s">
        <v>1234</v>
      </c>
      <c r="AA90" s="4"/>
      <c r="AB90" s="6">
        <v>46227</v>
      </c>
      <c r="AC90" s="4" t="s">
        <v>1223</v>
      </c>
      <c r="AD90" s="4" t="s">
        <v>1235</v>
      </c>
    </row>
    <row r="91" spans="1:30" ht="128.25">
      <c r="A91" s="3" t="s">
        <v>1236</v>
      </c>
      <c r="B91" s="4" t="s">
        <v>54</v>
      </c>
      <c r="C91" s="4" t="s">
        <v>1237</v>
      </c>
      <c r="D91" s="4" t="s">
        <v>1238</v>
      </c>
      <c r="E91" s="4" t="s">
        <v>121</v>
      </c>
      <c r="F91" s="4" t="s">
        <v>122</v>
      </c>
      <c r="G91" s="6"/>
      <c r="H91" s="4" t="s">
        <v>225</v>
      </c>
      <c r="I91" s="4" t="s">
        <v>87</v>
      </c>
      <c r="J91" s="4" t="s">
        <v>38</v>
      </c>
      <c r="K91" s="4" t="str">
        <f t="shared" ca="1" si="2"/>
        <v>Sin fecha</v>
      </c>
      <c r="L91" s="8" t="s">
        <v>1199</v>
      </c>
      <c r="M91" s="8" t="s">
        <v>1199</v>
      </c>
      <c r="N91" s="4" t="s">
        <v>39</v>
      </c>
      <c r="O91" s="4" t="s">
        <v>1184</v>
      </c>
      <c r="P91" s="4" t="s">
        <v>61</v>
      </c>
      <c r="Q91" s="4" t="s">
        <v>270</v>
      </c>
      <c r="R91" s="4" t="s">
        <v>1239</v>
      </c>
      <c r="S91" s="4" t="s">
        <v>1240</v>
      </c>
      <c r="T91" s="4" t="s">
        <v>44</v>
      </c>
      <c r="U91" s="4" t="s">
        <v>1217</v>
      </c>
      <c r="V91" s="4" t="s">
        <v>1241</v>
      </c>
      <c r="W91" s="4" t="s">
        <v>1242</v>
      </c>
      <c r="X91" s="4" t="s">
        <v>1243</v>
      </c>
      <c r="Y91" s="4" t="s">
        <v>1244</v>
      </c>
      <c r="Z91" s="13" t="s">
        <v>1245</v>
      </c>
      <c r="AA91" s="4"/>
      <c r="AB91" s="6">
        <v>46227</v>
      </c>
      <c r="AC91" s="4" t="s">
        <v>1246</v>
      </c>
      <c r="AD91" s="4" t="s">
        <v>1247</v>
      </c>
    </row>
    <row r="92" spans="1:30" ht="142.5">
      <c r="A92" s="3" t="s">
        <v>1248</v>
      </c>
      <c r="B92" s="4" t="s">
        <v>54</v>
      </c>
      <c r="C92" s="4" t="s">
        <v>1249</v>
      </c>
      <c r="D92" s="4" t="s">
        <v>1250</v>
      </c>
      <c r="E92" s="4" t="s">
        <v>121</v>
      </c>
      <c r="F92" s="4" t="s">
        <v>122</v>
      </c>
      <c r="G92" s="6">
        <v>46188</v>
      </c>
      <c r="H92" s="4" t="s">
        <v>36</v>
      </c>
      <c r="I92" s="4" t="s">
        <v>58</v>
      </c>
      <c r="J92" s="4" t="s">
        <v>88</v>
      </c>
      <c r="K92" s="4" t="str">
        <f t="shared" ca="1" si="2"/>
        <v>Cerrada</v>
      </c>
      <c r="L92" s="8">
        <v>5000000</v>
      </c>
      <c r="M92" s="8">
        <v>20000000</v>
      </c>
      <c r="N92" s="4" t="s">
        <v>39</v>
      </c>
      <c r="O92" s="4" t="s">
        <v>1251</v>
      </c>
      <c r="P92" s="4" t="s">
        <v>61</v>
      </c>
      <c r="Q92" s="4" t="s">
        <v>270</v>
      </c>
      <c r="R92" s="4" t="s">
        <v>1252</v>
      </c>
      <c r="S92" s="4" t="s">
        <v>1253</v>
      </c>
      <c r="T92" s="4" t="s">
        <v>44</v>
      </c>
      <c r="U92" s="4" t="s">
        <v>1217</v>
      </c>
      <c r="V92" s="4" t="s">
        <v>1254</v>
      </c>
      <c r="W92" s="4" t="s">
        <v>1255</v>
      </c>
      <c r="X92" s="4" t="s">
        <v>1256</v>
      </c>
      <c r="Y92" s="4" t="s">
        <v>1257</v>
      </c>
      <c r="Z92" s="13" t="s">
        <v>1258</v>
      </c>
      <c r="AA92" s="4"/>
      <c r="AB92" s="6">
        <v>46227</v>
      </c>
      <c r="AC92" s="4" t="s">
        <v>1259</v>
      </c>
      <c r="AD92" s="4" t="s">
        <v>1260</v>
      </c>
    </row>
    <row r="93" spans="1:30" ht="128.25">
      <c r="A93" s="3" t="s">
        <v>1352</v>
      </c>
      <c r="B93" s="4" t="s">
        <v>54</v>
      </c>
      <c r="C93" s="4" t="s">
        <v>1308</v>
      </c>
      <c r="D93" s="4" t="s">
        <v>1309</v>
      </c>
      <c r="E93" s="4" t="s">
        <v>121</v>
      </c>
      <c r="F93" s="4" t="s">
        <v>196</v>
      </c>
      <c r="G93" s="6">
        <v>46350</v>
      </c>
      <c r="H93" s="4" t="s">
        <v>36</v>
      </c>
      <c r="I93" s="4" t="s">
        <v>87</v>
      </c>
      <c r="J93" s="4" t="s">
        <v>38</v>
      </c>
      <c r="K93" s="4" t="str">
        <f t="shared" ca="1" si="2"/>
        <v>Abierta</v>
      </c>
      <c r="L93" s="8" t="s">
        <v>1199</v>
      </c>
      <c r="M93" s="8" t="s">
        <v>1199</v>
      </c>
      <c r="N93" s="4" t="s">
        <v>197</v>
      </c>
      <c r="O93" s="4" t="s">
        <v>1310</v>
      </c>
      <c r="P93" s="4" t="s">
        <v>142</v>
      </c>
      <c r="Q93" s="4" t="s">
        <v>1311</v>
      </c>
      <c r="R93" s="4" t="s">
        <v>1312</v>
      </c>
      <c r="S93" s="4" t="s">
        <v>1313</v>
      </c>
      <c r="T93" s="4" t="s">
        <v>1314</v>
      </c>
      <c r="U93" s="4" t="s">
        <v>1315</v>
      </c>
      <c r="V93" s="4" t="s">
        <v>1316</v>
      </c>
      <c r="W93" s="4" t="s">
        <v>1317</v>
      </c>
      <c r="X93" s="4" t="s">
        <v>1318</v>
      </c>
      <c r="Y93" s="4" t="s">
        <v>1319</v>
      </c>
      <c r="Z93" s="4" t="s">
        <v>1320</v>
      </c>
      <c r="AA93" s="4"/>
      <c r="AB93" s="6">
        <v>46230</v>
      </c>
      <c r="AC93" s="4" t="s">
        <v>1321</v>
      </c>
      <c r="AD93" s="4" t="s">
        <v>1322</v>
      </c>
    </row>
    <row r="94" spans="1:30" ht="128.25">
      <c r="A94" s="3" t="s">
        <v>1353</v>
      </c>
      <c r="B94" s="4" t="s">
        <v>54</v>
      </c>
      <c r="C94" s="4" t="s">
        <v>1323</v>
      </c>
      <c r="D94" s="4" t="s">
        <v>1324</v>
      </c>
      <c r="E94" s="4" t="s">
        <v>470</v>
      </c>
      <c r="F94" s="4" t="s">
        <v>35</v>
      </c>
      <c r="G94" s="6">
        <v>46327</v>
      </c>
      <c r="H94" s="4" t="s">
        <v>36</v>
      </c>
      <c r="I94" s="4" t="s">
        <v>58</v>
      </c>
      <c r="J94" s="4" t="s">
        <v>38</v>
      </c>
      <c r="K94" s="4" t="str">
        <f t="shared" ca="1" si="2"/>
        <v>Abierta</v>
      </c>
      <c r="L94" s="8" t="s">
        <v>1199</v>
      </c>
      <c r="M94" s="8">
        <v>15000</v>
      </c>
      <c r="N94" s="4" t="s">
        <v>39</v>
      </c>
      <c r="O94" s="4" t="s">
        <v>1325</v>
      </c>
      <c r="P94" s="4" t="s">
        <v>124</v>
      </c>
      <c r="Q94" s="4" t="s">
        <v>270</v>
      </c>
      <c r="R94" s="4" t="s">
        <v>1326</v>
      </c>
      <c r="S94" s="4" t="s">
        <v>122</v>
      </c>
      <c r="T94" s="4" t="s">
        <v>44</v>
      </c>
      <c r="U94" s="4" t="s">
        <v>1327</v>
      </c>
      <c r="V94" s="4" t="s">
        <v>1328</v>
      </c>
      <c r="W94" s="4" t="s">
        <v>1329</v>
      </c>
      <c r="X94" s="4" t="s">
        <v>1330</v>
      </c>
      <c r="Y94" s="4" t="s">
        <v>1331</v>
      </c>
      <c r="Z94" s="4" t="s">
        <v>1332</v>
      </c>
      <c r="AA94" s="4"/>
      <c r="AB94" s="6">
        <v>46230</v>
      </c>
      <c r="AC94" s="4" t="s">
        <v>1333</v>
      </c>
      <c r="AD94" s="4" t="s">
        <v>1334</v>
      </c>
    </row>
    <row r="95" spans="1:30" ht="114">
      <c r="A95" s="3" t="s">
        <v>1354</v>
      </c>
      <c r="B95" s="4" t="s">
        <v>54</v>
      </c>
      <c r="C95" s="4" t="s">
        <v>1335</v>
      </c>
      <c r="D95" s="4" t="s">
        <v>1336</v>
      </c>
      <c r="E95" s="4" t="s">
        <v>470</v>
      </c>
      <c r="F95" s="4" t="s">
        <v>35</v>
      </c>
      <c r="G95" s="6">
        <v>46327</v>
      </c>
      <c r="H95" s="4" t="s">
        <v>36</v>
      </c>
      <c r="I95" s="4" t="s">
        <v>58</v>
      </c>
      <c r="J95" s="4" t="s">
        <v>38</v>
      </c>
      <c r="K95" s="4" t="str">
        <f t="shared" ca="1" si="2"/>
        <v>Abierta</v>
      </c>
      <c r="L95" s="8" t="s">
        <v>1199</v>
      </c>
      <c r="M95" s="8">
        <v>5000</v>
      </c>
      <c r="N95" s="4" t="s">
        <v>39</v>
      </c>
      <c r="O95" s="4" t="s">
        <v>339</v>
      </c>
      <c r="P95" s="4" t="s">
        <v>124</v>
      </c>
      <c r="Q95" s="4" t="s">
        <v>42</v>
      </c>
      <c r="R95" s="4" t="s">
        <v>271</v>
      </c>
      <c r="S95" s="4" t="s">
        <v>122</v>
      </c>
      <c r="T95" s="4" t="s">
        <v>44</v>
      </c>
      <c r="U95" s="4" t="s">
        <v>1337</v>
      </c>
      <c r="V95" s="4" t="s">
        <v>1338</v>
      </c>
      <c r="W95" s="4" t="s">
        <v>1339</v>
      </c>
      <c r="X95" s="4" t="s">
        <v>1340</v>
      </c>
      <c r="Y95" s="4" t="s">
        <v>1341</v>
      </c>
      <c r="Z95" s="4" t="s">
        <v>1342</v>
      </c>
      <c r="AA95" s="4"/>
      <c r="AB95" s="6">
        <v>46230</v>
      </c>
      <c r="AC95" s="4" t="s">
        <v>1343</v>
      </c>
      <c r="AD95" s="4" t="s">
        <v>1344</v>
      </c>
    </row>
    <row r="96" spans="1:30" ht="114">
      <c r="A96" s="3" t="s">
        <v>1355</v>
      </c>
      <c r="B96" s="4" t="s">
        <v>54</v>
      </c>
      <c r="C96" s="4" t="s">
        <v>1345</v>
      </c>
      <c r="D96" s="4" t="s">
        <v>1336</v>
      </c>
      <c r="E96" s="4" t="s">
        <v>470</v>
      </c>
      <c r="F96" s="4" t="s">
        <v>35</v>
      </c>
      <c r="G96" s="6">
        <v>46327</v>
      </c>
      <c r="H96" s="4" t="s">
        <v>36</v>
      </c>
      <c r="I96" s="4" t="s">
        <v>58</v>
      </c>
      <c r="J96" s="4" t="s">
        <v>38</v>
      </c>
      <c r="K96" s="4" t="str">
        <f t="shared" ca="1" si="2"/>
        <v>Abierta</v>
      </c>
      <c r="L96" s="8" t="s">
        <v>1199</v>
      </c>
      <c r="M96" s="8">
        <v>8500</v>
      </c>
      <c r="N96" s="4" t="s">
        <v>39</v>
      </c>
      <c r="O96" s="4" t="s">
        <v>339</v>
      </c>
      <c r="P96" s="4" t="s">
        <v>124</v>
      </c>
      <c r="Q96" s="4" t="s">
        <v>42</v>
      </c>
      <c r="R96" s="4" t="s">
        <v>271</v>
      </c>
      <c r="S96" s="4" t="s">
        <v>122</v>
      </c>
      <c r="T96" s="4" t="s">
        <v>44</v>
      </c>
      <c r="U96" s="4" t="s">
        <v>1346</v>
      </c>
      <c r="V96" s="4" t="s">
        <v>1356</v>
      </c>
      <c r="W96" s="4" t="s">
        <v>1347</v>
      </c>
      <c r="X96" s="4" t="s">
        <v>1348</v>
      </c>
      <c r="Y96" s="4" t="s">
        <v>1349</v>
      </c>
      <c r="Z96" s="4" t="s">
        <v>1350</v>
      </c>
      <c r="AA96" s="4"/>
      <c r="AB96" s="6">
        <v>46230</v>
      </c>
      <c r="AC96" s="4" t="s">
        <v>1343</v>
      </c>
      <c r="AD96" s="4" t="s">
        <v>1351</v>
      </c>
    </row>
    <row r="97" spans="1:30" ht="114">
      <c r="A97" s="3" t="s">
        <v>1393</v>
      </c>
      <c r="B97" s="4" t="s">
        <v>54</v>
      </c>
      <c r="C97" s="4" t="s">
        <v>1357</v>
      </c>
      <c r="D97" s="4" t="s">
        <v>1358</v>
      </c>
      <c r="E97" s="4" t="s">
        <v>85</v>
      </c>
      <c r="F97" s="4" t="s">
        <v>86</v>
      </c>
      <c r="G97" s="6"/>
      <c r="H97" s="4" t="s">
        <v>57</v>
      </c>
      <c r="I97" s="4" t="s">
        <v>58</v>
      </c>
      <c r="J97" s="4" t="s">
        <v>38</v>
      </c>
      <c r="K97" s="4" t="str">
        <f t="shared" ca="1" si="2"/>
        <v>Sin fecha</v>
      </c>
      <c r="L97" s="8">
        <v>10000</v>
      </c>
      <c r="M97" s="8">
        <v>500000</v>
      </c>
      <c r="N97" s="4" t="s">
        <v>89</v>
      </c>
      <c r="O97" s="4" t="s">
        <v>1184</v>
      </c>
      <c r="P97" s="4" t="s">
        <v>124</v>
      </c>
      <c r="Q97" s="4" t="s">
        <v>1201</v>
      </c>
      <c r="R97" s="4" t="s">
        <v>43</v>
      </c>
      <c r="S97" s="4" t="s">
        <v>86</v>
      </c>
      <c r="T97" s="4" t="s">
        <v>44</v>
      </c>
      <c r="U97" s="4" t="s">
        <v>1359</v>
      </c>
      <c r="V97" s="4" t="s">
        <v>1399</v>
      </c>
      <c r="W97" s="4" t="s">
        <v>1360</v>
      </c>
      <c r="X97" s="4" t="s">
        <v>1361</v>
      </c>
      <c r="Y97" s="4" t="s">
        <v>1362</v>
      </c>
      <c r="Z97" s="4" t="s">
        <v>1363</v>
      </c>
      <c r="AA97" s="4"/>
      <c r="AB97" s="6">
        <v>46230</v>
      </c>
      <c r="AC97" s="4" t="s">
        <v>1364</v>
      </c>
      <c r="AD97" s="4" t="s">
        <v>1365</v>
      </c>
    </row>
    <row r="98" spans="1:30" ht="114">
      <c r="A98" s="3" t="s">
        <v>1394</v>
      </c>
      <c r="B98" s="4" t="s">
        <v>54</v>
      </c>
      <c r="C98" s="4" t="s">
        <v>1366</v>
      </c>
      <c r="D98" s="4" t="s">
        <v>687</v>
      </c>
      <c r="E98" s="4" t="s">
        <v>34</v>
      </c>
      <c r="F98" s="4" t="s">
        <v>140</v>
      </c>
      <c r="G98" s="6">
        <v>46336</v>
      </c>
      <c r="H98" s="4" t="s">
        <v>36</v>
      </c>
      <c r="I98" s="4" t="s">
        <v>87</v>
      </c>
      <c r="J98" s="4" t="s">
        <v>38</v>
      </c>
      <c r="K98" s="4" t="str">
        <f t="shared" ca="1" si="2"/>
        <v>Abierta</v>
      </c>
      <c r="L98" s="8" t="s">
        <v>1199</v>
      </c>
      <c r="M98" s="8">
        <v>400000</v>
      </c>
      <c r="N98" s="4" t="s">
        <v>141</v>
      </c>
      <c r="O98" s="4" t="s">
        <v>1367</v>
      </c>
      <c r="P98" s="4" t="s">
        <v>159</v>
      </c>
      <c r="Q98" s="4" t="s">
        <v>549</v>
      </c>
      <c r="R98" s="4" t="s">
        <v>1368</v>
      </c>
      <c r="S98" s="4" t="s">
        <v>1369</v>
      </c>
      <c r="T98" s="4" t="s">
        <v>44</v>
      </c>
      <c r="U98" s="4" t="s">
        <v>1370</v>
      </c>
      <c r="V98" s="4" t="s">
        <v>1398</v>
      </c>
      <c r="W98" s="4" t="s">
        <v>1371</v>
      </c>
      <c r="X98" s="4" t="s">
        <v>1372</v>
      </c>
      <c r="Y98" s="4" t="s">
        <v>1373</v>
      </c>
      <c r="Z98" s="4" t="s">
        <v>1374</v>
      </c>
      <c r="AA98" s="4"/>
      <c r="AB98" s="6">
        <v>46230</v>
      </c>
      <c r="AC98" s="4" t="s">
        <v>1375</v>
      </c>
      <c r="AD98" s="4" t="s">
        <v>1376</v>
      </c>
    </row>
    <row r="99" spans="1:30" ht="128.25">
      <c r="A99" s="3" t="s">
        <v>1395</v>
      </c>
      <c r="B99" s="4" t="s">
        <v>54</v>
      </c>
      <c r="C99" s="4" t="s">
        <v>1377</v>
      </c>
      <c r="D99" s="4" t="s">
        <v>687</v>
      </c>
      <c r="E99" s="4" t="s">
        <v>34</v>
      </c>
      <c r="F99" s="4" t="s">
        <v>140</v>
      </c>
      <c r="G99" s="6">
        <v>46343</v>
      </c>
      <c r="H99" s="4" t="s">
        <v>36</v>
      </c>
      <c r="I99" s="4" t="s">
        <v>87</v>
      </c>
      <c r="J99" s="4" t="s">
        <v>38</v>
      </c>
      <c r="K99" s="4" t="str">
        <f t="shared" ca="1" si="2"/>
        <v>Abierta</v>
      </c>
      <c r="L99" s="8" t="s">
        <v>1199</v>
      </c>
      <c r="M99" s="8" t="s">
        <v>1199</v>
      </c>
      <c r="N99" s="4" t="s">
        <v>141</v>
      </c>
      <c r="O99" s="4" t="s">
        <v>1378</v>
      </c>
      <c r="P99" s="4" t="s">
        <v>159</v>
      </c>
      <c r="Q99" s="4" t="s">
        <v>270</v>
      </c>
      <c r="R99" s="4" t="s">
        <v>1368</v>
      </c>
      <c r="S99" s="4" t="s">
        <v>1369</v>
      </c>
      <c r="T99" s="4" t="s">
        <v>44</v>
      </c>
      <c r="U99" s="4" t="s">
        <v>1370</v>
      </c>
      <c r="V99" s="4" t="s">
        <v>1397</v>
      </c>
      <c r="W99" s="4" t="s">
        <v>1379</v>
      </c>
      <c r="X99" s="4" t="s">
        <v>1380</v>
      </c>
      <c r="Y99" s="4" t="s">
        <v>1381</v>
      </c>
      <c r="Z99" s="4" t="s">
        <v>1382</v>
      </c>
      <c r="AA99" s="4"/>
      <c r="AB99" s="6">
        <v>46230</v>
      </c>
      <c r="AC99" s="4" t="s">
        <v>1375</v>
      </c>
      <c r="AD99" s="4" t="s">
        <v>1383</v>
      </c>
    </row>
    <row r="100" spans="1:30" ht="142.5">
      <c r="A100" s="3" t="s">
        <v>1396</v>
      </c>
      <c r="B100" s="4" t="s">
        <v>54</v>
      </c>
      <c r="C100" s="4" t="s">
        <v>1384</v>
      </c>
      <c r="D100" s="4" t="s">
        <v>673</v>
      </c>
      <c r="E100" s="4" t="s">
        <v>139</v>
      </c>
      <c r="F100" s="4" t="s">
        <v>35</v>
      </c>
      <c r="G100" s="6">
        <v>46300</v>
      </c>
      <c r="H100" s="4" t="s">
        <v>36</v>
      </c>
      <c r="I100" s="4" t="s">
        <v>87</v>
      </c>
      <c r="J100" s="4" t="s">
        <v>38</v>
      </c>
      <c r="K100" s="4" t="str">
        <f t="shared" ca="1" si="2"/>
        <v>Próxima a vencer</v>
      </c>
      <c r="L100" s="8" t="s">
        <v>1199</v>
      </c>
      <c r="M100" s="8" t="s">
        <v>1199</v>
      </c>
      <c r="N100" s="4" t="s">
        <v>39</v>
      </c>
      <c r="O100" s="4" t="s">
        <v>1385</v>
      </c>
      <c r="P100" s="4" t="s">
        <v>142</v>
      </c>
      <c r="Q100" s="4" t="s">
        <v>270</v>
      </c>
      <c r="R100" s="4" t="s">
        <v>379</v>
      </c>
      <c r="S100" s="4" t="s">
        <v>122</v>
      </c>
      <c r="T100" s="4" t="s">
        <v>44</v>
      </c>
      <c r="U100" s="4" t="s">
        <v>1386</v>
      </c>
      <c r="V100" s="4" t="s">
        <v>1397</v>
      </c>
      <c r="W100" s="4" t="s">
        <v>1387</v>
      </c>
      <c r="X100" s="4" t="s">
        <v>1388</v>
      </c>
      <c r="Y100" s="4" t="s">
        <v>1389</v>
      </c>
      <c r="Z100" s="4" t="s">
        <v>1390</v>
      </c>
      <c r="AA100" s="4"/>
      <c r="AB100" s="6">
        <v>46230</v>
      </c>
      <c r="AC100" s="4" t="s">
        <v>1391</v>
      </c>
      <c r="AD100" s="4" t="s">
        <v>1392</v>
      </c>
    </row>
    <row r="101" spans="1:30" ht="128.25">
      <c r="A101" s="3" t="s">
        <v>1478</v>
      </c>
      <c r="B101" s="4" t="s">
        <v>54</v>
      </c>
      <c r="C101" s="4" t="s">
        <v>1402</v>
      </c>
      <c r="D101" s="4" t="s">
        <v>1403</v>
      </c>
      <c r="E101" s="4" t="s">
        <v>139</v>
      </c>
      <c r="F101" s="4" t="s">
        <v>35</v>
      </c>
      <c r="G101" s="6">
        <v>46310</v>
      </c>
      <c r="H101" s="4" t="s">
        <v>36</v>
      </c>
      <c r="I101" s="4" t="s">
        <v>87</v>
      </c>
      <c r="J101" s="4" t="s">
        <v>38</v>
      </c>
      <c r="K101" s="4" t="str">
        <f t="shared" ca="1" si="2"/>
        <v>Abierta</v>
      </c>
      <c r="L101" s="8" t="s">
        <v>1199</v>
      </c>
      <c r="M101" s="8" t="s">
        <v>59</v>
      </c>
      <c r="N101" s="4" t="s">
        <v>39</v>
      </c>
      <c r="O101" s="4" t="s">
        <v>1404</v>
      </c>
      <c r="P101" s="4" t="s">
        <v>124</v>
      </c>
      <c r="Q101" s="4" t="s">
        <v>1405</v>
      </c>
      <c r="R101" s="4" t="s">
        <v>379</v>
      </c>
      <c r="S101" s="4" t="s">
        <v>122</v>
      </c>
      <c r="T101" s="4" t="s">
        <v>44</v>
      </c>
      <c r="U101" s="4" t="s">
        <v>1406</v>
      </c>
      <c r="V101" s="4" t="s">
        <v>1407</v>
      </c>
      <c r="W101" s="4" t="s">
        <v>1408</v>
      </c>
      <c r="X101" s="4" t="s">
        <v>1409</v>
      </c>
      <c r="Y101" s="4" t="s">
        <v>1410</v>
      </c>
      <c r="Z101" s="4" t="s">
        <v>1411</v>
      </c>
      <c r="AA101" s="4"/>
      <c r="AB101" s="6">
        <v>46230</v>
      </c>
      <c r="AC101" s="4" t="s">
        <v>1412</v>
      </c>
      <c r="AD101" s="4" t="s">
        <v>1413</v>
      </c>
    </row>
    <row r="102" spans="1:30" ht="114">
      <c r="A102" s="3" t="s">
        <v>1479</v>
      </c>
      <c r="B102" s="4" t="s">
        <v>54</v>
      </c>
      <c r="C102" s="4" t="s">
        <v>1414</v>
      </c>
      <c r="D102" s="4" t="s">
        <v>1403</v>
      </c>
      <c r="E102" s="4" t="s">
        <v>139</v>
      </c>
      <c r="F102" s="4" t="s">
        <v>35</v>
      </c>
      <c r="G102" s="6">
        <v>46310</v>
      </c>
      <c r="H102" s="4" t="s">
        <v>36</v>
      </c>
      <c r="I102" s="4" t="s">
        <v>87</v>
      </c>
      <c r="J102" s="4" t="s">
        <v>226</v>
      </c>
      <c r="K102" s="4" t="str">
        <f t="shared" ca="1" si="2"/>
        <v>Pendiente Apertura</v>
      </c>
      <c r="L102" s="8" t="s">
        <v>1199</v>
      </c>
      <c r="M102" s="8" t="s">
        <v>1199</v>
      </c>
      <c r="N102" s="4" t="s">
        <v>39</v>
      </c>
      <c r="O102" s="4" t="s">
        <v>1415</v>
      </c>
      <c r="P102" s="4" t="s">
        <v>124</v>
      </c>
      <c r="Q102" s="4" t="s">
        <v>1416</v>
      </c>
      <c r="R102" s="4" t="s">
        <v>379</v>
      </c>
      <c r="S102" s="4" t="s">
        <v>122</v>
      </c>
      <c r="T102" s="4" t="s">
        <v>44</v>
      </c>
      <c r="U102" s="4" t="s">
        <v>1417</v>
      </c>
      <c r="V102" s="4" t="s">
        <v>1418</v>
      </c>
      <c r="W102" s="4" t="s">
        <v>1419</v>
      </c>
      <c r="X102" s="4" t="s">
        <v>1420</v>
      </c>
      <c r="Y102" s="4" t="s">
        <v>1421</v>
      </c>
      <c r="Z102" s="4" t="s">
        <v>1422</v>
      </c>
      <c r="AA102" s="4"/>
      <c r="AB102" s="6">
        <v>46230</v>
      </c>
      <c r="AC102" s="4" t="s">
        <v>1423</v>
      </c>
      <c r="AD102" s="4" t="s">
        <v>1424</v>
      </c>
    </row>
    <row r="103" spans="1:30" ht="114">
      <c r="A103" s="3" t="s">
        <v>1480</v>
      </c>
      <c r="B103" s="4" t="s">
        <v>54</v>
      </c>
      <c r="C103" s="4" t="s">
        <v>1425</v>
      </c>
      <c r="D103" s="4" t="s">
        <v>1426</v>
      </c>
      <c r="E103" s="4" t="s">
        <v>34</v>
      </c>
      <c r="F103" s="4" t="s">
        <v>140</v>
      </c>
      <c r="G103" s="6">
        <v>46283</v>
      </c>
      <c r="H103" s="4" t="s">
        <v>36</v>
      </c>
      <c r="I103" s="4" t="s">
        <v>58</v>
      </c>
      <c r="J103" s="4" t="s">
        <v>38</v>
      </c>
      <c r="K103" s="4" t="str">
        <f t="shared" ca="1" si="2"/>
        <v>Próxima a vencer</v>
      </c>
      <c r="L103" s="8">
        <v>250000</v>
      </c>
      <c r="M103" s="8">
        <v>1000000</v>
      </c>
      <c r="N103" s="4" t="s">
        <v>39</v>
      </c>
      <c r="O103" s="4" t="s">
        <v>821</v>
      </c>
      <c r="P103" s="4" t="s">
        <v>471</v>
      </c>
      <c r="Q103" s="4" t="s">
        <v>1427</v>
      </c>
      <c r="R103" s="4" t="s">
        <v>379</v>
      </c>
      <c r="S103" s="4" t="s">
        <v>122</v>
      </c>
      <c r="T103" s="4" t="s">
        <v>44</v>
      </c>
      <c r="U103" s="4" t="s">
        <v>1428</v>
      </c>
      <c r="V103" s="4" t="s">
        <v>1429</v>
      </c>
      <c r="W103" s="4" t="s">
        <v>1430</v>
      </c>
      <c r="X103" s="4" t="s">
        <v>1431</v>
      </c>
      <c r="Y103" s="4" t="s">
        <v>1432</v>
      </c>
      <c r="Z103" s="4" t="s">
        <v>1433</v>
      </c>
      <c r="AA103" s="4"/>
      <c r="AB103" s="6">
        <v>46230</v>
      </c>
      <c r="AC103" s="4" t="s">
        <v>1434</v>
      </c>
      <c r="AD103" s="4" t="s">
        <v>1435</v>
      </c>
    </row>
    <row r="104" spans="1:30" ht="128.25">
      <c r="A104" s="3" t="s">
        <v>1481</v>
      </c>
      <c r="B104" s="4" t="s">
        <v>54</v>
      </c>
      <c r="C104" s="4" t="s">
        <v>1436</v>
      </c>
      <c r="D104" s="4" t="s">
        <v>1437</v>
      </c>
      <c r="E104" s="4" t="s">
        <v>121</v>
      </c>
      <c r="F104" s="4" t="s">
        <v>196</v>
      </c>
      <c r="G104" s="6">
        <v>46282</v>
      </c>
      <c r="H104" s="4" t="s">
        <v>36</v>
      </c>
      <c r="I104" s="4" t="s">
        <v>87</v>
      </c>
      <c r="J104" s="4" t="s">
        <v>38</v>
      </c>
      <c r="K104" s="4" t="str">
        <f t="shared" ca="1" si="2"/>
        <v>Próxima a vencer</v>
      </c>
      <c r="L104" s="8" t="s">
        <v>1199</v>
      </c>
      <c r="M104" s="8">
        <v>6000000</v>
      </c>
      <c r="N104" s="4" t="s">
        <v>197</v>
      </c>
      <c r="O104" s="4" t="s">
        <v>1438</v>
      </c>
      <c r="P104" s="4" t="s">
        <v>142</v>
      </c>
      <c r="Q104" s="4" t="s">
        <v>1439</v>
      </c>
      <c r="R104" s="4" t="s">
        <v>313</v>
      </c>
      <c r="S104" s="4" t="s">
        <v>1440</v>
      </c>
      <c r="T104" s="4" t="s">
        <v>44</v>
      </c>
      <c r="U104" s="4" t="s">
        <v>1441</v>
      </c>
      <c r="V104" s="4" t="s">
        <v>1442</v>
      </c>
      <c r="W104" s="4" t="s">
        <v>1443</v>
      </c>
      <c r="X104" s="4" t="s">
        <v>1444</v>
      </c>
      <c r="Y104" s="4" t="s">
        <v>1445</v>
      </c>
      <c r="Z104" s="4" t="s">
        <v>1446</v>
      </c>
      <c r="AA104" s="4"/>
      <c r="AB104" s="6">
        <v>46230</v>
      </c>
      <c r="AC104" s="4" t="s">
        <v>1447</v>
      </c>
      <c r="AD104" s="4" t="s">
        <v>1448</v>
      </c>
    </row>
    <row r="105" spans="1:30" ht="142.5">
      <c r="A105" s="3" t="s">
        <v>1482</v>
      </c>
      <c r="B105" s="4" t="s">
        <v>54</v>
      </c>
      <c r="C105" s="4" t="s">
        <v>1449</v>
      </c>
      <c r="D105" s="4" t="s">
        <v>1437</v>
      </c>
      <c r="E105" s="4" t="s">
        <v>121</v>
      </c>
      <c r="F105" s="4" t="s">
        <v>196</v>
      </c>
      <c r="G105" s="6">
        <v>46282</v>
      </c>
      <c r="H105" s="4" t="s">
        <v>36</v>
      </c>
      <c r="I105" s="4" t="s">
        <v>87</v>
      </c>
      <c r="J105" s="4" t="s">
        <v>38</v>
      </c>
      <c r="K105" s="4" t="str">
        <f t="shared" ca="1" si="2"/>
        <v>Próxima a vencer</v>
      </c>
      <c r="L105" s="8" t="s">
        <v>1199</v>
      </c>
      <c r="M105" s="8">
        <v>5000000</v>
      </c>
      <c r="N105" s="4" t="s">
        <v>197</v>
      </c>
      <c r="O105" s="4" t="s">
        <v>1438</v>
      </c>
      <c r="P105" s="4" t="s">
        <v>142</v>
      </c>
      <c r="Q105" s="4" t="s">
        <v>1450</v>
      </c>
      <c r="R105" s="4" t="s">
        <v>313</v>
      </c>
      <c r="S105" s="4" t="s">
        <v>1440</v>
      </c>
      <c r="T105" s="4" t="s">
        <v>44</v>
      </c>
      <c r="U105" s="4" t="s">
        <v>1451</v>
      </c>
      <c r="V105" s="4" t="s">
        <v>1452</v>
      </c>
      <c r="W105" s="4" t="s">
        <v>1453</v>
      </c>
      <c r="X105" s="4" t="s">
        <v>1454</v>
      </c>
      <c r="Y105" s="4" t="s">
        <v>1455</v>
      </c>
      <c r="Z105" s="4" t="s">
        <v>1456</v>
      </c>
      <c r="AA105" s="4"/>
      <c r="AB105" s="6">
        <v>46230</v>
      </c>
      <c r="AC105" s="4" t="s">
        <v>1447</v>
      </c>
      <c r="AD105" s="4" t="s">
        <v>1457</v>
      </c>
    </row>
    <row r="106" spans="1:30" ht="128.25">
      <c r="A106" s="3" t="s">
        <v>1483</v>
      </c>
      <c r="B106" s="4" t="s">
        <v>54</v>
      </c>
      <c r="C106" s="4" t="s">
        <v>1458</v>
      </c>
      <c r="D106" s="4" t="s">
        <v>1459</v>
      </c>
      <c r="E106" s="4" t="s">
        <v>121</v>
      </c>
      <c r="F106" s="4" t="s">
        <v>196</v>
      </c>
      <c r="G106" s="6">
        <v>46287</v>
      </c>
      <c r="H106" s="4" t="s">
        <v>36</v>
      </c>
      <c r="I106" s="4" t="s">
        <v>87</v>
      </c>
      <c r="J106" s="4" t="s">
        <v>38</v>
      </c>
      <c r="K106" s="4" t="str">
        <f t="shared" ca="1" si="2"/>
        <v>Próxima a vencer</v>
      </c>
      <c r="L106" s="8" t="s">
        <v>1199</v>
      </c>
      <c r="M106" s="8">
        <v>7000000</v>
      </c>
      <c r="N106" s="4" t="s">
        <v>197</v>
      </c>
      <c r="O106" s="4" t="s">
        <v>1438</v>
      </c>
      <c r="P106" s="4" t="s">
        <v>242</v>
      </c>
      <c r="Q106" s="4" t="s">
        <v>1460</v>
      </c>
      <c r="R106" s="4" t="s">
        <v>313</v>
      </c>
      <c r="S106" s="4" t="s">
        <v>1440</v>
      </c>
      <c r="T106" s="4" t="s">
        <v>44</v>
      </c>
      <c r="U106" s="4" t="s">
        <v>1461</v>
      </c>
      <c r="V106" s="4" t="s">
        <v>1462</v>
      </c>
      <c r="W106" s="4" t="s">
        <v>1463</v>
      </c>
      <c r="X106" s="4" t="s">
        <v>1464</v>
      </c>
      <c r="Y106" s="4" t="s">
        <v>1465</v>
      </c>
      <c r="Z106" s="4" t="s">
        <v>1466</v>
      </c>
      <c r="AA106" s="4"/>
      <c r="AB106" s="6">
        <v>46230</v>
      </c>
      <c r="AC106" s="4" t="s">
        <v>1467</v>
      </c>
      <c r="AD106" s="4" t="s">
        <v>1468</v>
      </c>
    </row>
    <row r="107" spans="1:30" ht="128.25">
      <c r="A107" s="3" t="s">
        <v>1484</v>
      </c>
      <c r="B107" s="4" t="s">
        <v>54</v>
      </c>
      <c r="C107" s="4" t="s">
        <v>1469</v>
      </c>
      <c r="D107" s="4" t="s">
        <v>1459</v>
      </c>
      <c r="E107" s="4" t="s">
        <v>121</v>
      </c>
      <c r="F107" s="4" t="s">
        <v>196</v>
      </c>
      <c r="G107" s="6">
        <v>46287</v>
      </c>
      <c r="H107" s="4" t="s">
        <v>36</v>
      </c>
      <c r="I107" s="4" t="s">
        <v>87</v>
      </c>
      <c r="J107" s="4" t="s">
        <v>38</v>
      </c>
      <c r="K107" s="4" t="str">
        <f t="shared" ca="1" si="2"/>
        <v>Próxima a vencer</v>
      </c>
      <c r="L107" s="8" t="s">
        <v>1199</v>
      </c>
      <c r="M107" s="8">
        <v>7000000</v>
      </c>
      <c r="N107" s="4" t="s">
        <v>197</v>
      </c>
      <c r="O107" s="4" t="s">
        <v>1438</v>
      </c>
      <c r="P107" s="4" t="s">
        <v>242</v>
      </c>
      <c r="Q107" s="4" t="s">
        <v>1470</v>
      </c>
      <c r="R107" s="4" t="s">
        <v>313</v>
      </c>
      <c r="S107" s="4" t="s">
        <v>1440</v>
      </c>
      <c r="T107" s="4" t="s">
        <v>44</v>
      </c>
      <c r="U107" s="4" t="s">
        <v>1471</v>
      </c>
      <c r="V107" s="4" t="s">
        <v>1472</v>
      </c>
      <c r="W107" s="4" t="s">
        <v>1473</v>
      </c>
      <c r="X107" s="4" t="s">
        <v>1474</v>
      </c>
      <c r="Y107" s="4" t="s">
        <v>1475</v>
      </c>
      <c r="Z107" s="4" t="s">
        <v>1476</v>
      </c>
      <c r="AA107" s="4"/>
      <c r="AB107" s="6">
        <v>46230</v>
      </c>
      <c r="AC107" s="4" t="s">
        <v>1467</v>
      </c>
      <c r="AD107" s="4" t="s">
        <v>1477</v>
      </c>
    </row>
    <row r="108" spans="1:30" ht="128.25">
      <c r="A108" s="3" t="s">
        <v>1585</v>
      </c>
      <c r="B108" s="4" t="s">
        <v>54</v>
      </c>
      <c r="C108" s="4" t="s">
        <v>1485</v>
      </c>
      <c r="D108" s="4" t="s">
        <v>1486</v>
      </c>
      <c r="E108" s="4" t="s">
        <v>121</v>
      </c>
      <c r="F108" s="4" t="s">
        <v>122</v>
      </c>
      <c r="G108" s="6">
        <v>46253</v>
      </c>
      <c r="H108" s="4" t="s">
        <v>36</v>
      </c>
      <c r="I108" s="4" t="s">
        <v>87</v>
      </c>
      <c r="J108" s="4" t="s">
        <v>38</v>
      </c>
      <c r="K108" s="4" t="str">
        <f t="shared" ca="1" si="2"/>
        <v>Vencida</v>
      </c>
      <c r="L108" s="8" t="s">
        <v>1199</v>
      </c>
      <c r="M108" s="8">
        <v>30000</v>
      </c>
      <c r="N108" s="4" t="s">
        <v>39</v>
      </c>
      <c r="O108" s="4" t="s">
        <v>40</v>
      </c>
      <c r="P108" s="4" t="s">
        <v>124</v>
      </c>
      <c r="Q108" s="4" t="s">
        <v>1487</v>
      </c>
      <c r="R108" s="4" t="s">
        <v>379</v>
      </c>
      <c r="S108" s="4" t="s">
        <v>1488</v>
      </c>
      <c r="T108" s="4" t="s">
        <v>44</v>
      </c>
      <c r="U108" s="4" t="s">
        <v>1489</v>
      </c>
      <c r="V108" s="4" t="s">
        <v>1490</v>
      </c>
      <c r="W108" s="4" t="s">
        <v>1491</v>
      </c>
      <c r="X108" s="4" t="s">
        <v>1492</v>
      </c>
      <c r="Y108" s="4" t="s">
        <v>1493</v>
      </c>
      <c r="Z108" s="4" t="s">
        <v>1494</v>
      </c>
      <c r="AA108" s="4"/>
      <c r="AB108" s="6">
        <v>46230</v>
      </c>
      <c r="AC108" s="4" t="s">
        <v>1495</v>
      </c>
      <c r="AD108" s="4" t="s">
        <v>1496</v>
      </c>
    </row>
    <row r="109" spans="1:30" ht="114">
      <c r="A109" s="3" t="s">
        <v>1586</v>
      </c>
      <c r="B109" s="4" t="s">
        <v>54</v>
      </c>
      <c r="C109" s="4" t="s">
        <v>1497</v>
      </c>
      <c r="D109" s="4" t="s">
        <v>1498</v>
      </c>
      <c r="E109" s="4" t="s">
        <v>1266</v>
      </c>
      <c r="F109" s="4" t="s">
        <v>122</v>
      </c>
      <c r="G109" s="6">
        <v>46215</v>
      </c>
      <c r="H109" s="4" t="s">
        <v>36</v>
      </c>
      <c r="I109" s="4" t="s">
        <v>377</v>
      </c>
      <c r="J109" s="4" t="s">
        <v>88</v>
      </c>
      <c r="K109" s="4" t="str">
        <f t="shared" ca="1" si="2"/>
        <v>Cerrada</v>
      </c>
      <c r="L109" s="8" t="s">
        <v>1199</v>
      </c>
      <c r="M109" s="8">
        <v>20000</v>
      </c>
      <c r="N109" s="4" t="s">
        <v>39</v>
      </c>
      <c r="O109" s="4" t="s">
        <v>1077</v>
      </c>
      <c r="P109" s="4" t="s">
        <v>242</v>
      </c>
      <c r="Q109" s="4" t="s">
        <v>1499</v>
      </c>
      <c r="R109" s="4" t="s">
        <v>379</v>
      </c>
      <c r="S109" s="4" t="s">
        <v>1500</v>
      </c>
      <c r="T109" s="4" t="s">
        <v>44</v>
      </c>
      <c r="U109" s="4" t="s">
        <v>1501</v>
      </c>
      <c r="V109" s="4" t="s">
        <v>1502</v>
      </c>
      <c r="W109" s="4" t="s">
        <v>1503</v>
      </c>
      <c r="X109" s="4" t="s">
        <v>1504</v>
      </c>
      <c r="Y109" s="4" t="s">
        <v>1505</v>
      </c>
      <c r="Z109" s="4" t="s">
        <v>1506</v>
      </c>
      <c r="AA109" s="4"/>
      <c r="AB109" s="6">
        <v>46230</v>
      </c>
      <c r="AC109" s="4" t="s">
        <v>1507</v>
      </c>
      <c r="AD109" s="4" t="s">
        <v>1508</v>
      </c>
    </row>
    <row r="110" spans="1:30" ht="128.25">
      <c r="A110" s="3" t="s">
        <v>1587</v>
      </c>
      <c r="B110" s="4" t="s">
        <v>54</v>
      </c>
      <c r="C110" s="4" t="s">
        <v>1509</v>
      </c>
      <c r="D110" s="4" t="s">
        <v>1510</v>
      </c>
      <c r="E110" s="4" t="s">
        <v>34</v>
      </c>
      <c r="F110" s="4" t="s">
        <v>122</v>
      </c>
      <c r="G110" s="6">
        <v>46026</v>
      </c>
      <c r="H110" s="4" t="s">
        <v>36</v>
      </c>
      <c r="I110" s="4" t="s">
        <v>377</v>
      </c>
      <c r="J110" s="4" t="s">
        <v>88</v>
      </c>
      <c r="K110" s="4" t="str">
        <f t="shared" ca="1" si="2"/>
        <v>Cerrada</v>
      </c>
      <c r="L110" s="8">
        <v>400000</v>
      </c>
      <c r="M110" s="8">
        <v>2000000</v>
      </c>
      <c r="N110" s="4" t="s">
        <v>39</v>
      </c>
      <c r="O110" s="4" t="s">
        <v>1511</v>
      </c>
      <c r="P110" s="4" t="s">
        <v>242</v>
      </c>
      <c r="Q110" s="4" t="s">
        <v>1512</v>
      </c>
      <c r="R110" s="4" t="s">
        <v>379</v>
      </c>
      <c r="S110" s="4" t="s">
        <v>1513</v>
      </c>
      <c r="T110" s="4" t="s">
        <v>44</v>
      </c>
      <c r="U110" s="4" t="s">
        <v>1514</v>
      </c>
      <c r="V110" s="4" t="s">
        <v>1515</v>
      </c>
      <c r="W110" s="4" t="s">
        <v>1516</v>
      </c>
      <c r="X110" s="4" t="s">
        <v>1517</v>
      </c>
      <c r="Y110" s="4" t="s">
        <v>1518</v>
      </c>
      <c r="Z110" s="4" t="s">
        <v>1519</v>
      </c>
      <c r="AA110" s="4"/>
      <c r="AB110" s="6">
        <v>46230</v>
      </c>
      <c r="AC110" s="4" t="s">
        <v>1520</v>
      </c>
      <c r="AD110" s="4" t="s">
        <v>1521</v>
      </c>
    </row>
    <row r="111" spans="1:30" ht="99.75">
      <c r="A111" s="3" t="s">
        <v>1588</v>
      </c>
      <c r="B111" s="4" t="s">
        <v>54</v>
      </c>
      <c r="C111" s="4" t="s">
        <v>1522</v>
      </c>
      <c r="D111" s="4" t="s">
        <v>1523</v>
      </c>
      <c r="E111" s="4" t="s">
        <v>470</v>
      </c>
      <c r="F111" s="4" t="s">
        <v>548</v>
      </c>
      <c r="G111" s="6">
        <v>46234</v>
      </c>
      <c r="H111" s="4" t="s">
        <v>36</v>
      </c>
      <c r="I111" s="4" t="s">
        <v>58</v>
      </c>
      <c r="J111" s="4" t="s">
        <v>38</v>
      </c>
      <c r="K111" s="4" t="str">
        <f t="shared" ca="1" si="2"/>
        <v>Vencida</v>
      </c>
      <c r="L111" s="8" t="s">
        <v>1199</v>
      </c>
      <c r="M111" s="8">
        <v>1500</v>
      </c>
      <c r="N111" s="4" t="s">
        <v>197</v>
      </c>
      <c r="O111" s="4" t="s">
        <v>1524</v>
      </c>
      <c r="P111" s="4" t="s">
        <v>41</v>
      </c>
      <c r="Q111" s="4" t="s">
        <v>1525</v>
      </c>
      <c r="R111" s="4" t="s">
        <v>313</v>
      </c>
      <c r="S111" s="4" t="s">
        <v>1526</v>
      </c>
      <c r="T111" s="4" t="s">
        <v>44</v>
      </c>
      <c r="U111" s="4" t="s">
        <v>1527</v>
      </c>
      <c r="V111" s="4" t="s">
        <v>1528</v>
      </c>
      <c r="W111" s="4" t="s">
        <v>1529</v>
      </c>
      <c r="X111" s="4" t="s">
        <v>1530</v>
      </c>
      <c r="Y111" s="4" t="s">
        <v>1531</v>
      </c>
      <c r="Z111" s="4" t="s">
        <v>1532</v>
      </c>
      <c r="AA111" s="4"/>
      <c r="AB111" s="6">
        <v>46230</v>
      </c>
      <c r="AC111" s="4" t="s">
        <v>1533</v>
      </c>
      <c r="AD111" s="4" t="s">
        <v>1534</v>
      </c>
    </row>
    <row r="112" spans="1:30" ht="99.75">
      <c r="A112" s="3" t="s">
        <v>1589</v>
      </c>
      <c r="B112" s="4" t="s">
        <v>54</v>
      </c>
      <c r="C112" s="4" t="s">
        <v>1535</v>
      </c>
      <c r="D112" s="4" t="s">
        <v>1536</v>
      </c>
      <c r="E112" s="4" t="s">
        <v>121</v>
      </c>
      <c r="F112" s="4" t="s">
        <v>548</v>
      </c>
      <c r="G112" s="6">
        <v>46209</v>
      </c>
      <c r="H112" s="4" t="s">
        <v>36</v>
      </c>
      <c r="I112" s="4" t="s">
        <v>87</v>
      </c>
      <c r="J112" s="4" t="s">
        <v>88</v>
      </c>
      <c r="K112" s="4" t="str">
        <f t="shared" ca="1" si="2"/>
        <v>Cerrada</v>
      </c>
      <c r="L112" s="8" t="s">
        <v>1199</v>
      </c>
      <c r="M112" s="8">
        <v>10000</v>
      </c>
      <c r="N112" s="4" t="s">
        <v>197</v>
      </c>
      <c r="O112" s="4" t="s">
        <v>1537</v>
      </c>
      <c r="P112" s="4" t="s">
        <v>61</v>
      </c>
      <c r="Q112" s="4" t="s">
        <v>1538</v>
      </c>
      <c r="R112" s="4" t="s">
        <v>379</v>
      </c>
      <c r="S112" s="4" t="s">
        <v>1539</v>
      </c>
      <c r="T112" s="4" t="s">
        <v>44</v>
      </c>
      <c r="U112" s="4" t="s">
        <v>1540</v>
      </c>
      <c r="V112" s="4" t="s">
        <v>1541</v>
      </c>
      <c r="W112" s="4" t="s">
        <v>1542</v>
      </c>
      <c r="X112" s="4" t="s">
        <v>1543</v>
      </c>
      <c r="Y112" s="4" t="s">
        <v>1544</v>
      </c>
      <c r="Z112" s="4" t="s">
        <v>1545</v>
      </c>
      <c r="AA112" s="4"/>
      <c r="AB112" s="6">
        <v>46230</v>
      </c>
      <c r="AC112" s="4" t="s">
        <v>1546</v>
      </c>
      <c r="AD112" s="4" t="s">
        <v>1547</v>
      </c>
    </row>
    <row r="113" spans="1:30" ht="99.75">
      <c r="A113" s="3" t="s">
        <v>1590</v>
      </c>
      <c r="B113" s="4" t="s">
        <v>54</v>
      </c>
      <c r="C113" s="4" t="s">
        <v>1548</v>
      </c>
      <c r="D113" s="4" t="s">
        <v>1536</v>
      </c>
      <c r="E113" s="4" t="s">
        <v>121</v>
      </c>
      <c r="F113" s="4" t="s">
        <v>548</v>
      </c>
      <c r="G113" s="6">
        <v>46209</v>
      </c>
      <c r="H113" s="4" t="s">
        <v>36</v>
      </c>
      <c r="I113" s="4" t="s">
        <v>87</v>
      </c>
      <c r="J113" s="4" t="s">
        <v>88</v>
      </c>
      <c r="K113" s="4" t="str">
        <f t="shared" ca="1" si="2"/>
        <v>Cerrada</v>
      </c>
      <c r="L113" s="8" t="s">
        <v>1199</v>
      </c>
      <c r="M113" s="8">
        <v>15000</v>
      </c>
      <c r="N113" s="4" t="s">
        <v>197</v>
      </c>
      <c r="O113" s="4" t="s">
        <v>1537</v>
      </c>
      <c r="P113" s="4" t="s">
        <v>61</v>
      </c>
      <c r="Q113" s="4" t="s">
        <v>1549</v>
      </c>
      <c r="R113" s="4" t="s">
        <v>313</v>
      </c>
      <c r="S113" s="4" t="s">
        <v>1550</v>
      </c>
      <c r="T113" s="4" t="s">
        <v>44</v>
      </c>
      <c r="U113" s="4" t="s">
        <v>1551</v>
      </c>
      <c r="V113" s="4" t="s">
        <v>1552</v>
      </c>
      <c r="W113" s="4" t="s">
        <v>1553</v>
      </c>
      <c r="X113" s="4" t="s">
        <v>1554</v>
      </c>
      <c r="Y113" s="4" t="s">
        <v>1555</v>
      </c>
      <c r="Z113" s="4" t="s">
        <v>1556</v>
      </c>
      <c r="AA113" s="4"/>
      <c r="AB113" s="6">
        <v>46230</v>
      </c>
      <c r="AC113" s="4" t="s">
        <v>1557</v>
      </c>
      <c r="AD113" s="4" t="s">
        <v>1558</v>
      </c>
    </row>
    <row r="114" spans="1:30" ht="114">
      <c r="A114" s="3" t="s">
        <v>1591</v>
      </c>
      <c r="B114" s="4" t="s">
        <v>54</v>
      </c>
      <c r="C114" s="4" t="s">
        <v>1559</v>
      </c>
      <c r="D114" s="4" t="s">
        <v>1560</v>
      </c>
      <c r="E114" s="4" t="s">
        <v>121</v>
      </c>
      <c r="F114" s="4" t="s">
        <v>122</v>
      </c>
      <c r="G114" s="6">
        <v>46225</v>
      </c>
      <c r="H114" s="4" t="s">
        <v>36</v>
      </c>
      <c r="I114" s="4" t="s">
        <v>58</v>
      </c>
      <c r="J114" s="4" t="s">
        <v>88</v>
      </c>
      <c r="K114" s="4" t="str">
        <f t="shared" ca="1" si="2"/>
        <v>Cerrada</v>
      </c>
      <c r="L114" s="8" t="s">
        <v>1199</v>
      </c>
      <c r="M114" s="8" t="s">
        <v>1199</v>
      </c>
      <c r="N114" s="4" t="s">
        <v>1200</v>
      </c>
      <c r="O114" s="4" t="s">
        <v>1561</v>
      </c>
      <c r="P114" s="4" t="s">
        <v>159</v>
      </c>
      <c r="Q114" s="4" t="s">
        <v>1562</v>
      </c>
      <c r="R114" s="4" t="s">
        <v>271</v>
      </c>
      <c r="S114" s="4" t="s">
        <v>1563</v>
      </c>
      <c r="T114" s="4" t="s">
        <v>1564</v>
      </c>
      <c r="U114" s="4" t="s">
        <v>1565</v>
      </c>
      <c r="V114" s="4" t="s">
        <v>1566</v>
      </c>
      <c r="W114" s="4" t="s">
        <v>1567</v>
      </c>
      <c r="X114" s="4" t="s">
        <v>1568</v>
      </c>
      <c r="Y114" s="4" t="s">
        <v>1569</v>
      </c>
      <c r="Z114" s="4" t="s">
        <v>1570</v>
      </c>
      <c r="AA114" s="4"/>
      <c r="AB114" s="6">
        <v>46230</v>
      </c>
      <c r="AC114" s="4" t="s">
        <v>1571</v>
      </c>
      <c r="AD114" s="4" t="s">
        <v>1572</v>
      </c>
    </row>
    <row r="115" spans="1:30" ht="128.25">
      <c r="A115" s="3" t="s">
        <v>1592</v>
      </c>
      <c r="B115" s="4" t="s">
        <v>54</v>
      </c>
      <c r="C115" s="4" t="s">
        <v>1573</v>
      </c>
      <c r="D115" s="4" t="s">
        <v>1574</v>
      </c>
      <c r="E115" s="4" t="s">
        <v>121</v>
      </c>
      <c r="F115" s="4" t="s">
        <v>548</v>
      </c>
      <c r="G115" s="6">
        <v>46237</v>
      </c>
      <c r="H115" s="4" t="s">
        <v>36</v>
      </c>
      <c r="I115" s="4" t="s">
        <v>58</v>
      </c>
      <c r="J115" s="4" t="s">
        <v>38</v>
      </c>
      <c r="K115" s="4" t="str">
        <f t="shared" ca="1" si="2"/>
        <v>Vencida</v>
      </c>
      <c r="L115" s="8" t="s">
        <v>1199</v>
      </c>
      <c r="M115" s="8">
        <v>2500</v>
      </c>
      <c r="N115" s="4" t="s">
        <v>39</v>
      </c>
      <c r="O115" s="4" t="s">
        <v>1199</v>
      </c>
      <c r="P115" s="4" t="s">
        <v>1107</v>
      </c>
      <c r="Q115" s="4" t="s">
        <v>1575</v>
      </c>
      <c r="R115" s="4" t="s">
        <v>379</v>
      </c>
      <c r="S115" s="4" t="s">
        <v>1576</v>
      </c>
      <c r="T115" s="4" t="s">
        <v>44</v>
      </c>
      <c r="U115" s="4" t="s">
        <v>1577</v>
      </c>
      <c r="V115" s="4" t="s">
        <v>1578</v>
      </c>
      <c r="W115" s="4" t="s">
        <v>1579</v>
      </c>
      <c r="X115" s="4" t="s">
        <v>1580</v>
      </c>
      <c r="Y115" s="4" t="s">
        <v>1581</v>
      </c>
      <c r="Z115" s="4" t="s">
        <v>1582</v>
      </c>
      <c r="AA115" s="4"/>
      <c r="AB115" s="6">
        <v>46230</v>
      </c>
      <c r="AC115" s="4" t="s">
        <v>1583</v>
      </c>
      <c r="AD115" s="4" t="s">
        <v>1584</v>
      </c>
    </row>
    <row r="116" spans="1:30" ht="128.25" customHeight="1">
      <c r="A116" s="4" t="s">
        <v>1593</v>
      </c>
      <c r="B116" s="4" t="s">
        <v>54</v>
      </c>
      <c r="C116" s="4" t="s">
        <v>1594</v>
      </c>
      <c r="D116" s="4" t="s">
        <v>1595</v>
      </c>
      <c r="E116" s="4" t="s">
        <v>139</v>
      </c>
      <c r="F116" s="4" t="s">
        <v>1136</v>
      </c>
      <c r="G116" s="6"/>
      <c r="H116" s="4" t="s">
        <v>225</v>
      </c>
      <c r="I116" s="4" t="s">
        <v>436</v>
      </c>
      <c r="J116" s="4" t="s">
        <v>38</v>
      </c>
      <c r="K116" s="4" t="str">
        <f t="shared" ca="1" si="2"/>
        <v>Sin fecha</v>
      </c>
      <c r="L116" s="8" t="s">
        <v>1199</v>
      </c>
      <c r="M116" s="8">
        <v>1000000</v>
      </c>
      <c r="N116" s="4" t="s">
        <v>197</v>
      </c>
      <c r="O116" s="4" t="s">
        <v>485</v>
      </c>
      <c r="P116" s="4" t="s">
        <v>124</v>
      </c>
      <c r="Q116" s="4" t="s">
        <v>1596</v>
      </c>
      <c r="R116" s="4" t="s">
        <v>313</v>
      </c>
      <c r="S116" s="4" t="s">
        <v>1597</v>
      </c>
      <c r="T116" s="4" t="s">
        <v>44</v>
      </c>
      <c r="U116" s="4" t="s">
        <v>1598</v>
      </c>
      <c r="V116" s="4" t="s">
        <v>1599</v>
      </c>
      <c r="W116" s="4" t="s">
        <v>1600</v>
      </c>
      <c r="X116" s="4" t="s">
        <v>1601</v>
      </c>
      <c r="Y116" s="4" t="s">
        <v>1602</v>
      </c>
      <c r="Z116" s="4" t="s">
        <v>1603</v>
      </c>
      <c r="AA116" s="4"/>
      <c r="AB116" s="6">
        <v>46238</v>
      </c>
      <c r="AC116" s="4" t="s">
        <v>1604</v>
      </c>
      <c r="AD116" s="4" t="s">
        <v>1605</v>
      </c>
    </row>
    <row r="117" spans="1:30" ht="128.25" customHeight="1">
      <c r="A117" s="4" t="s">
        <v>1606</v>
      </c>
      <c r="B117" s="4" t="s">
        <v>54</v>
      </c>
      <c r="C117" s="4" t="s">
        <v>1607</v>
      </c>
      <c r="D117" s="4" t="s">
        <v>1595</v>
      </c>
      <c r="E117" s="4" t="s">
        <v>139</v>
      </c>
      <c r="F117" s="4" t="s">
        <v>1136</v>
      </c>
      <c r="G117" s="6"/>
      <c r="H117" s="4" t="s">
        <v>225</v>
      </c>
      <c r="I117" s="4" t="s">
        <v>436</v>
      </c>
      <c r="J117" s="4" t="s">
        <v>38</v>
      </c>
      <c r="K117" s="4" t="str">
        <f t="shared" ca="1" si="2"/>
        <v>Sin fecha</v>
      </c>
      <c r="L117" s="8">
        <v>10000</v>
      </c>
      <c r="M117" s="8">
        <v>100000</v>
      </c>
      <c r="N117" s="4" t="s">
        <v>197</v>
      </c>
      <c r="O117" s="4" t="s">
        <v>1077</v>
      </c>
      <c r="P117" s="4" t="s">
        <v>242</v>
      </c>
      <c r="Q117" s="4" t="s">
        <v>1608</v>
      </c>
      <c r="R117" s="4" t="s">
        <v>313</v>
      </c>
      <c r="S117" s="4" t="s">
        <v>1609</v>
      </c>
      <c r="T117" s="4" t="s">
        <v>44</v>
      </c>
      <c r="U117" s="4" t="s">
        <v>1610</v>
      </c>
      <c r="V117" s="4" t="s">
        <v>1611</v>
      </c>
      <c r="W117" s="4" t="s">
        <v>1612</v>
      </c>
      <c r="X117" s="4" t="s">
        <v>1613</v>
      </c>
      <c r="Y117" s="4" t="s">
        <v>1614</v>
      </c>
      <c r="Z117" s="4" t="s">
        <v>1603</v>
      </c>
      <c r="AA117" s="4"/>
      <c r="AB117" s="6">
        <v>46238</v>
      </c>
      <c r="AC117" s="4" t="s">
        <v>1604</v>
      </c>
      <c r="AD117" s="4" t="s">
        <v>1615</v>
      </c>
    </row>
    <row r="118" spans="1:30" ht="128.25" customHeight="1">
      <c r="A118" s="4" t="s">
        <v>1616</v>
      </c>
      <c r="B118" s="4" t="s">
        <v>54</v>
      </c>
      <c r="C118" s="4" t="s">
        <v>1617</v>
      </c>
      <c r="D118" s="4" t="s">
        <v>1595</v>
      </c>
      <c r="E118" s="4" t="s">
        <v>139</v>
      </c>
      <c r="F118" s="4" t="s">
        <v>1136</v>
      </c>
      <c r="G118" s="6"/>
      <c r="H118" s="4" t="s">
        <v>225</v>
      </c>
      <c r="I118" s="4" t="s">
        <v>436</v>
      </c>
      <c r="J118" s="4" t="s">
        <v>38</v>
      </c>
      <c r="K118" s="4" t="str">
        <f t="shared" ca="1" si="2"/>
        <v>Sin fecha</v>
      </c>
      <c r="L118" s="8" t="s">
        <v>1199</v>
      </c>
      <c r="M118" s="8">
        <v>2000000</v>
      </c>
      <c r="N118" s="4" t="s">
        <v>197</v>
      </c>
      <c r="O118" s="4" t="s">
        <v>1618</v>
      </c>
      <c r="P118" s="4" t="s">
        <v>124</v>
      </c>
      <c r="Q118" s="4" t="s">
        <v>1619</v>
      </c>
      <c r="R118" s="4" t="s">
        <v>313</v>
      </c>
      <c r="S118" s="4" t="s">
        <v>1620</v>
      </c>
      <c r="T118" s="4" t="s">
        <v>44</v>
      </c>
      <c r="U118" s="4" t="s">
        <v>1621</v>
      </c>
      <c r="V118" s="4" t="s">
        <v>1622</v>
      </c>
      <c r="W118" s="4" t="s">
        <v>1623</v>
      </c>
      <c r="X118" s="4" t="s">
        <v>1624</v>
      </c>
      <c r="Y118" s="4" t="s">
        <v>1625</v>
      </c>
      <c r="Z118" s="4" t="s">
        <v>1603</v>
      </c>
      <c r="AA118" s="4"/>
      <c r="AB118" s="6">
        <v>46238</v>
      </c>
      <c r="AC118" s="4" t="s">
        <v>1626</v>
      </c>
      <c r="AD118" s="4" t="s">
        <v>1627</v>
      </c>
    </row>
    <row r="119" spans="1:30" ht="128.25" customHeight="1">
      <c r="A119" s="4" t="s">
        <v>1628</v>
      </c>
      <c r="B119" s="4" t="s">
        <v>54</v>
      </c>
      <c r="C119" s="4" t="s">
        <v>1629</v>
      </c>
      <c r="D119" s="4" t="s">
        <v>1630</v>
      </c>
      <c r="E119" s="4" t="s">
        <v>139</v>
      </c>
      <c r="F119" s="4" t="s">
        <v>1136</v>
      </c>
      <c r="G119" s="6"/>
      <c r="H119" s="4" t="s">
        <v>57</v>
      </c>
      <c r="I119" s="4" t="s">
        <v>58</v>
      </c>
      <c r="J119" s="4" t="s">
        <v>38</v>
      </c>
      <c r="K119" s="4" t="str">
        <f t="shared" ref="K119:K127" ca="1" si="3">IF(J119="Cerrada","Cerrada",IF(J119="Suspendida","Suspendida",IF(G119="","Sin fecha",IF(G119&lt;TODAY(),"Vencida",IF(G119-TODAY()&lt;=30,"Próxima a vencer","Abierta")))))</f>
        <v>Sin fecha</v>
      </c>
      <c r="L119" s="8" t="s">
        <v>1199</v>
      </c>
      <c r="M119" s="8">
        <v>4000000</v>
      </c>
      <c r="N119" s="4" t="s">
        <v>197</v>
      </c>
      <c r="O119" s="4" t="s">
        <v>1631</v>
      </c>
      <c r="P119" s="4" t="s">
        <v>242</v>
      </c>
      <c r="Q119" s="4" t="s">
        <v>1632</v>
      </c>
      <c r="R119" s="4" t="s">
        <v>379</v>
      </c>
      <c r="S119" s="4" t="s">
        <v>1633</v>
      </c>
      <c r="T119" s="4" t="s">
        <v>44</v>
      </c>
      <c r="U119" s="4" t="s">
        <v>1634</v>
      </c>
      <c r="V119" s="4" t="s">
        <v>1635</v>
      </c>
      <c r="W119" s="4" t="s">
        <v>1636</v>
      </c>
      <c r="X119" s="4" t="s">
        <v>1637</v>
      </c>
      <c r="Y119" s="4" t="s">
        <v>1638</v>
      </c>
      <c r="Z119" s="4" t="s">
        <v>1639</v>
      </c>
      <c r="AA119" s="4"/>
      <c r="AB119" s="6">
        <v>46238</v>
      </c>
      <c r="AC119" s="4" t="s">
        <v>1640</v>
      </c>
      <c r="AD119" s="4" t="s">
        <v>1641</v>
      </c>
    </row>
    <row r="120" spans="1:30" ht="128.25" customHeight="1">
      <c r="A120" s="4" t="s">
        <v>1642</v>
      </c>
      <c r="B120" s="4" t="s">
        <v>54</v>
      </c>
      <c r="C120" s="4" t="s">
        <v>1643</v>
      </c>
      <c r="D120" s="4" t="s">
        <v>1644</v>
      </c>
      <c r="E120" s="4" t="s">
        <v>139</v>
      </c>
      <c r="F120" s="4" t="s">
        <v>1136</v>
      </c>
      <c r="G120" s="6"/>
      <c r="H120" s="4" t="s">
        <v>57</v>
      </c>
      <c r="I120" s="4" t="s">
        <v>377</v>
      </c>
      <c r="J120" s="4" t="s">
        <v>38</v>
      </c>
      <c r="K120" s="4" t="str">
        <f t="shared" ca="1" si="3"/>
        <v>Sin fecha</v>
      </c>
      <c r="L120" s="8">
        <v>500000</v>
      </c>
      <c r="M120" s="8">
        <v>2000000</v>
      </c>
      <c r="N120" s="4" t="s">
        <v>197</v>
      </c>
      <c r="O120" s="4" t="s">
        <v>1415</v>
      </c>
      <c r="P120" s="4" t="s">
        <v>124</v>
      </c>
      <c r="Q120" s="4" t="s">
        <v>1645</v>
      </c>
      <c r="R120" s="4" t="s">
        <v>313</v>
      </c>
      <c r="S120" s="4" t="s">
        <v>1646</v>
      </c>
      <c r="T120" s="4" t="s">
        <v>44</v>
      </c>
      <c r="U120" s="4" t="s">
        <v>1647</v>
      </c>
      <c r="V120" s="4" t="s">
        <v>1648</v>
      </c>
      <c r="W120" s="4" t="s">
        <v>1649</v>
      </c>
      <c r="X120" s="4" t="s">
        <v>1650</v>
      </c>
      <c r="Y120" s="4" t="s">
        <v>1651</v>
      </c>
      <c r="Z120" s="4" t="s">
        <v>1652</v>
      </c>
      <c r="AA120" s="4"/>
      <c r="AB120" s="6">
        <v>46238</v>
      </c>
      <c r="AC120" s="4" t="s">
        <v>1653</v>
      </c>
      <c r="AD120" s="4" t="s">
        <v>1654</v>
      </c>
    </row>
    <row r="121" spans="1:30" ht="128.25" customHeight="1">
      <c r="A121" s="4" t="s">
        <v>1655</v>
      </c>
      <c r="B121" s="4" t="s">
        <v>54</v>
      </c>
      <c r="C121" s="4" t="s">
        <v>1656</v>
      </c>
      <c r="D121" s="4" t="s">
        <v>1657</v>
      </c>
      <c r="E121" s="4" t="s">
        <v>121</v>
      </c>
      <c r="F121" s="4" t="s">
        <v>1136</v>
      </c>
      <c r="G121" s="6"/>
      <c r="H121" s="4" t="s">
        <v>57</v>
      </c>
      <c r="I121" s="4" t="s">
        <v>87</v>
      </c>
      <c r="J121" s="4" t="s">
        <v>38</v>
      </c>
      <c r="K121" s="4" t="str">
        <f t="shared" ca="1" si="3"/>
        <v>Sin fecha</v>
      </c>
      <c r="L121" s="8" t="s">
        <v>1199</v>
      </c>
      <c r="M121" s="8" t="s">
        <v>1199</v>
      </c>
      <c r="N121" s="4" t="s">
        <v>197</v>
      </c>
      <c r="O121" s="4" t="s">
        <v>1658</v>
      </c>
      <c r="P121" s="4" t="s">
        <v>124</v>
      </c>
      <c r="Q121" s="4" t="s">
        <v>1659</v>
      </c>
      <c r="R121" s="4" t="s">
        <v>313</v>
      </c>
      <c r="S121" s="4" t="s">
        <v>1660</v>
      </c>
      <c r="T121" s="4" t="s">
        <v>44</v>
      </c>
      <c r="U121" s="4" t="s">
        <v>1661</v>
      </c>
      <c r="V121" s="4" t="s">
        <v>1662</v>
      </c>
      <c r="W121" s="4" t="s">
        <v>1663</v>
      </c>
      <c r="X121" s="4" t="s">
        <v>1664</v>
      </c>
      <c r="Y121" s="4" t="s">
        <v>1665</v>
      </c>
      <c r="Z121" s="4" t="s">
        <v>1666</v>
      </c>
      <c r="AA121" s="4"/>
      <c r="AB121" s="6">
        <v>46238</v>
      </c>
      <c r="AC121" s="4" t="s">
        <v>1667</v>
      </c>
      <c r="AD121" s="4" t="s">
        <v>1668</v>
      </c>
    </row>
    <row r="122" spans="1:30" ht="128.25">
      <c r="A122" s="4" t="s">
        <v>1681</v>
      </c>
      <c r="B122" s="4" t="s">
        <v>54</v>
      </c>
      <c r="C122" s="4" t="s">
        <v>1669</v>
      </c>
      <c r="D122" s="4" t="s">
        <v>1670</v>
      </c>
      <c r="E122" s="4" t="s">
        <v>121</v>
      </c>
      <c r="F122" s="4" t="s">
        <v>122</v>
      </c>
      <c r="G122" s="6">
        <v>46277</v>
      </c>
      <c r="H122" s="4" t="s">
        <v>36</v>
      </c>
      <c r="I122" s="4" t="s">
        <v>58</v>
      </c>
      <c r="J122" s="4" t="s">
        <v>38</v>
      </c>
      <c r="K122" s="4" t="str">
        <f t="shared" ca="1" si="3"/>
        <v>Próxima a vencer</v>
      </c>
      <c r="L122" s="8">
        <v>2000</v>
      </c>
      <c r="M122" s="8">
        <v>2000</v>
      </c>
      <c r="N122" s="4" t="s">
        <v>39</v>
      </c>
      <c r="O122" s="4" t="s">
        <v>1671</v>
      </c>
      <c r="P122" s="4" t="s">
        <v>185</v>
      </c>
      <c r="Q122" s="4" t="s">
        <v>1672</v>
      </c>
      <c r="R122" s="4" t="s">
        <v>271</v>
      </c>
      <c r="S122" s="4" t="s">
        <v>1673</v>
      </c>
      <c r="T122" s="4" t="s">
        <v>1199</v>
      </c>
      <c r="U122" s="4" t="s">
        <v>1674</v>
      </c>
      <c r="V122" s="4" t="s">
        <v>1675</v>
      </c>
      <c r="W122" s="4" t="s">
        <v>1676</v>
      </c>
      <c r="X122" s="4" t="s">
        <v>1677</v>
      </c>
      <c r="Y122" s="4" t="s">
        <v>1678</v>
      </c>
      <c r="Z122" s="4" t="s">
        <v>1679</v>
      </c>
      <c r="AA122" s="4"/>
      <c r="AB122" s="6">
        <v>46253</v>
      </c>
      <c r="AC122" s="4" t="s">
        <v>1670</v>
      </c>
      <c r="AD122" s="4" t="s">
        <v>1680</v>
      </c>
    </row>
    <row r="123" spans="1:30" ht="128.25">
      <c r="A123" s="4" t="str">
        <f t="shared" ref="A123:A128" si="4">IF(C123="","","OP-"&amp;TEXT(ROW()-1,"0000"))</f>
        <v>OP-0122</v>
      </c>
      <c r="B123" s="4" t="s">
        <v>54</v>
      </c>
      <c r="C123" s="4" t="s">
        <v>1682</v>
      </c>
      <c r="D123" s="4" t="s">
        <v>1683</v>
      </c>
      <c r="E123" s="4" t="s">
        <v>139</v>
      </c>
      <c r="F123" s="4" t="s">
        <v>1684</v>
      </c>
      <c r="G123" s="6">
        <v>46308</v>
      </c>
      <c r="H123" s="4" t="s">
        <v>36</v>
      </c>
      <c r="I123" s="4" t="s">
        <v>87</v>
      </c>
      <c r="J123" s="4" t="s">
        <v>38</v>
      </c>
      <c r="K123" s="4" t="str">
        <f t="shared" ca="1" si="3"/>
        <v>Abierta</v>
      </c>
      <c r="L123" s="8"/>
      <c r="M123" s="8">
        <v>300000000</v>
      </c>
      <c r="N123" s="4" t="s">
        <v>1200</v>
      </c>
      <c r="O123" s="4" t="s">
        <v>1685</v>
      </c>
      <c r="P123" s="4" t="s">
        <v>142</v>
      </c>
      <c r="Q123" s="4" t="s">
        <v>286</v>
      </c>
      <c r="R123" s="4" t="s">
        <v>313</v>
      </c>
      <c r="S123" s="4" t="s">
        <v>1686</v>
      </c>
      <c r="T123" s="4" t="s">
        <v>1687</v>
      </c>
      <c r="U123" s="4" t="s">
        <v>1688</v>
      </c>
      <c r="V123" s="4" t="s">
        <v>1689</v>
      </c>
      <c r="W123" s="4" t="s">
        <v>1690</v>
      </c>
      <c r="X123" s="4" t="s">
        <v>1691</v>
      </c>
      <c r="Y123" s="4" t="s">
        <v>1692</v>
      </c>
      <c r="Z123" s="4" t="s">
        <v>1693</v>
      </c>
      <c r="AA123" s="4"/>
      <c r="AB123" s="6">
        <v>46261</v>
      </c>
      <c r="AC123" s="4" t="s">
        <v>1694</v>
      </c>
      <c r="AD123" s="4" t="s">
        <v>1695</v>
      </c>
    </row>
    <row r="124" spans="1:30" ht="128.25">
      <c r="A124" s="4" t="str">
        <f t="shared" si="4"/>
        <v>OP-0123</v>
      </c>
      <c r="B124" s="4" t="s">
        <v>54</v>
      </c>
      <c r="C124" s="4" t="s">
        <v>1696</v>
      </c>
      <c r="D124" s="4" t="s">
        <v>1683</v>
      </c>
      <c r="E124" s="4" t="s">
        <v>139</v>
      </c>
      <c r="F124" s="4" t="s">
        <v>1684</v>
      </c>
      <c r="G124" s="6">
        <v>46308</v>
      </c>
      <c r="H124" s="4" t="s">
        <v>36</v>
      </c>
      <c r="I124" s="4" t="s">
        <v>87</v>
      </c>
      <c r="J124" s="4" t="s">
        <v>38</v>
      </c>
      <c r="K124" s="4" t="str">
        <f t="shared" ca="1" si="3"/>
        <v>Abierta</v>
      </c>
      <c r="L124" s="8"/>
      <c r="M124" s="8">
        <v>300000000</v>
      </c>
      <c r="N124" s="4" t="s">
        <v>1200</v>
      </c>
      <c r="O124" s="4" t="s">
        <v>1685</v>
      </c>
      <c r="P124" s="4" t="s">
        <v>142</v>
      </c>
      <c r="Q124" s="4" t="s">
        <v>286</v>
      </c>
      <c r="R124" s="4" t="s">
        <v>313</v>
      </c>
      <c r="S124" s="4" t="s">
        <v>1686</v>
      </c>
      <c r="T124" s="4" t="s">
        <v>1687</v>
      </c>
      <c r="U124" s="4" t="s">
        <v>1697</v>
      </c>
      <c r="V124" s="4" t="s">
        <v>1698</v>
      </c>
      <c r="W124" s="4" t="s">
        <v>1699</v>
      </c>
      <c r="X124" s="4" t="s">
        <v>1691</v>
      </c>
      <c r="Y124" s="4" t="s">
        <v>1692</v>
      </c>
      <c r="Z124" s="4" t="s">
        <v>1693</v>
      </c>
      <c r="AA124" s="4"/>
      <c r="AB124" s="6">
        <v>46261</v>
      </c>
      <c r="AC124" s="4" t="s">
        <v>1694</v>
      </c>
      <c r="AD124" s="4" t="s">
        <v>1700</v>
      </c>
    </row>
    <row r="125" spans="1:30" ht="128.25">
      <c r="A125" s="4" t="str">
        <f t="shared" si="4"/>
        <v>OP-0124</v>
      </c>
      <c r="B125" s="4" t="s">
        <v>54</v>
      </c>
      <c r="C125" s="4" t="s">
        <v>1701</v>
      </c>
      <c r="D125" s="4" t="s">
        <v>1683</v>
      </c>
      <c r="E125" s="4" t="s">
        <v>139</v>
      </c>
      <c r="F125" s="4" t="s">
        <v>1684</v>
      </c>
      <c r="G125" s="6">
        <v>46308</v>
      </c>
      <c r="H125" s="4" t="s">
        <v>36</v>
      </c>
      <c r="I125" s="4" t="s">
        <v>87</v>
      </c>
      <c r="J125" s="4" t="s">
        <v>38</v>
      </c>
      <c r="K125" s="4" t="str">
        <f t="shared" ca="1" si="3"/>
        <v>Abierta</v>
      </c>
      <c r="L125" s="8"/>
      <c r="M125" s="8">
        <v>300000000</v>
      </c>
      <c r="N125" s="4" t="s">
        <v>1200</v>
      </c>
      <c r="O125" s="4" t="s">
        <v>1685</v>
      </c>
      <c r="P125" s="4" t="s">
        <v>142</v>
      </c>
      <c r="Q125" s="4" t="s">
        <v>286</v>
      </c>
      <c r="R125" s="4" t="s">
        <v>313</v>
      </c>
      <c r="S125" s="4" t="s">
        <v>1686</v>
      </c>
      <c r="T125" s="4" t="s">
        <v>1687</v>
      </c>
      <c r="U125" s="4" t="s">
        <v>1702</v>
      </c>
      <c r="V125" s="4" t="s">
        <v>1703</v>
      </c>
      <c r="W125" s="4" t="s">
        <v>1704</v>
      </c>
      <c r="X125" s="4" t="s">
        <v>1691</v>
      </c>
      <c r="Y125" s="4" t="s">
        <v>1692</v>
      </c>
      <c r="Z125" s="4" t="s">
        <v>1693</v>
      </c>
      <c r="AA125" s="4"/>
      <c r="AB125" s="6">
        <v>46261</v>
      </c>
      <c r="AC125" s="4" t="s">
        <v>1694</v>
      </c>
      <c r="AD125" s="4" t="s">
        <v>1705</v>
      </c>
    </row>
    <row r="126" spans="1:30" ht="128.25" customHeight="1">
      <c r="A126" s="4" t="str">
        <f t="shared" si="4"/>
        <v>OP-0125</v>
      </c>
      <c r="B126" s="4" t="s">
        <v>54</v>
      </c>
      <c r="C126" s="4" t="s">
        <v>1706</v>
      </c>
      <c r="D126" s="4" t="s">
        <v>1707</v>
      </c>
      <c r="E126" s="4" t="s">
        <v>139</v>
      </c>
      <c r="F126" s="4" t="s">
        <v>906</v>
      </c>
      <c r="G126" s="6">
        <v>46326</v>
      </c>
      <c r="H126" s="4" t="s">
        <v>36</v>
      </c>
      <c r="I126" s="4" t="s">
        <v>377</v>
      </c>
      <c r="J126" s="4" t="s">
        <v>38</v>
      </c>
      <c r="K126" s="4" t="str">
        <f t="shared" ca="1" si="3"/>
        <v>Abierta</v>
      </c>
      <c r="L126" s="8" t="s">
        <v>1199</v>
      </c>
      <c r="M126" s="8">
        <v>300000</v>
      </c>
      <c r="N126" s="4" t="s">
        <v>197</v>
      </c>
      <c r="O126" s="4" t="s">
        <v>485</v>
      </c>
      <c r="P126" s="4" t="s">
        <v>61</v>
      </c>
      <c r="Q126" s="4" t="s">
        <v>286</v>
      </c>
      <c r="R126" s="4" t="s">
        <v>313</v>
      </c>
      <c r="S126" s="4" t="s">
        <v>1708</v>
      </c>
      <c r="T126" s="4" t="s">
        <v>1687</v>
      </c>
      <c r="U126" s="4" t="s">
        <v>1709</v>
      </c>
      <c r="V126" s="4" t="s">
        <v>1710</v>
      </c>
      <c r="W126" s="4" t="s">
        <v>1711</v>
      </c>
      <c r="X126" s="4" t="s">
        <v>1712</v>
      </c>
      <c r="Y126" s="4" t="s">
        <v>1713</v>
      </c>
      <c r="Z126" s="4" t="s">
        <v>1714</v>
      </c>
      <c r="AA126" s="4"/>
      <c r="AB126" s="6">
        <v>46269</v>
      </c>
      <c r="AC126" s="4" t="s">
        <v>1715</v>
      </c>
      <c r="AD126" s="4" t="s">
        <v>1716</v>
      </c>
    </row>
    <row r="127" spans="1:30" ht="242.25">
      <c r="A127" s="4" t="str">
        <f t="shared" si="4"/>
        <v>OP-0126</v>
      </c>
      <c r="B127" s="4" t="s">
        <v>54</v>
      </c>
      <c r="C127" s="4" t="s">
        <v>1717</v>
      </c>
      <c r="D127" s="4" t="s">
        <v>1718</v>
      </c>
      <c r="E127" s="4" t="s">
        <v>121</v>
      </c>
      <c r="F127" s="4" t="s">
        <v>122</v>
      </c>
      <c r="G127" s="6">
        <v>46321</v>
      </c>
      <c r="H127" s="4" t="s">
        <v>36</v>
      </c>
      <c r="I127" s="4" t="s">
        <v>87</v>
      </c>
      <c r="J127" s="4" t="s">
        <v>38</v>
      </c>
      <c r="K127" s="4" t="str">
        <f t="shared" ca="1" si="3"/>
        <v>Abierta</v>
      </c>
      <c r="L127" s="8" t="s">
        <v>1199</v>
      </c>
      <c r="M127" s="8">
        <v>250000</v>
      </c>
      <c r="N127" s="4" t="s">
        <v>39</v>
      </c>
      <c r="O127" s="4" t="s">
        <v>1719</v>
      </c>
      <c r="P127" s="4" t="s">
        <v>124</v>
      </c>
      <c r="Q127" s="4" t="s">
        <v>286</v>
      </c>
      <c r="R127" s="4" t="s">
        <v>379</v>
      </c>
      <c r="S127" s="4" t="s">
        <v>1720</v>
      </c>
      <c r="T127" s="4" t="s">
        <v>1687</v>
      </c>
      <c r="U127" s="4" t="s">
        <v>1721</v>
      </c>
      <c r="V127" s="4" t="s">
        <v>1722</v>
      </c>
      <c r="W127" s="4" t="s">
        <v>1723</v>
      </c>
      <c r="X127" s="4" t="s">
        <v>1724</v>
      </c>
      <c r="Y127" s="4" t="s">
        <v>1725</v>
      </c>
      <c r="Z127" s="4" t="s">
        <v>1726</v>
      </c>
      <c r="AA127" s="4"/>
      <c r="AB127" s="6">
        <v>46269</v>
      </c>
      <c r="AC127" s="4" t="s">
        <v>1727</v>
      </c>
      <c r="AD127" s="4" t="s">
        <v>1728</v>
      </c>
    </row>
    <row r="128" spans="1:30" ht="99.75">
      <c r="A128" s="4" t="str">
        <f t="shared" si="4"/>
        <v>OP-0127</v>
      </c>
      <c r="B128" s="4" t="s">
        <v>54</v>
      </c>
      <c r="C128" s="4" t="s">
        <v>1729</v>
      </c>
      <c r="D128" s="4" t="s">
        <v>1730</v>
      </c>
      <c r="E128" s="4" t="s">
        <v>34</v>
      </c>
      <c r="F128" s="4" t="s">
        <v>35</v>
      </c>
      <c r="G128" s="6">
        <v>46149</v>
      </c>
      <c r="H128" s="4" t="s">
        <v>36</v>
      </c>
      <c r="I128" s="4" t="s">
        <v>58</v>
      </c>
      <c r="J128" s="4" t="s">
        <v>88</v>
      </c>
      <c r="K128" s="4" t="str">
        <f t="shared" ref="K128:K191" ca="1" si="5">IF(J128="Cerrada","Cerrada",IF(J128="Suspendida","Suspendida",IF(G128="","Sin fecha",IF(G128&lt;TODAY(),"Vencida",IF(G128-TODAY()&lt;=30,"Próxima a vencer","Abierta")))))</f>
        <v>Cerrada</v>
      </c>
      <c r="L128" s="8" t="s">
        <v>1199</v>
      </c>
      <c r="M128" s="8" t="s">
        <v>59</v>
      </c>
      <c r="N128" s="4" t="s">
        <v>39</v>
      </c>
      <c r="O128" s="4" t="s">
        <v>1731</v>
      </c>
      <c r="P128" s="4" t="s">
        <v>242</v>
      </c>
      <c r="Q128" s="4" t="s">
        <v>286</v>
      </c>
      <c r="R128" s="4" t="s">
        <v>1732</v>
      </c>
      <c r="S128" s="4" t="s">
        <v>122</v>
      </c>
      <c r="T128" s="4" t="s">
        <v>1733</v>
      </c>
      <c r="U128" s="4" t="s">
        <v>1734</v>
      </c>
      <c r="V128" s="4" t="s">
        <v>1735</v>
      </c>
      <c r="W128" s="4" t="s">
        <v>1736</v>
      </c>
      <c r="X128" s="4" t="s">
        <v>1737</v>
      </c>
      <c r="Y128" s="4" t="s">
        <v>1738</v>
      </c>
      <c r="Z128" s="4" t="s">
        <v>1739</v>
      </c>
      <c r="AA128" s="4"/>
      <c r="AB128" s="6">
        <v>46273</v>
      </c>
      <c r="AC128" s="4" t="s">
        <v>1740</v>
      </c>
      <c r="AD128" s="4" t="s">
        <v>1741</v>
      </c>
    </row>
    <row r="129" spans="1:30" ht="114">
      <c r="A129" s="4" t="str">
        <f t="shared" ref="A129:A192" si="6">IF(C129="","","OP-"&amp;TEXT(ROW()-1,"0000"))</f>
        <v>OP-0128</v>
      </c>
      <c r="B129" s="4" t="s">
        <v>54</v>
      </c>
      <c r="C129" s="4" t="s">
        <v>1742</v>
      </c>
      <c r="D129" s="4" t="s">
        <v>1730</v>
      </c>
      <c r="E129" s="4" t="s">
        <v>34</v>
      </c>
      <c r="F129" s="4" t="s">
        <v>35</v>
      </c>
      <c r="G129" s="6">
        <v>46164</v>
      </c>
      <c r="H129" s="4" t="s">
        <v>36</v>
      </c>
      <c r="I129" s="4" t="s">
        <v>58</v>
      </c>
      <c r="J129" s="4" t="s">
        <v>88</v>
      </c>
      <c r="K129" s="4" t="str">
        <f t="shared" ca="1" si="5"/>
        <v>Cerrada</v>
      </c>
      <c r="L129" s="8" t="s">
        <v>1199</v>
      </c>
      <c r="M129" s="8">
        <v>500000</v>
      </c>
      <c r="N129" s="4" t="s">
        <v>39</v>
      </c>
      <c r="O129" s="4" t="s">
        <v>1199</v>
      </c>
      <c r="P129" s="4" t="s">
        <v>142</v>
      </c>
      <c r="Q129" s="4" t="s">
        <v>286</v>
      </c>
      <c r="R129" s="4" t="s">
        <v>1743</v>
      </c>
      <c r="S129" s="4" t="s">
        <v>122</v>
      </c>
      <c r="T129" s="4" t="s">
        <v>1744</v>
      </c>
      <c r="U129" s="4" t="s">
        <v>1745</v>
      </c>
      <c r="V129" s="4" t="s">
        <v>1746</v>
      </c>
      <c r="W129" s="4" t="s">
        <v>1747</v>
      </c>
      <c r="X129" s="4" t="s">
        <v>1748</v>
      </c>
      <c r="Y129" s="4" t="s">
        <v>1749</v>
      </c>
      <c r="Z129" s="4" t="s">
        <v>1750</v>
      </c>
      <c r="AA129" s="4"/>
      <c r="AB129" s="6">
        <v>46273</v>
      </c>
      <c r="AC129" s="4" t="s">
        <v>1751</v>
      </c>
      <c r="AD129" s="4" t="s">
        <v>1752</v>
      </c>
    </row>
    <row r="130" spans="1:30" ht="99.75">
      <c r="A130" s="4" t="str">
        <f t="shared" si="6"/>
        <v>OP-0129</v>
      </c>
      <c r="B130" s="4" t="s">
        <v>54</v>
      </c>
      <c r="C130" s="4" t="s">
        <v>1753</v>
      </c>
      <c r="D130" s="4" t="s">
        <v>1754</v>
      </c>
      <c r="E130" s="4" t="s">
        <v>121</v>
      </c>
      <c r="F130" s="4" t="s">
        <v>196</v>
      </c>
      <c r="G130" s="6">
        <v>46350</v>
      </c>
      <c r="H130" s="4" t="s">
        <v>36</v>
      </c>
      <c r="I130" s="4" t="s">
        <v>87</v>
      </c>
      <c r="J130" s="4" t="s">
        <v>38</v>
      </c>
      <c r="K130" s="4" t="str">
        <f t="shared" ca="1" si="5"/>
        <v>Abierta</v>
      </c>
      <c r="L130" s="8" t="s">
        <v>1199</v>
      </c>
      <c r="M130" s="8" t="s">
        <v>1199</v>
      </c>
      <c r="N130" s="4" t="s">
        <v>197</v>
      </c>
      <c r="O130" s="4" t="s">
        <v>1755</v>
      </c>
      <c r="P130" s="4" t="s">
        <v>142</v>
      </c>
      <c r="Q130" s="4" t="s">
        <v>286</v>
      </c>
      <c r="R130" s="4" t="s">
        <v>313</v>
      </c>
      <c r="S130" s="4" t="s">
        <v>1756</v>
      </c>
      <c r="T130" s="4" t="s">
        <v>1757</v>
      </c>
      <c r="U130" s="4" t="s">
        <v>45</v>
      </c>
      <c r="V130" s="4" t="s">
        <v>1758</v>
      </c>
      <c r="W130" s="4" t="s">
        <v>1759</v>
      </c>
      <c r="X130" s="4" t="s">
        <v>1760</v>
      </c>
      <c r="Y130" s="4" t="s">
        <v>1761</v>
      </c>
      <c r="Z130" s="4" t="s">
        <v>1320</v>
      </c>
      <c r="AA130" s="4"/>
      <c r="AB130" s="6">
        <v>46273</v>
      </c>
      <c r="AC130" s="4" t="s">
        <v>1762</v>
      </c>
      <c r="AD130" s="4" t="s">
        <v>1763</v>
      </c>
    </row>
    <row r="131" spans="1:30" ht="114">
      <c r="A131" s="4" t="str">
        <f t="shared" si="6"/>
        <v>OP-0130</v>
      </c>
      <c r="B131" s="4" t="s">
        <v>54</v>
      </c>
      <c r="C131" s="4" t="s">
        <v>1764</v>
      </c>
      <c r="D131" s="4" t="s">
        <v>1765</v>
      </c>
      <c r="E131" s="4" t="s">
        <v>34</v>
      </c>
      <c r="F131" s="4" t="s">
        <v>1766</v>
      </c>
      <c r="G131" s="6"/>
      <c r="H131" s="4" t="s">
        <v>283</v>
      </c>
      <c r="I131" s="4" t="s">
        <v>58</v>
      </c>
      <c r="J131" s="4"/>
      <c r="K131" s="4" t="str">
        <f t="shared" ca="1" si="5"/>
        <v>Sin fecha</v>
      </c>
      <c r="L131" s="8" t="s">
        <v>1199</v>
      </c>
      <c r="M131" s="8">
        <v>1000</v>
      </c>
      <c r="N131" s="4" t="s">
        <v>39</v>
      </c>
      <c r="O131" s="4" t="s">
        <v>1767</v>
      </c>
      <c r="P131" s="4" t="s">
        <v>242</v>
      </c>
      <c r="Q131" s="4" t="s">
        <v>1768</v>
      </c>
      <c r="R131" s="4" t="s">
        <v>271</v>
      </c>
      <c r="S131" s="4" t="s">
        <v>1769</v>
      </c>
      <c r="T131" s="4" t="s">
        <v>1770</v>
      </c>
      <c r="U131" s="4" t="s">
        <v>1771</v>
      </c>
      <c r="V131" s="4" t="s">
        <v>1772</v>
      </c>
      <c r="W131" s="4" t="s">
        <v>1773</v>
      </c>
      <c r="X131" s="4" t="s">
        <v>1774</v>
      </c>
      <c r="Y131" s="4" t="s">
        <v>1775</v>
      </c>
      <c r="Z131" s="4" t="s">
        <v>1776</v>
      </c>
      <c r="AA131" s="4"/>
      <c r="AB131" s="6">
        <v>46273</v>
      </c>
      <c r="AC131" s="4" t="s">
        <v>1777</v>
      </c>
      <c r="AD131" s="4" t="s">
        <v>1778</v>
      </c>
    </row>
    <row r="132" spans="1:30" ht="99.75">
      <c r="A132" s="4" t="str">
        <f t="shared" si="6"/>
        <v>OP-0131</v>
      </c>
      <c r="B132" s="4" t="s">
        <v>54</v>
      </c>
      <c r="C132" s="4" t="s">
        <v>1779</v>
      </c>
      <c r="D132" s="4" t="s">
        <v>1780</v>
      </c>
      <c r="E132" s="4" t="s">
        <v>139</v>
      </c>
      <c r="F132" s="4" t="s">
        <v>1781</v>
      </c>
      <c r="G132" s="6">
        <v>46281</v>
      </c>
      <c r="H132" s="4" t="s">
        <v>36</v>
      </c>
      <c r="I132" s="4" t="s">
        <v>87</v>
      </c>
      <c r="J132" s="4" t="s">
        <v>38</v>
      </c>
      <c r="K132" s="4" t="str">
        <f t="shared" ca="1" si="5"/>
        <v>Próxima a vencer</v>
      </c>
      <c r="L132" s="8" t="s">
        <v>1199</v>
      </c>
      <c r="M132" s="8">
        <v>2900000</v>
      </c>
      <c r="N132" s="4" t="s">
        <v>1200</v>
      </c>
      <c r="O132" s="4" t="s">
        <v>1782</v>
      </c>
      <c r="P132" s="4" t="s">
        <v>142</v>
      </c>
      <c r="Q132" s="4" t="s">
        <v>286</v>
      </c>
      <c r="R132" s="4" t="s">
        <v>1783</v>
      </c>
      <c r="S132" s="4" t="s">
        <v>1784</v>
      </c>
      <c r="T132" s="4" t="s">
        <v>1785</v>
      </c>
      <c r="U132" s="4" t="s">
        <v>1786</v>
      </c>
      <c r="V132" s="4" t="s">
        <v>1787</v>
      </c>
      <c r="W132" s="4" t="s">
        <v>1788</v>
      </c>
      <c r="X132" s="4" t="s">
        <v>1789</v>
      </c>
      <c r="Y132" s="4" t="s">
        <v>1790</v>
      </c>
      <c r="Z132" s="4" t="s">
        <v>1791</v>
      </c>
      <c r="AA132" s="4"/>
      <c r="AB132" s="6">
        <v>46273</v>
      </c>
      <c r="AC132" s="4" t="s">
        <v>1792</v>
      </c>
      <c r="AD132" s="4" t="s">
        <v>1793</v>
      </c>
    </row>
    <row r="133" spans="1:30" ht="99.75">
      <c r="A133" s="4" t="str">
        <f t="shared" si="6"/>
        <v>OP-0132</v>
      </c>
      <c r="B133" s="4" t="s">
        <v>54</v>
      </c>
      <c r="C133" s="4" t="s">
        <v>1794</v>
      </c>
      <c r="D133" s="4" t="s">
        <v>1795</v>
      </c>
      <c r="E133" s="4" t="s">
        <v>121</v>
      </c>
      <c r="F133" s="4" t="s">
        <v>122</v>
      </c>
      <c r="G133" s="6">
        <v>46289</v>
      </c>
      <c r="H133" s="4" t="s">
        <v>36</v>
      </c>
      <c r="I133" s="4" t="s">
        <v>87</v>
      </c>
      <c r="J133" s="4" t="s">
        <v>38</v>
      </c>
      <c r="K133" s="4" t="str">
        <f t="shared" ca="1" si="5"/>
        <v>Próxima a vencer</v>
      </c>
      <c r="L133" s="8" t="s">
        <v>1199</v>
      </c>
      <c r="M133" s="8">
        <v>100000</v>
      </c>
      <c r="N133" s="4" t="s">
        <v>39</v>
      </c>
      <c r="O133" s="4" t="s">
        <v>1796</v>
      </c>
      <c r="P133" s="4" t="s">
        <v>142</v>
      </c>
      <c r="Q133" s="4" t="s">
        <v>286</v>
      </c>
      <c r="R133" s="4" t="s">
        <v>1797</v>
      </c>
      <c r="S133" s="4" t="s">
        <v>1798</v>
      </c>
      <c r="T133" s="4" t="s">
        <v>1799</v>
      </c>
      <c r="U133" s="4" t="s">
        <v>1800</v>
      </c>
      <c r="V133" s="4" t="s">
        <v>1801</v>
      </c>
      <c r="W133" s="4" t="s">
        <v>1802</v>
      </c>
      <c r="X133" s="4" t="s">
        <v>1803</v>
      </c>
      <c r="Y133" s="4" t="s">
        <v>1804</v>
      </c>
      <c r="Z133" s="4" t="s">
        <v>1805</v>
      </c>
      <c r="AA133" s="4"/>
      <c r="AB133" s="6">
        <v>46273</v>
      </c>
      <c r="AC133" s="4" t="s">
        <v>1806</v>
      </c>
      <c r="AD133" s="4" t="s">
        <v>1807</v>
      </c>
    </row>
    <row r="134" spans="1:30" ht="99.75">
      <c r="A134" s="4" t="str">
        <f t="shared" si="6"/>
        <v>OP-0133</v>
      </c>
      <c r="B134" s="4" t="s">
        <v>54</v>
      </c>
      <c r="C134" s="4" t="s">
        <v>1808</v>
      </c>
      <c r="D134" s="4" t="s">
        <v>1809</v>
      </c>
      <c r="E134" s="4" t="s">
        <v>34</v>
      </c>
      <c r="F134" s="4" t="s">
        <v>1810</v>
      </c>
      <c r="G134" s="6">
        <v>46329</v>
      </c>
      <c r="H134" s="4" t="s">
        <v>36</v>
      </c>
      <c r="I134" s="4" t="s">
        <v>58</v>
      </c>
      <c r="J134" s="4" t="s">
        <v>38</v>
      </c>
      <c r="K134" s="4" t="str">
        <f t="shared" ca="1" si="5"/>
        <v>Abierta</v>
      </c>
      <c r="L134" s="8">
        <v>5000</v>
      </c>
      <c r="M134" s="8">
        <v>50000</v>
      </c>
      <c r="N134" s="4" t="s">
        <v>197</v>
      </c>
      <c r="O134" s="4" t="s">
        <v>1077</v>
      </c>
      <c r="P134" s="4" t="s">
        <v>124</v>
      </c>
      <c r="Q134" s="4" t="s">
        <v>1811</v>
      </c>
      <c r="R134" s="4" t="s">
        <v>1812</v>
      </c>
      <c r="S134" s="4" t="s">
        <v>122</v>
      </c>
      <c r="T134" s="4" t="s">
        <v>44</v>
      </c>
      <c r="U134" s="4" t="s">
        <v>1813</v>
      </c>
      <c r="V134" s="4" t="s">
        <v>1814</v>
      </c>
      <c r="W134" s="4" t="s">
        <v>1815</v>
      </c>
      <c r="X134" s="4" t="s">
        <v>1816</v>
      </c>
      <c r="Y134" s="4" t="s">
        <v>1817</v>
      </c>
      <c r="Z134" s="4" t="s">
        <v>1818</v>
      </c>
      <c r="AA134" s="4"/>
      <c r="AB134" s="6">
        <v>46273</v>
      </c>
      <c r="AC134" s="4" t="s">
        <v>1819</v>
      </c>
      <c r="AD134" s="4" t="s">
        <v>1820</v>
      </c>
    </row>
    <row r="135" spans="1:30" ht="99.75">
      <c r="A135" s="4" t="str">
        <f t="shared" si="6"/>
        <v>OP-0134</v>
      </c>
      <c r="B135" s="4" t="s">
        <v>54</v>
      </c>
      <c r="C135" s="4" t="s">
        <v>1821</v>
      </c>
      <c r="D135" s="4" t="s">
        <v>1822</v>
      </c>
      <c r="E135" s="4" t="s">
        <v>1266</v>
      </c>
      <c r="F135" s="4" t="s">
        <v>35</v>
      </c>
      <c r="G135" s="6"/>
      <c r="H135" s="4" t="s">
        <v>225</v>
      </c>
      <c r="I135" s="4" t="s">
        <v>87</v>
      </c>
      <c r="J135" s="4" t="s">
        <v>88</v>
      </c>
      <c r="K135" s="4" t="str">
        <f t="shared" ca="1" si="5"/>
        <v>Cerrada</v>
      </c>
      <c r="L135" s="8">
        <v>50000</v>
      </c>
      <c r="M135" s="8">
        <v>500000</v>
      </c>
      <c r="N135" s="4" t="s">
        <v>39</v>
      </c>
      <c r="O135" s="4" t="s">
        <v>485</v>
      </c>
      <c r="P135" s="4" t="s">
        <v>124</v>
      </c>
      <c r="Q135" s="4" t="s">
        <v>1823</v>
      </c>
      <c r="R135" s="4" t="s">
        <v>1824</v>
      </c>
      <c r="S135" s="4" t="s">
        <v>122</v>
      </c>
      <c r="T135" s="4" t="s">
        <v>44</v>
      </c>
      <c r="U135" s="4" t="s">
        <v>1825</v>
      </c>
      <c r="V135" s="4" t="s">
        <v>1826</v>
      </c>
      <c r="W135" s="4" t="s">
        <v>1827</v>
      </c>
      <c r="X135" s="4" t="s">
        <v>1828</v>
      </c>
      <c r="Y135" s="4" t="s">
        <v>1829</v>
      </c>
      <c r="Z135" s="4" t="s">
        <v>1830</v>
      </c>
      <c r="AA135" s="4"/>
      <c r="AB135" s="6">
        <v>46273</v>
      </c>
      <c r="AC135" s="4" t="s">
        <v>1831</v>
      </c>
      <c r="AD135" s="4" t="s">
        <v>1832</v>
      </c>
    </row>
    <row r="136" spans="1:30" ht="99.75">
      <c r="A136" s="4" t="str">
        <f t="shared" si="6"/>
        <v>OP-0135</v>
      </c>
      <c r="B136" s="4" t="s">
        <v>54</v>
      </c>
      <c r="C136" s="4" t="s">
        <v>1833</v>
      </c>
      <c r="D136" s="4" t="s">
        <v>1834</v>
      </c>
      <c r="E136" s="4" t="s">
        <v>1266</v>
      </c>
      <c r="F136" s="4" t="s">
        <v>35</v>
      </c>
      <c r="G136" s="6"/>
      <c r="H136" s="4" t="s">
        <v>57</v>
      </c>
      <c r="I136" s="4" t="s">
        <v>22</v>
      </c>
      <c r="J136" s="4" t="s">
        <v>38</v>
      </c>
      <c r="K136" s="4" t="str">
        <f t="shared" ca="1" si="5"/>
        <v>Sin fecha</v>
      </c>
      <c r="L136" s="8">
        <v>10000</v>
      </c>
      <c r="M136" s="8">
        <v>900000</v>
      </c>
      <c r="N136" s="4" t="s">
        <v>39</v>
      </c>
      <c r="O136" s="4" t="s">
        <v>1835</v>
      </c>
      <c r="P136" s="4" t="s">
        <v>142</v>
      </c>
      <c r="Q136" s="4" t="s">
        <v>1836</v>
      </c>
      <c r="R136" s="4" t="s">
        <v>1837</v>
      </c>
      <c r="S136" s="4" t="s">
        <v>122</v>
      </c>
      <c r="T136" s="4" t="s">
        <v>44</v>
      </c>
      <c r="U136" s="4" t="s">
        <v>1838</v>
      </c>
      <c r="V136" s="4" t="s">
        <v>1839</v>
      </c>
      <c r="W136" s="4" t="s">
        <v>1840</v>
      </c>
      <c r="X136" s="4" t="s">
        <v>1841</v>
      </c>
      <c r="Y136" s="4" t="s">
        <v>1842</v>
      </c>
      <c r="Z136" s="4" t="s">
        <v>1843</v>
      </c>
      <c r="AA136" s="4"/>
      <c r="AB136" s="6">
        <v>46273</v>
      </c>
      <c r="AC136" s="4" t="s">
        <v>1844</v>
      </c>
      <c r="AD136" s="4" t="s">
        <v>1845</v>
      </c>
    </row>
    <row r="137" spans="1:30">
      <c r="A137" s="4" t="str">
        <f t="shared" si="6"/>
        <v>OP-0136</v>
      </c>
      <c r="B137" s="4" t="s">
        <v>54</v>
      </c>
      <c r="C137" s="4" t="s">
        <v>1846</v>
      </c>
      <c r="D137" s="4" t="s">
        <v>1847</v>
      </c>
      <c r="E137" s="4" t="s">
        <v>61</v>
      </c>
      <c r="F137" s="4" t="s">
        <v>906</v>
      </c>
      <c r="G137" s="6"/>
      <c r="H137" s="4" t="s">
        <v>57</v>
      </c>
      <c r="I137" s="4" t="s">
        <v>58</v>
      </c>
      <c r="J137" s="4" t="s">
        <v>38</v>
      </c>
      <c r="K137" s="4" t="str">
        <f t="shared" ca="1" si="5"/>
        <v>Sin fecha</v>
      </c>
      <c r="L137" s="8">
        <v>2800</v>
      </c>
      <c r="M137" s="8">
        <v>33600</v>
      </c>
      <c r="N137" s="4" t="s">
        <v>197</v>
      </c>
      <c r="O137" s="4" t="s">
        <v>1848</v>
      </c>
      <c r="P137" s="4" t="s">
        <v>159</v>
      </c>
      <c r="Q137" s="4" t="s">
        <v>1849</v>
      </c>
      <c r="R137" s="4" t="s">
        <v>271</v>
      </c>
      <c r="S137" s="4" t="s">
        <v>1850</v>
      </c>
      <c r="T137" s="4" t="s">
        <v>1851</v>
      </c>
      <c r="U137" s="4" t="s">
        <v>1852</v>
      </c>
      <c r="V137" s="4" t="s">
        <v>1853</v>
      </c>
      <c r="W137" s="4" t="s">
        <v>1854</v>
      </c>
      <c r="X137" s="4" t="s">
        <v>1855</v>
      </c>
      <c r="Y137" s="4" t="s">
        <v>1856</v>
      </c>
      <c r="Z137" s="4" t="s">
        <v>1857</v>
      </c>
      <c r="AA137" s="4"/>
      <c r="AB137" s="6">
        <v>46283</v>
      </c>
      <c r="AC137" s="4" t="s">
        <v>1858</v>
      </c>
      <c r="AD137" s="4" t="s">
        <v>1859</v>
      </c>
    </row>
    <row r="138" spans="1:30" ht="252" customHeight="1">
      <c r="A138" s="4" t="str">
        <f t="shared" si="6"/>
        <v>OP-0137</v>
      </c>
      <c r="B138" s="4" t="inlineStr">
        <is>
          <t xml:space="preserve">Sí</t>
        </is>
      </c>
      <c r="C138" s="4" t="inlineStr">
        <is>
          <t xml:space="preserve">NOSTER &amp; Science Microbiome Prize 2027</t>
        </is>
      </c>
      <c r="D138" s="4" t="inlineStr">
        <is>
          <t xml:space="preserve">NOSTER Inc. / Science–AAAS</t>
        </is>
      </c>
      <c r="E138" s="4" t="inlineStr">
        <is>
          <t xml:space="preserve">Empresa privada</t>
        </is>
      </c>
      <c r="F138" s="4" t="inlineStr">
        <is>
          <t xml:space="preserve">Internacional</t>
        </is>
      </c>
      <c r="G138" s="6">
        <v>46432</v>
      </c>
      <c r="H138" s="4" t="inlineStr">
        <is>
          <t xml:space="preserve">Confirmada</t>
        </is>
      </c>
      <c r="I138" s="4" t="inlineStr">
        <is>
          <t xml:space="preserve">Solicitud</t>
        </is>
      </c>
      <c r="J138" s="4" t="inlineStr">
        <is>
          <t xml:space="preserve">Abierta</t>
        </is>
      </c>
      <c r="K138" s="4" t="str">
        <f t="shared" ca="1" si="5"/>
        <v>Abierta</v>
      </c>
      <c r="L138" s="8">
        <v>25000</v>
      </c>
      <c r="M138" s="8">
        <v>25000</v>
      </c>
      <c r="N138" s="4" t="inlineStr">
        <is>
          <t xml:space="preserve">USD</t>
        </is>
      </c>
      <c r="O138" s="4" t="inlineStr">
        <is>
          <t xml:space="preserve">No aplica (premio)</t>
        </is>
      </c>
      <c r="P138" s="4" t="inlineStr">
        <is>
          <t xml:space="preserve">Premio</t>
        </is>
      </c>
      <c r="Q138" s="4" t="inlineStr">
        <is>
          <t xml:space="preserve">Investigador emergente</t>
        </is>
      </c>
      <c r="R138" s="4" t="inlineStr">
        <is>
          <t xml:space="preserve">Persona individual</t>
        </is>
      </c>
      <c r="S138" s="4" t="inlineStr">
        <is>
          <t xml:space="preserve">Internacional</t>
        </is>
      </c>
      <c r="T138" s="4" t="inlineStr">
        <is>
          <t xml:space="preserve">Sin restricción</t>
        </is>
      </c>
      <c r="U138" s="4" t="inlineStr">
        <is>
          <t xml:space="preserve">Microbioma; salud humana y veterinaria</t>
        </is>
      </c>
      <c r="V138" s="4" t="inlineStr">
        <is>
          <t xml:space="preserve">Microbiota; microbioma; funciones microbianas; salud; enfermedad; intervenciones terapéuticas; investigadores emergentes</t>
        </is>
      </c>
      <c r="W138" s="4" t="inlineStr">
        <is>
          <t xml:space="preserve">Premio internacional a investigaciones innovadoras sobre funciones de la microbiota de cualquier organismo, con potencial para comprender la salud y las enfermedades humanas o veterinarias o guiar terapias. El ganador recibe USD 25,000 y publica su ensayo en Science, en papel y en línea.</t>
        </is>
      </c>
      <c r="X138" s="4" t="inlineStr">
        <is>
          <t xml:space="preserve">Científicos en etapas iniciales con M.D., Ph.D. o M.D./Ph.D. obtenido en los últimos 10 años. Postulación individual centrada en la contribución propia; el candidato debe haber realizado o dirigido el trabajo en los últimos 3 años. Se exige al menos una publicación de investigación revisada por pares en los 3 años calendario anteriores. La segunda publicación es opcional y puede ser un preprint enviado. No se admiten revisiones ni comentarios. Hay extensiones de elegibilidad por maternidad y licencias justificadas.</t>
        </is>
      </c>
      <c r="Y138" s="4" t="inlineStr">
        <is>
          <t xml:space="preserve">Cierre: 14/02/2027, 23:59, hora del este indicada en las bases. Sin tasa de inscripción. Presentar formulario, ensayo propio en Word de hasta 1,000 palabras, CV, carta de recomendación de una página y 1–2 publicaciones. Se permite una figura o tabla y hasta 15 referencias, excluidas del límite de palabras. Se evalúan calidad y relevancia científica y claridad de escritura. No se permite generar el ensayo ni sus figuras con IA; la edición limitada con Grammarly debe declararse. Hasta dos finalistas publican en línea. El premio contempla viaje y alojamiento razonables para la ceremonia, si procede.</t>
        </is>
      </c>
      <c r="Z138" s="4" t="inlineStr">
        <is>
          <t xml:space="preserve">https://www.science.org/content/prize-award/noster-and-science-microbiome-prize</t>
        </is>
      </c>
      <c r="AA138" s="4"/>
      <c r="AB138" s="6">
        <v>46315</v>
      </c>
      <c r="AC138" s="4" t="inlineStr">
        <is>
          <t xml:space="preserve">Science/AAAS — NOSTER 2027. Bases: https://noster.secure-platform.com/a/page/Rules</t>
        </is>
      </c>
      <c r="AD138" s="4" t="inlineStr">
        <is>
          <t xml:space="preserve">Patrocinio: NOSTER Inc. (Japón); organización: Science/AAAS (Estados Unidos). Premio a resultados ya obtenidos. La sección III.1 de las reglas menciona IA, en discrepancia con el alcance y la página de elegibilidad sobre microbioma. Confirmar con NosterSciencePrize@aaas.org.</t>
        </is>
      </c>
    </row>
    <row r="139" spans="1:30">
      <c r="A139" s="4" t="str">
        <f t="shared" si="6"/>
        <v/>
      </c>
      <c r="B139" s="4"/>
      <c r="C139" s="4"/>
      <c r="D139" s="4"/>
      <c r="E139" s="4"/>
      <c r="F139" s="4"/>
      <c r="G139" s="6"/>
      <c r="H139" s="4"/>
      <c r="I139" s="4"/>
      <c r="J139" s="4"/>
      <c r="K139" s="4" t="str">
        <f t="shared" ca="1" si="5"/>
        <v>Sin fecha</v>
      </c>
      <c r="L139" s="8"/>
      <c r="M139" s="8"/>
      <c r="N139" s="4"/>
      <c r="O139" s="4"/>
      <c r="P139" s="4"/>
      <c r="Q139" s="4"/>
      <c r="R139" s="4"/>
      <c r="S139" s="4"/>
      <c r="T139" s="4"/>
      <c r="U139" s="4"/>
      <c r="V139" s="4"/>
      <c r="W139" s="4"/>
      <c r="X139" s="4"/>
      <c r="Y139" s="4"/>
      <c r="Z139" s="4"/>
      <c r="AA139" s="4"/>
      <c r="AB139" s="6"/>
      <c r="AC139" s="4"/>
      <c r="AD139" s="4"/>
    </row>
    <row r="140" spans="1:30">
      <c r="A140" s="4" t="str">
        <f t="shared" si="6"/>
        <v/>
      </c>
      <c r="B140" s="4"/>
      <c r="C140" s="4"/>
      <c r="D140" s="4"/>
      <c r="E140" s="4"/>
      <c r="F140" s="4"/>
      <c r="G140" s="6"/>
      <c r="H140" s="4"/>
      <c r="I140" s="4"/>
      <c r="J140" s="4"/>
      <c r="K140" s="4" t="str">
        <f t="shared" ca="1" si="5"/>
        <v>Sin fecha</v>
      </c>
      <c r="L140" s="8"/>
      <c r="M140" s="8"/>
      <c r="N140" s="4"/>
      <c r="O140" s="4"/>
      <c r="P140" s="4"/>
      <c r="Q140" s="4"/>
      <c r="R140" s="4"/>
      <c r="S140" s="4"/>
      <c r="T140" s="4"/>
      <c r="U140" s="4"/>
      <c r="V140" s="4"/>
      <c r="W140" s="4"/>
      <c r="X140" s="4"/>
      <c r="Y140" s="4"/>
      <c r="Z140" s="4"/>
      <c r="AA140" s="4"/>
      <c r="AB140" s="6"/>
      <c r="AC140" s="4"/>
      <c r="AD140" s="4"/>
    </row>
    <row r="141" spans="1:30">
      <c r="A141" s="4" t="str">
        <f t="shared" si="6"/>
        <v/>
      </c>
      <c r="B141" s="4"/>
      <c r="C141" s="4"/>
      <c r="D141" s="4"/>
      <c r="E141" s="4"/>
      <c r="F141" s="4"/>
      <c r="G141" s="6"/>
      <c r="H141" s="4"/>
      <c r="I141" s="4"/>
      <c r="J141" s="4"/>
      <c r="K141" s="4" t="str">
        <f t="shared" ca="1" si="5"/>
        <v>Sin fecha</v>
      </c>
      <c r="L141" s="8"/>
      <c r="M141" s="8"/>
      <c r="N141" s="4"/>
      <c r="O141" s="4"/>
      <c r="P141" s="4"/>
      <c r="Q141" s="4"/>
      <c r="R141" s="4"/>
      <c r="S141" s="4"/>
      <c r="T141" s="4"/>
      <c r="U141" s="4"/>
      <c r="V141" s="4"/>
      <c r="W141" s="4"/>
      <c r="X141" s="4"/>
      <c r="Y141" s="4"/>
      <c r="Z141" s="4"/>
      <c r="AA141" s="4"/>
      <c r="AB141" s="6"/>
      <c r="AC141" s="4"/>
      <c r="AD141" s="4"/>
    </row>
    <row r="142" spans="1:30">
      <c r="A142" s="4" t="str">
        <f t="shared" si="6"/>
        <v/>
      </c>
      <c r="B142" s="4"/>
      <c r="C142" s="4"/>
      <c r="D142" s="4"/>
      <c r="E142" s="4"/>
      <c r="F142" s="4"/>
      <c r="G142" s="6"/>
      <c r="H142" s="4"/>
      <c r="I142" s="4"/>
      <c r="J142" s="4"/>
      <c r="K142" s="4" t="str">
        <f t="shared" ca="1" si="5"/>
        <v>Sin fecha</v>
      </c>
      <c r="L142" s="8"/>
      <c r="M142" s="8"/>
      <c r="N142" s="4"/>
      <c r="O142" s="4"/>
      <c r="P142" s="4"/>
      <c r="Q142" s="4"/>
      <c r="R142" s="4"/>
      <c r="S142" s="4"/>
      <c r="T142" s="4"/>
      <c r="U142" s="4"/>
      <c r="V142" s="4"/>
      <c r="W142" s="4"/>
      <c r="X142" s="4"/>
      <c r="Y142" s="4"/>
      <c r="Z142" s="4"/>
      <c r="AA142" s="4"/>
      <c r="AB142" s="6"/>
      <c r="AC142" s="4"/>
      <c r="AD142" s="4"/>
    </row>
    <row r="143" spans="1:30">
      <c r="A143" s="4" t="str">
        <f t="shared" si="6"/>
        <v/>
      </c>
      <c r="B143" s="4"/>
      <c r="C143" s="4"/>
      <c r="D143" s="4"/>
      <c r="E143" s="4"/>
      <c r="F143" s="4"/>
      <c r="G143" s="6"/>
      <c r="H143" s="4"/>
      <c r="I143" s="4"/>
      <c r="J143" s="4"/>
      <c r="K143" s="4" t="str">
        <f t="shared" ca="1" si="5"/>
        <v>Sin fecha</v>
      </c>
      <c r="L143" s="8"/>
      <c r="M143" s="8"/>
      <c r="N143" s="4"/>
      <c r="O143" s="4"/>
      <c r="P143" s="4"/>
      <c r="Q143" s="4"/>
      <c r="R143" s="4"/>
      <c r="S143" s="4"/>
      <c r="T143" s="4"/>
      <c r="U143" s="4"/>
      <c r="V143" s="4"/>
      <c r="W143" s="4"/>
      <c r="X143" s="4"/>
      <c r="Y143" s="4"/>
      <c r="Z143" s="4"/>
      <c r="AA143" s="4"/>
      <c r="AB143" s="6"/>
      <c r="AC143" s="4"/>
      <c r="AD143" s="4"/>
    </row>
    <row r="144" spans="1:30">
      <c r="A144" s="4" t="str">
        <f t="shared" si="6"/>
        <v/>
      </c>
      <c r="B144" s="4"/>
      <c r="C144" s="4"/>
      <c r="D144" s="4"/>
      <c r="E144" s="4"/>
      <c r="F144" s="4"/>
      <c r="G144" s="6"/>
      <c r="H144" s="4"/>
      <c r="I144" s="4"/>
      <c r="J144" s="4"/>
      <c r="K144" s="4" t="str">
        <f t="shared" ca="1" si="5"/>
        <v>Sin fecha</v>
      </c>
      <c r="L144" s="8"/>
      <c r="M144" s="8"/>
      <c r="N144" s="4"/>
      <c r="O144" s="4"/>
      <c r="P144" s="4"/>
      <c r="Q144" s="4"/>
      <c r="R144" s="4"/>
      <c r="S144" s="4"/>
      <c r="T144" s="4"/>
      <c r="U144" s="4"/>
      <c r="V144" s="4"/>
      <c r="W144" s="4"/>
      <c r="X144" s="4"/>
      <c r="Y144" s="4"/>
      <c r="Z144" s="4"/>
      <c r="AA144" s="4"/>
      <c r="AB144" s="6"/>
      <c r="AC144" s="4"/>
      <c r="AD144" s="4"/>
    </row>
    <row r="145" spans="1:30">
      <c r="A145" s="4" t="str">
        <f t="shared" si="6"/>
        <v/>
      </c>
      <c r="B145" s="4"/>
      <c r="C145" s="4"/>
      <c r="D145" s="4"/>
      <c r="E145" s="4"/>
      <c r="F145" s="4"/>
      <c r="G145" s="6"/>
      <c r="H145" s="4"/>
      <c r="I145" s="4"/>
      <c r="J145" s="4"/>
      <c r="K145" s="4" t="str">
        <f t="shared" ca="1" si="5"/>
        <v>Sin fecha</v>
      </c>
      <c r="L145" s="8"/>
      <c r="M145" s="8"/>
      <c r="N145" s="4"/>
      <c r="O145" s="4"/>
      <c r="P145" s="4"/>
      <c r="Q145" s="4"/>
      <c r="R145" s="4"/>
      <c r="S145" s="4"/>
      <c r="T145" s="4"/>
      <c r="U145" s="4"/>
      <c r="V145" s="4"/>
      <c r="W145" s="4"/>
      <c r="X145" s="4"/>
      <c r="Y145" s="4"/>
      <c r="Z145" s="4"/>
      <c r="AA145" s="4"/>
      <c r="AB145" s="6"/>
      <c r="AC145" s="4"/>
      <c r="AD145" s="4"/>
    </row>
    <row r="146" spans="1:30">
      <c r="A146" s="4" t="str">
        <f t="shared" si="6"/>
        <v/>
      </c>
      <c r="B146" s="4"/>
      <c r="C146" s="4"/>
      <c r="D146" s="4"/>
      <c r="E146" s="4"/>
      <c r="F146" s="4"/>
      <c r="G146" s="6"/>
      <c r="H146" s="4"/>
      <c r="I146" s="4"/>
      <c r="J146" s="4"/>
      <c r="K146" s="4" t="str">
        <f t="shared" ca="1" si="5"/>
        <v>Sin fecha</v>
      </c>
      <c r="L146" s="8"/>
      <c r="M146" s="8"/>
      <c r="N146" s="4"/>
      <c r="O146" s="4"/>
      <c r="P146" s="4"/>
      <c r="Q146" s="4"/>
      <c r="R146" s="4"/>
      <c r="S146" s="4"/>
      <c r="T146" s="4"/>
      <c r="U146" s="4"/>
      <c r="V146" s="4"/>
      <c r="W146" s="4"/>
      <c r="X146" s="4"/>
      <c r="Y146" s="4"/>
      <c r="Z146" s="4"/>
      <c r="AA146" s="4"/>
      <c r="AB146" s="6"/>
      <c r="AC146" s="4"/>
      <c r="AD146" s="4"/>
    </row>
    <row r="147" spans="1:30">
      <c r="A147" s="4" t="str">
        <f t="shared" si="6"/>
        <v/>
      </c>
      <c r="B147" s="4"/>
      <c r="C147" s="4"/>
      <c r="D147" s="4"/>
      <c r="E147" s="4"/>
      <c r="F147" s="4"/>
      <c r="G147" s="6"/>
      <c r="H147" s="4"/>
      <c r="I147" s="4"/>
      <c r="J147" s="4"/>
      <c r="K147" s="4" t="str">
        <f t="shared" ca="1" si="5"/>
        <v>Sin fecha</v>
      </c>
      <c r="L147" s="8"/>
      <c r="M147" s="8"/>
      <c r="N147" s="4"/>
      <c r="O147" s="4"/>
      <c r="P147" s="4"/>
      <c r="Q147" s="4"/>
      <c r="R147" s="4"/>
      <c r="S147" s="4"/>
      <c r="T147" s="4"/>
      <c r="U147" s="4"/>
      <c r="V147" s="4"/>
      <c r="W147" s="4"/>
      <c r="X147" s="4"/>
      <c r="Y147" s="4"/>
      <c r="Z147" s="4"/>
      <c r="AA147" s="4"/>
      <c r="AB147" s="6"/>
      <c r="AC147" s="4"/>
      <c r="AD147" s="4"/>
    </row>
    <row r="148" spans="1:30">
      <c r="A148" s="4" t="str">
        <f t="shared" si="6"/>
        <v/>
      </c>
      <c r="B148" s="4"/>
      <c r="C148" s="4"/>
      <c r="D148" s="4"/>
      <c r="E148" s="4"/>
      <c r="F148" s="4"/>
      <c r="G148" s="6"/>
      <c r="H148" s="4"/>
      <c r="I148" s="4"/>
      <c r="J148" s="4"/>
      <c r="K148" s="4" t="str">
        <f t="shared" ca="1" si="5"/>
        <v>Sin fecha</v>
      </c>
      <c r="L148" s="8"/>
      <c r="M148" s="8"/>
      <c r="N148" s="4"/>
      <c r="O148" s="4"/>
      <c r="P148" s="4"/>
      <c r="Q148" s="4"/>
      <c r="R148" s="4"/>
      <c r="S148" s="4"/>
      <c r="T148" s="4"/>
      <c r="U148" s="4"/>
      <c r="V148" s="4"/>
      <c r="W148" s="4"/>
      <c r="X148" s="4"/>
      <c r="Y148" s="4"/>
      <c r="Z148" s="4"/>
      <c r="AA148" s="4"/>
      <c r="AB148" s="6"/>
      <c r="AC148" s="4"/>
      <c r="AD148" s="4"/>
    </row>
    <row r="149" spans="1:30">
      <c r="A149" s="4" t="str">
        <f t="shared" si="6"/>
        <v/>
      </c>
      <c r="B149" s="4"/>
      <c r="C149" s="4"/>
      <c r="D149" s="4"/>
      <c r="E149" s="4"/>
      <c r="F149" s="4"/>
      <c r="G149" s="6"/>
      <c r="H149" s="4"/>
      <c r="I149" s="4"/>
      <c r="J149" s="4"/>
      <c r="K149" s="4" t="str">
        <f t="shared" ca="1" si="5"/>
        <v>Sin fecha</v>
      </c>
      <c r="L149" s="8"/>
      <c r="M149" s="8"/>
      <c r="N149" s="4"/>
      <c r="O149" s="4"/>
      <c r="P149" s="4"/>
      <c r="Q149" s="4"/>
      <c r="R149" s="4"/>
      <c r="S149" s="4"/>
      <c r="T149" s="4"/>
      <c r="U149" s="4"/>
      <c r="V149" s="4"/>
      <c r="W149" s="4"/>
      <c r="X149" s="4"/>
      <c r="Y149" s="4"/>
      <c r="Z149" s="4"/>
      <c r="AA149" s="4"/>
      <c r="AB149" s="6"/>
      <c r="AC149" s="4"/>
      <c r="AD149" s="4"/>
    </row>
    <row r="150" spans="1:30">
      <c r="A150" s="4" t="str">
        <f t="shared" si="6"/>
        <v/>
      </c>
      <c r="B150" s="4"/>
      <c r="C150" s="4"/>
      <c r="D150" s="4"/>
      <c r="E150" s="4"/>
      <c r="F150" s="4"/>
      <c r="G150" s="6"/>
      <c r="H150" s="4"/>
      <c r="I150" s="4"/>
      <c r="J150" s="4"/>
      <c r="K150" s="4" t="str">
        <f t="shared" ca="1" si="5"/>
        <v>Sin fecha</v>
      </c>
      <c r="L150" s="8"/>
      <c r="M150" s="8"/>
      <c r="N150" s="4"/>
      <c r="O150" s="4"/>
      <c r="P150" s="4"/>
      <c r="Q150" s="4"/>
      <c r="R150" s="4"/>
      <c r="S150" s="4"/>
      <c r="T150" s="4"/>
      <c r="U150" s="4"/>
      <c r="V150" s="4"/>
      <c r="W150" s="4"/>
      <c r="X150" s="4"/>
      <c r="Y150" s="4"/>
      <c r="Z150" s="4"/>
      <c r="AA150" s="4"/>
      <c r="AB150" s="6"/>
      <c r="AC150" s="4"/>
      <c r="AD150" s="4"/>
    </row>
    <row r="151" spans="1:30">
      <c r="A151" s="4" t="str">
        <f t="shared" si="6"/>
        <v/>
      </c>
      <c r="B151" s="4"/>
      <c r="C151" s="4"/>
      <c r="D151" s="4"/>
      <c r="E151" s="4"/>
      <c r="F151" s="4"/>
      <c r="G151" s="6"/>
      <c r="H151" s="4"/>
      <c r="I151" s="4"/>
      <c r="J151" s="4"/>
      <c r="K151" s="4" t="str">
        <f t="shared" ca="1" si="5"/>
        <v>Sin fecha</v>
      </c>
      <c r="L151" s="8"/>
      <c r="M151" s="8"/>
      <c r="N151" s="4"/>
      <c r="O151" s="4"/>
      <c r="P151" s="4"/>
      <c r="Q151" s="4"/>
      <c r="R151" s="4"/>
      <c r="S151" s="4"/>
      <c r="T151" s="4"/>
      <c r="U151" s="4"/>
      <c r="V151" s="4"/>
      <c r="W151" s="4"/>
      <c r="X151" s="4"/>
      <c r="Y151" s="4"/>
      <c r="Z151" s="4"/>
      <c r="AA151" s="4"/>
      <c r="AB151" s="6"/>
      <c r="AC151" s="4"/>
      <c r="AD151" s="4"/>
    </row>
    <row r="152" spans="1:30">
      <c r="A152" s="4" t="str">
        <f t="shared" si="6"/>
        <v/>
      </c>
      <c r="B152" s="4"/>
      <c r="C152" s="4"/>
      <c r="D152" s="4"/>
      <c r="E152" s="4"/>
      <c r="F152" s="4"/>
      <c r="G152" s="6"/>
      <c r="H152" s="4"/>
      <c r="I152" s="4"/>
      <c r="J152" s="4"/>
      <c r="K152" s="4" t="str">
        <f t="shared" ca="1" si="5"/>
        <v>Sin fecha</v>
      </c>
      <c r="L152" s="8"/>
      <c r="M152" s="8"/>
      <c r="N152" s="4"/>
      <c r="O152" s="4"/>
      <c r="P152" s="4"/>
      <c r="Q152" s="4"/>
      <c r="R152" s="4"/>
      <c r="S152" s="4"/>
      <c r="T152" s="4"/>
      <c r="U152" s="4"/>
      <c r="V152" s="4"/>
      <c r="W152" s="4"/>
      <c r="X152" s="4"/>
      <c r="Y152" s="4"/>
      <c r="Z152" s="4"/>
      <c r="AA152" s="4"/>
      <c r="AB152" s="6"/>
      <c r="AC152" s="4"/>
      <c r="AD152" s="4"/>
    </row>
    <row r="153" spans="1:30">
      <c r="A153" s="4" t="str">
        <f t="shared" si="6"/>
        <v/>
      </c>
      <c r="B153" s="4"/>
      <c r="C153" s="4"/>
      <c r="D153" s="4"/>
      <c r="E153" s="4"/>
      <c r="F153" s="4"/>
      <c r="G153" s="6"/>
      <c r="H153" s="4"/>
      <c r="I153" s="4"/>
      <c r="J153" s="4"/>
      <c r="K153" s="4" t="str">
        <f t="shared" ca="1" si="5"/>
        <v>Sin fecha</v>
      </c>
      <c r="L153" s="8"/>
      <c r="M153" s="8"/>
      <c r="N153" s="4"/>
      <c r="O153" s="4"/>
      <c r="P153" s="4"/>
      <c r="Q153" s="4"/>
      <c r="R153" s="4"/>
      <c r="S153" s="4"/>
      <c r="T153" s="4"/>
      <c r="U153" s="4"/>
      <c r="V153" s="4"/>
      <c r="W153" s="4"/>
      <c r="X153" s="4"/>
      <c r="Y153" s="4"/>
      <c r="Z153" s="4"/>
      <c r="AA153" s="4"/>
      <c r="AB153" s="6"/>
      <c r="AC153" s="4"/>
      <c r="AD153" s="4"/>
    </row>
    <row r="154" spans="1:30">
      <c r="A154" s="4" t="str">
        <f t="shared" si="6"/>
        <v/>
      </c>
      <c r="B154" s="4"/>
      <c r="C154" s="4"/>
      <c r="D154" s="4"/>
      <c r="E154" s="4"/>
      <c r="F154" s="4"/>
      <c r="G154" s="6"/>
      <c r="H154" s="4"/>
      <c r="I154" s="4"/>
      <c r="J154" s="4"/>
      <c r="K154" s="4" t="str">
        <f t="shared" ca="1" si="5"/>
        <v>Sin fecha</v>
      </c>
      <c r="L154" s="8"/>
      <c r="M154" s="8"/>
      <c r="N154" s="4"/>
      <c r="O154" s="4"/>
      <c r="P154" s="4"/>
      <c r="Q154" s="4"/>
      <c r="R154" s="4"/>
      <c r="S154" s="4"/>
      <c r="T154" s="4"/>
      <c r="U154" s="4"/>
      <c r="V154" s="4"/>
      <c r="W154" s="4"/>
      <c r="X154" s="4"/>
      <c r="Y154" s="4"/>
      <c r="Z154" s="4"/>
      <c r="AA154" s="4"/>
      <c r="AB154" s="6"/>
      <c r="AC154" s="4"/>
      <c r="AD154" s="4"/>
    </row>
    <row r="155" spans="1:30">
      <c r="A155" s="4" t="str">
        <f t="shared" si="6"/>
        <v/>
      </c>
      <c r="B155" s="4"/>
      <c r="C155" s="4"/>
      <c r="D155" s="4"/>
      <c r="E155" s="4"/>
      <c r="F155" s="4"/>
      <c r="G155" s="6"/>
      <c r="H155" s="4"/>
      <c r="I155" s="4"/>
      <c r="J155" s="4"/>
      <c r="K155" s="4" t="str">
        <f t="shared" ca="1" si="5"/>
        <v>Sin fecha</v>
      </c>
      <c r="L155" s="8"/>
      <c r="M155" s="8"/>
      <c r="N155" s="4"/>
      <c r="O155" s="4"/>
      <c r="P155" s="4"/>
      <c r="Q155" s="4"/>
      <c r="R155" s="4"/>
      <c r="S155" s="4"/>
      <c r="T155" s="4"/>
      <c r="U155" s="4"/>
      <c r="V155" s="4"/>
      <c r="W155" s="4"/>
      <c r="X155" s="4"/>
      <c r="Y155" s="4"/>
      <c r="Z155" s="4"/>
      <c r="AA155" s="4"/>
      <c r="AB155" s="6"/>
      <c r="AC155" s="4"/>
      <c r="AD155" s="4"/>
    </row>
    <row r="156" spans="1:30">
      <c r="A156" s="4" t="str">
        <f t="shared" si="6"/>
        <v/>
      </c>
      <c r="B156" s="4"/>
      <c r="C156" s="4"/>
      <c r="D156" s="4"/>
      <c r="E156" s="4"/>
      <c r="F156" s="4"/>
      <c r="G156" s="6"/>
      <c r="H156" s="4"/>
      <c r="I156" s="4"/>
      <c r="J156" s="4"/>
      <c r="K156" s="4" t="str">
        <f t="shared" ca="1" si="5"/>
        <v>Sin fecha</v>
      </c>
      <c r="L156" s="8"/>
      <c r="M156" s="8"/>
      <c r="N156" s="4"/>
      <c r="O156" s="4"/>
      <c r="P156" s="4"/>
      <c r="Q156" s="4"/>
      <c r="R156" s="4"/>
      <c r="S156" s="4"/>
      <c r="T156" s="4"/>
      <c r="U156" s="4"/>
      <c r="V156" s="4"/>
      <c r="W156" s="4"/>
      <c r="X156" s="4"/>
      <c r="Y156" s="4"/>
      <c r="Z156" s="4"/>
      <c r="AA156" s="4"/>
      <c r="AB156" s="6"/>
      <c r="AC156" s="4"/>
      <c r="AD156" s="4"/>
    </row>
    <row r="157" spans="1:30">
      <c r="A157" s="4" t="str">
        <f t="shared" si="6"/>
        <v/>
      </c>
      <c r="B157" s="4"/>
      <c r="C157" s="4"/>
      <c r="D157" s="4"/>
      <c r="E157" s="4"/>
      <c r="F157" s="4"/>
      <c r="G157" s="6"/>
      <c r="H157" s="4"/>
      <c r="I157" s="4"/>
      <c r="J157" s="4"/>
      <c r="K157" s="4" t="str">
        <f t="shared" ca="1" si="5"/>
        <v>Sin fecha</v>
      </c>
      <c r="L157" s="8"/>
      <c r="M157" s="8"/>
      <c r="N157" s="4"/>
      <c r="O157" s="4"/>
      <c r="P157" s="4"/>
      <c r="Q157" s="4"/>
      <c r="R157" s="4"/>
      <c r="S157" s="4"/>
      <c r="T157" s="4"/>
      <c r="U157" s="4"/>
      <c r="V157" s="4"/>
      <c r="W157" s="4"/>
      <c r="X157" s="4"/>
      <c r="Y157" s="4"/>
      <c r="Z157" s="4"/>
      <c r="AA157" s="4"/>
      <c r="AB157" s="6"/>
      <c r="AC157" s="4"/>
      <c r="AD157" s="4"/>
    </row>
    <row r="158" spans="1:30">
      <c r="A158" s="4" t="str">
        <f t="shared" si="6"/>
        <v/>
      </c>
      <c r="B158" s="4"/>
      <c r="C158" s="4"/>
      <c r="D158" s="4"/>
      <c r="E158" s="4"/>
      <c r="F158" s="4"/>
      <c r="G158" s="6"/>
      <c r="H158" s="4"/>
      <c r="I158" s="4"/>
      <c r="J158" s="4"/>
      <c r="K158" s="4" t="str">
        <f t="shared" ca="1" si="5"/>
        <v>Sin fecha</v>
      </c>
      <c r="L158" s="8"/>
      <c r="M158" s="8"/>
      <c r="N158" s="4"/>
      <c r="O158" s="4"/>
      <c r="P158" s="4"/>
      <c r="Q158" s="4"/>
      <c r="R158" s="4"/>
      <c r="S158" s="4"/>
      <c r="T158" s="4"/>
      <c r="U158" s="4"/>
      <c r="V158" s="4"/>
      <c r="W158" s="4"/>
      <c r="X158" s="4"/>
      <c r="Y158" s="4"/>
      <c r="Z158" s="4"/>
      <c r="AA158" s="4"/>
      <c r="AB158" s="6"/>
      <c r="AC158" s="4"/>
      <c r="AD158" s="4"/>
    </row>
    <row r="159" spans="1:30">
      <c r="A159" s="4" t="str">
        <f t="shared" si="6"/>
        <v/>
      </c>
      <c r="B159" s="4"/>
      <c r="C159" s="4"/>
      <c r="D159" s="4"/>
      <c r="E159" s="4"/>
      <c r="F159" s="4"/>
      <c r="G159" s="6"/>
      <c r="H159" s="4"/>
      <c r="I159" s="4"/>
      <c r="J159" s="4"/>
      <c r="K159" s="4" t="str">
        <f t="shared" ca="1" si="5"/>
        <v>Sin fecha</v>
      </c>
      <c r="L159" s="8"/>
      <c r="M159" s="8"/>
      <c r="N159" s="4"/>
      <c r="O159" s="4"/>
      <c r="P159" s="4"/>
      <c r="Q159" s="4"/>
      <c r="R159" s="4"/>
      <c r="S159" s="4"/>
      <c r="T159" s="4"/>
      <c r="U159" s="4"/>
      <c r="V159" s="4"/>
      <c r="W159" s="4"/>
      <c r="X159" s="4"/>
      <c r="Y159" s="4"/>
      <c r="Z159" s="4"/>
      <c r="AA159" s="4"/>
      <c r="AB159" s="6"/>
      <c r="AC159" s="4"/>
      <c r="AD159" s="4"/>
    </row>
    <row r="160" spans="1:30">
      <c r="A160" s="4" t="str">
        <f t="shared" si="6"/>
        <v/>
      </c>
      <c r="B160" s="4"/>
      <c r="C160" s="4"/>
      <c r="D160" s="4"/>
      <c r="E160" s="4"/>
      <c r="F160" s="4"/>
      <c r="G160" s="6"/>
      <c r="H160" s="4"/>
      <c r="I160" s="4"/>
      <c r="J160" s="4"/>
      <c r="K160" s="4" t="str">
        <f t="shared" ca="1" si="5"/>
        <v>Sin fecha</v>
      </c>
      <c r="L160" s="8"/>
      <c r="M160" s="8"/>
      <c r="N160" s="4"/>
      <c r="O160" s="4"/>
      <c r="P160" s="4"/>
      <c r="Q160" s="4"/>
      <c r="R160" s="4"/>
      <c r="S160" s="4"/>
      <c r="T160" s="4"/>
      <c r="U160" s="4"/>
      <c r="V160" s="4"/>
      <c r="W160" s="4"/>
      <c r="X160" s="4"/>
      <c r="Y160" s="4"/>
      <c r="Z160" s="4"/>
      <c r="AA160" s="4"/>
      <c r="AB160" s="6"/>
      <c r="AC160" s="4"/>
      <c r="AD160" s="4"/>
    </row>
    <row r="161" spans="1:30">
      <c r="A161" s="4" t="str">
        <f t="shared" si="6"/>
        <v/>
      </c>
      <c r="B161" s="4"/>
      <c r="C161" s="4"/>
      <c r="D161" s="4"/>
      <c r="E161" s="4"/>
      <c r="F161" s="4"/>
      <c r="G161" s="6"/>
      <c r="H161" s="4"/>
      <c r="I161" s="4"/>
      <c r="J161" s="4"/>
      <c r="K161" s="4" t="str">
        <f t="shared" ca="1" si="5"/>
        <v>Sin fecha</v>
      </c>
      <c r="L161" s="8"/>
      <c r="M161" s="8"/>
      <c r="N161" s="4"/>
      <c r="O161" s="4"/>
      <c r="P161" s="4"/>
      <c r="Q161" s="4"/>
      <c r="R161" s="4"/>
      <c r="S161" s="4"/>
      <c r="T161" s="4"/>
      <c r="U161" s="4"/>
      <c r="V161" s="4"/>
      <c r="W161" s="4"/>
      <c r="X161" s="4"/>
      <c r="Y161" s="4"/>
      <c r="Z161" s="4"/>
      <c r="AA161" s="4"/>
      <c r="AB161" s="6"/>
      <c r="AC161" s="4"/>
      <c r="AD161" s="4"/>
    </row>
    <row r="162" spans="1:30">
      <c r="A162" s="4" t="str">
        <f t="shared" si="6"/>
        <v/>
      </c>
      <c r="B162" s="4"/>
      <c r="C162" s="4"/>
      <c r="D162" s="4"/>
      <c r="E162" s="4"/>
      <c r="F162" s="4"/>
      <c r="G162" s="6"/>
      <c r="H162" s="4"/>
      <c r="I162" s="4"/>
      <c r="J162" s="4"/>
      <c r="K162" s="4" t="str">
        <f t="shared" ca="1" si="5"/>
        <v>Sin fecha</v>
      </c>
      <c r="L162" s="8"/>
      <c r="M162" s="8"/>
      <c r="N162" s="4"/>
      <c r="O162" s="4"/>
      <c r="P162" s="4"/>
      <c r="Q162" s="4"/>
      <c r="R162" s="4"/>
      <c r="S162" s="4"/>
      <c r="T162" s="4"/>
      <c r="U162" s="4"/>
      <c r="V162" s="4"/>
      <c r="W162" s="4"/>
      <c r="X162" s="4"/>
      <c r="Y162" s="4"/>
      <c r="Z162" s="4"/>
      <c r="AA162" s="4"/>
      <c r="AB162" s="6"/>
      <c r="AC162" s="4"/>
      <c r="AD162" s="4"/>
    </row>
    <row r="163" spans="1:30">
      <c r="A163" s="4" t="str">
        <f t="shared" si="6"/>
        <v/>
      </c>
      <c r="B163" s="4"/>
      <c r="C163" s="4"/>
      <c r="D163" s="4"/>
      <c r="E163" s="4"/>
      <c r="F163" s="4"/>
      <c r="G163" s="6"/>
      <c r="H163" s="4"/>
      <c r="I163" s="4"/>
      <c r="J163" s="4"/>
      <c r="K163" s="4" t="str">
        <f t="shared" ca="1" si="5"/>
        <v>Sin fecha</v>
      </c>
      <c r="L163" s="8"/>
      <c r="M163" s="8"/>
      <c r="N163" s="4"/>
      <c r="O163" s="4"/>
      <c r="P163" s="4"/>
      <c r="Q163" s="4"/>
      <c r="R163" s="4"/>
      <c r="S163" s="4"/>
      <c r="T163" s="4"/>
      <c r="U163" s="4"/>
      <c r="V163" s="4"/>
      <c r="W163" s="4"/>
      <c r="X163" s="4"/>
      <c r="Y163" s="4"/>
      <c r="Z163" s="4"/>
      <c r="AA163" s="4"/>
      <c r="AB163" s="6"/>
      <c r="AC163" s="4"/>
      <c r="AD163" s="4"/>
    </row>
    <row r="164" spans="1:30">
      <c r="A164" s="4" t="str">
        <f t="shared" si="6"/>
        <v/>
      </c>
      <c r="B164" s="4"/>
      <c r="C164" s="4"/>
      <c r="D164" s="4"/>
      <c r="E164" s="4"/>
      <c r="F164" s="4"/>
      <c r="G164" s="6"/>
      <c r="H164" s="4"/>
      <c r="I164" s="4"/>
      <c r="J164" s="4"/>
      <c r="K164" s="4" t="str">
        <f t="shared" ca="1" si="5"/>
        <v>Sin fecha</v>
      </c>
      <c r="L164" s="8"/>
      <c r="M164" s="8"/>
      <c r="N164" s="4"/>
      <c r="O164" s="4"/>
      <c r="P164" s="4"/>
      <c r="Q164" s="4"/>
      <c r="R164" s="4"/>
      <c r="S164" s="4"/>
      <c r="T164" s="4"/>
      <c r="U164" s="4"/>
      <c r="V164" s="4"/>
      <c r="W164" s="4"/>
      <c r="X164" s="4"/>
      <c r="Y164" s="4"/>
      <c r="Z164" s="4"/>
      <c r="AA164" s="4"/>
      <c r="AB164" s="6"/>
      <c r="AC164" s="4"/>
      <c r="AD164" s="4"/>
    </row>
    <row r="165" spans="1:30">
      <c r="A165" s="4" t="str">
        <f t="shared" si="6"/>
        <v/>
      </c>
      <c r="B165" s="4"/>
      <c r="C165" s="4"/>
      <c r="D165" s="4"/>
      <c r="E165" s="4"/>
      <c r="F165" s="4"/>
      <c r="G165" s="6"/>
      <c r="H165" s="4"/>
      <c r="I165" s="4"/>
      <c r="J165" s="4"/>
      <c r="K165" s="4" t="str">
        <f t="shared" ca="1" si="5"/>
        <v>Sin fecha</v>
      </c>
      <c r="L165" s="8"/>
      <c r="M165" s="8"/>
      <c r="N165" s="4"/>
      <c r="O165" s="4"/>
      <c r="P165" s="4"/>
      <c r="Q165" s="4"/>
      <c r="R165" s="4"/>
      <c r="S165" s="4"/>
      <c r="T165" s="4"/>
      <c r="U165" s="4"/>
      <c r="V165" s="4"/>
      <c r="W165" s="4"/>
      <c r="X165" s="4"/>
      <c r="Y165" s="4"/>
      <c r="Z165" s="4"/>
      <c r="AA165" s="4"/>
      <c r="AB165" s="6"/>
      <c r="AC165" s="4"/>
      <c r="AD165" s="4"/>
    </row>
    <row r="166" spans="1:30">
      <c r="A166" s="4" t="str">
        <f t="shared" si="6"/>
        <v/>
      </c>
      <c r="B166" s="4"/>
      <c r="C166" s="4"/>
      <c r="D166" s="4"/>
      <c r="E166" s="4"/>
      <c r="F166" s="4"/>
      <c r="G166" s="6"/>
      <c r="H166" s="4"/>
      <c r="I166" s="4"/>
      <c r="J166" s="4"/>
      <c r="K166" s="4" t="str">
        <f t="shared" ca="1" si="5"/>
        <v>Sin fecha</v>
      </c>
      <c r="L166" s="8"/>
      <c r="M166" s="8"/>
      <c r="N166" s="4"/>
      <c r="O166" s="4"/>
      <c r="P166" s="4"/>
      <c r="Q166" s="4"/>
      <c r="R166" s="4"/>
      <c r="S166" s="4"/>
      <c r="T166" s="4"/>
      <c r="U166" s="4"/>
      <c r="V166" s="4"/>
      <c r="W166" s="4"/>
      <c r="X166" s="4"/>
      <c r="Y166" s="4"/>
      <c r="Z166" s="4"/>
      <c r="AA166" s="4"/>
      <c r="AB166" s="6"/>
      <c r="AC166" s="4"/>
      <c r="AD166" s="4"/>
    </row>
    <row r="167" spans="1:30">
      <c r="A167" s="4" t="str">
        <f t="shared" si="6"/>
        <v/>
      </c>
      <c r="B167" s="4"/>
      <c r="C167" s="4"/>
      <c r="D167" s="4"/>
      <c r="E167" s="4"/>
      <c r="F167" s="4"/>
      <c r="G167" s="6"/>
      <c r="H167" s="4"/>
      <c r="I167" s="4"/>
      <c r="J167" s="4"/>
      <c r="K167" s="4" t="str">
        <f t="shared" ca="1" si="5"/>
        <v>Sin fecha</v>
      </c>
      <c r="L167" s="8"/>
      <c r="M167" s="8"/>
      <c r="N167" s="4"/>
      <c r="O167" s="4"/>
      <c r="P167" s="4"/>
      <c r="Q167" s="4"/>
      <c r="R167" s="4"/>
      <c r="S167" s="4"/>
      <c r="T167" s="4"/>
      <c r="U167" s="4"/>
      <c r="V167" s="4"/>
      <c r="W167" s="4"/>
      <c r="X167" s="4"/>
      <c r="Y167" s="4"/>
      <c r="Z167" s="4"/>
      <c r="AA167" s="4"/>
      <c r="AB167" s="6"/>
      <c r="AC167" s="4"/>
      <c r="AD167" s="4"/>
    </row>
    <row r="168" spans="1:30">
      <c r="A168" s="4" t="str">
        <f t="shared" si="6"/>
        <v/>
      </c>
      <c r="B168" s="4"/>
      <c r="C168" s="4"/>
      <c r="D168" s="4"/>
      <c r="E168" s="4"/>
      <c r="F168" s="4"/>
      <c r="G168" s="6"/>
      <c r="H168" s="4"/>
      <c r="I168" s="4"/>
      <c r="J168" s="4"/>
      <c r="K168" s="4" t="str">
        <f t="shared" ca="1" si="5"/>
        <v>Sin fecha</v>
      </c>
      <c r="L168" s="8"/>
      <c r="M168" s="8"/>
      <c r="N168" s="4"/>
      <c r="O168" s="4"/>
      <c r="P168" s="4"/>
      <c r="Q168" s="4"/>
      <c r="R168" s="4"/>
      <c r="S168" s="4"/>
      <c r="T168" s="4"/>
      <c r="U168" s="4"/>
      <c r="V168" s="4"/>
      <c r="W168" s="4"/>
      <c r="X168" s="4"/>
      <c r="Y168" s="4"/>
      <c r="Z168" s="4"/>
      <c r="AA168" s="4"/>
      <c r="AB168" s="6"/>
      <c r="AC168" s="4"/>
      <c r="AD168" s="4"/>
    </row>
    <row r="169" spans="1:30">
      <c r="A169" s="4" t="str">
        <f t="shared" si="6"/>
        <v/>
      </c>
      <c r="B169" s="4"/>
      <c r="C169" s="4"/>
      <c r="D169" s="4"/>
      <c r="E169" s="4"/>
      <c r="F169" s="4"/>
      <c r="G169" s="6"/>
      <c r="H169" s="4"/>
      <c r="I169" s="4"/>
      <c r="J169" s="4"/>
      <c r="K169" s="4" t="str">
        <f t="shared" ca="1" si="5"/>
        <v>Sin fecha</v>
      </c>
      <c r="L169" s="8"/>
      <c r="M169" s="8"/>
      <c r="N169" s="4"/>
      <c r="O169" s="4"/>
      <c r="P169" s="4"/>
      <c r="Q169" s="4"/>
      <c r="R169" s="4"/>
      <c r="S169" s="4"/>
      <c r="T169" s="4"/>
      <c r="U169" s="4"/>
      <c r="V169" s="4"/>
      <c r="W169" s="4"/>
      <c r="X169" s="4"/>
      <c r="Y169" s="4"/>
      <c r="Z169" s="4"/>
      <c r="AA169" s="4"/>
      <c r="AB169" s="6"/>
      <c r="AC169" s="4"/>
      <c r="AD169" s="4"/>
    </row>
    <row r="170" spans="1:30">
      <c r="A170" s="4" t="str">
        <f t="shared" si="6"/>
        <v/>
      </c>
      <c r="B170" s="4"/>
      <c r="C170" s="4"/>
      <c r="D170" s="4"/>
      <c r="E170" s="4"/>
      <c r="F170" s="4"/>
      <c r="G170" s="6"/>
      <c r="H170" s="4"/>
      <c r="I170" s="4"/>
      <c r="J170" s="4"/>
      <c r="K170" s="4" t="str">
        <f t="shared" ca="1" si="5"/>
        <v>Sin fecha</v>
      </c>
      <c r="L170" s="8"/>
      <c r="M170" s="8"/>
      <c r="N170" s="4"/>
      <c r="O170" s="4"/>
      <c r="P170" s="4"/>
      <c r="Q170" s="4"/>
      <c r="R170" s="4"/>
      <c r="S170" s="4"/>
      <c r="T170" s="4"/>
      <c r="U170" s="4"/>
      <c r="V170" s="4"/>
      <c r="W170" s="4"/>
      <c r="X170" s="4"/>
      <c r="Y170" s="4"/>
      <c r="Z170" s="4"/>
      <c r="AA170" s="4"/>
      <c r="AB170" s="6"/>
      <c r="AC170" s="4"/>
      <c r="AD170" s="4"/>
    </row>
    <row r="171" spans="1:30">
      <c r="A171" s="4" t="str">
        <f t="shared" si="6"/>
        <v/>
      </c>
      <c r="B171" s="4"/>
      <c r="C171" s="4"/>
      <c r="D171" s="4"/>
      <c r="E171" s="4"/>
      <c r="F171" s="4"/>
      <c r="G171" s="6"/>
      <c r="H171" s="4"/>
      <c r="I171" s="4"/>
      <c r="J171" s="4"/>
      <c r="K171" s="4" t="str">
        <f t="shared" ca="1" si="5"/>
        <v>Sin fecha</v>
      </c>
      <c r="L171" s="8"/>
      <c r="M171" s="8"/>
      <c r="N171" s="4"/>
      <c r="O171" s="4"/>
      <c r="P171" s="4"/>
      <c r="Q171" s="4"/>
      <c r="R171" s="4"/>
      <c r="S171" s="4"/>
      <c r="T171" s="4"/>
      <c r="U171" s="4"/>
      <c r="V171" s="4"/>
      <c r="W171" s="4"/>
      <c r="X171" s="4"/>
      <c r="Y171" s="4"/>
      <c r="Z171" s="4"/>
      <c r="AA171" s="4"/>
      <c r="AB171" s="6"/>
      <c r="AC171" s="4"/>
      <c r="AD171" s="4"/>
    </row>
    <row r="172" spans="1:30">
      <c r="A172" s="4" t="str">
        <f t="shared" si="6"/>
        <v/>
      </c>
      <c r="B172" s="4"/>
      <c r="C172" s="4"/>
      <c r="D172" s="4"/>
      <c r="E172" s="4"/>
      <c r="F172" s="4"/>
      <c r="G172" s="6"/>
      <c r="H172" s="4"/>
      <c r="I172" s="4"/>
      <c r="J172" s="4"/>
      <c r="K172" s="4" t="str">
        <f t="shared" ca="1" si="5"/>
        <v>Sin fecha</v>
      </c>
      <c r="L172" s="8"/>
      <c r="M172" s="8"/>
      <c r="N172" s="4"/>
      <c r="O172" s="4"/>
      <c r="P172" s="4"/>
      <c r="Q172" s="4"/>
      <c r="R172" s="4"/>
      <c r="S172" s="4"/>
      <c r="T172" s="4"/>
      <c r="U172" s="4"/>
      <c r="V172" s="4"/>
      <c r="W172" s="4"/>
      <c r="X172" s="4"/>
      <c r="Y172" s="4"/>
      <c r="Z172" s="4"/>
      <c r="AA172" s="4"/>
      <c r="AB172" s="6"/>
      <c r="AC172" s="4"/>
      <c r="AD172" s="4"/>
    </row>
    <row r="173" spans="1:30">
      <c r="A173" s="4" t="str">
        <f t="shared" si="6"/>
        <v/>
      </c>
      <c r="B173" s="4"/>
      <c r="C173" s="4"/>
      <c r="D173" s="4"/>
      <c r="E173" s="4"/>
      <c r="F173" s="4"/>
      <c r="G173" s="6"/>
      <c r="H173" s="4"/>
      <c r="I173" s="4"/>
      <c r="J173" s="4"/>
      <c r="K173" s="4" t="str">
        <f t="shared" ca="1" si="5"/>
        <v>Sin fecha</v>
      </c>
      <c r="L173" s="8"/>
      <c r="M173" s="8"/>
      <c r="N173" s="4"/>
      <c r="O173" s="4"/>
      <c r="P173" s="4"/>
      <c r="Q173" s="4"/>
      <c r="R173" s="4"/>
      <c r="S173" s="4"/>
      <c r="T173" s="4"/>
      <c r="U173" s="4"/>
      <c r="V173" s="4"/>
      <c r="W173" s="4"/>
      <c r="X173" s="4"/>
      <c r="Y173" s="4"/>
      <c r="Z173" s="4"/>
      <c r="AA173" s="4"/>
      <c r="AB173" s="6"/>
      <c r="AC173" s="4"/>
      <c r="AD173" s="4"/>
    </row>
    <row r="174" spans="1:30">
      <c r="A174" s="4" t="str">
        <f t="shared" si="6"/>
        <v/>
      </c>
      <c r="B174" s="4"/>
      <c r="C174" s="4"/>
      <c r="D174" s="4"/>
      <c r="E174" s="4"/>
      <c r="F174" s="4"/>
      <c r="G174" s="6"/>
      <c r="H174" s="4"/>
      <c r="I174" s="4"/>
      <c r="J174" s="4"/>
      <c r="K174" s="4" t="str">
        <f t="shared" ca="1" si="5"/>
        <v>Sin fecha</v>
      </c>
      <c r="L174" s="8"/>
      <c r="M174" s="8"/>
      <c r="N174" s="4"/>
      <c r="O174" s="4"/>
      <c r="P174" s="4"/>
      <c r="Q174" s="4"/>
      <c r="R174" s="4"/>
      <c r="S174" s="4"/>
      <c r="T174" s="4"/>
      <c r="U174" s="4"/>
      <c r="V174" s="4"/>
      <c r="W174" s="4"/>
      <c r="X174" s="4"/>
      <c r="Y174" s="4"/>
      <c r="Z174" s="4"/>
      <c r="AA174" s="4"/>
      <c r="AB174" s="6"/>
      <c r="AC174" s="4"/>
      <c r="AD174" s="4"/>
    </row>
    <row r="175" spans="1:30">
      <c r="A175" s="4" t="str">
        <f t="shared" si="6"/>
        <v/>
      </c>
      <c r="B175" s="4"/>
      <c r="C175" s="4"/>
      <c r="D175" s="4"/>
      <c r="E175" s="4"/>
      <c r="F175" s="4"/>
      <c r="G175" s="6"/>
      <c r="H175" s="4"/>
      <c r="I175" s="4"/>
      <c r="J175" s="4"/>
      <c r="K175" s="4" t="str">
        <f t="shared" ca="1" si="5"/>
        <v>Sin fecha</v>
      </c>
      <c r="L175" s="8"/>
      <c r="M175" s="8"/>
      <c r="N175" s="4"/>
      <c r="O175" s="4"/>
      <c r="P175" s="4"/>
      <c r="Q175" s="4"/>
      <c r="R175" s="4"/>
      <c r="S175" s="4"/>
      <c r="T175" s="4"/>
      <c r="U175" s="4"/>
      <c r="V175" s="4"/>
      <c r="W175" s="4"/>
      <c r="X175" s="4"/>
      <c r="Y175" s="4"/>
      <c r="Z175" s="4"/>
      <c r="AA175" s="4"/>
      <c r="AB175" s="6"/>
      <c r="AC175" s="4"/>
      <c r="AD175" s="4"/>
    </row>
    <row r="176" spans="1:30">
      <c r="A176" s="4" t="str">
        <f t="shared" si="6"/>
        <v/>
      </c>
      <c r="B176" s="4"/>
      <c r="C176" s="4"/>
      <c r="D176" s="4"/>
      <c r="E176" s="4"/>
      <c r="F176" s="4"/>
      <c r="G176" s="6"/>
      <c r="H176" s="4"/>
      <c r="I176" s="4"/>
      <c r="J176" s="4"/>
      <c r="K176" s="4" t="str">
        <f t="shared" ca="1" si="5"/>
        <v>Sin fecha</v>
      </c>
      <c r="L176" s="8"/>
      <c r="M176" s="8"/>
      <c r="N176" s="4"/>
      <c r="O176" s="4"/>
      <c r="P176" s="4"/>
      <c r="Q176" s="4"/>
      <c r="R176" s="4"/>
      <c r="S176" s="4"/>
      <c r="T176" s="4"/>
      <c r="U176" s="4"/>
      <c r="V176" s="4"/>
      <c r="W176" s="4"/>
      <c r="X176" s="4"/>
      <c r="Y176" s="4"/>
      <c r="Z176" s="4"/>
      <c r="AA176" s="4"/>
      <c r="AB176" s="6"/>
      <c r="AC176" s="4"/>
      <c r="AD176" s="4"/>
    </row>
    <row r="177" spans="1:30">
      <c r="A177" s="4" t="str">
        <f t="shared" si="6"/>
        <v/>
      </c>
      <c r="B177" s="4"/>
      <c r="C177" s="4"/>
      <c r="D177" s="4"/>
      <c r="E177" s="4"/>
      <c r="F177" s="4"/>
      <c r="G177" s="6"/>
      <c r="H177" s="4"/>
      <c r="I177" s="4"/>
      <c r="J177" s="4"/>
      <c r="K177" s="4" t="str">
        <f t="shared" ca="1" si="5"/>
        <v>Sin fecha</v>
      </c>
      <c r="L177" s="8"/>
      <c r="M177" s="8"/>
      <c r="N177" s="4"/>
      <c r="O177" s="4"/>
      <c r="P177" s="4"/>
      <c r="Q177" s="4"/>
      <c r="R177" s="4"/>
      <c r="S177" s="4"/>
      <c r="T177" s="4"/>
      <c r="U177" s="4"/>
      <c r="V177" s="4"/>
      <c r="W177" s="4"/>
      <c r="X177" s="4"/>
      <c r="Y177" s="4"/>
      <c r="Z177" s="4"/>
      <c r="AA177" s="4"/>
      <c r="AB177" s="6"/>
      <c r="AC177" s="4"/>
      <c r="AD177" s="4"/>
    </row>
    <row r="178" spans="1:30">
      <c r="A178" s="4" t="str">
        <f t="shared" si="6"/>
        <v/>
      </c>
      <c r="B178" s="4"/>
      <c r="C178" s="4"/>
      <c r="D178" s="4"/>
      <c r="E178" s="4"/>
      <c r="F178" s="4"/>
      <c r="G178" s="6"/>
      <c r="H178" s="4"/>
      <c r="I178" s="4"/>
      <c r="J178" s="4"/>
      <c r="K178" s="4" t="str">
        <f t="shared" ca="1" si="5"/>
        <v>Sin fecha</v>
      </c>
      <c r="L178" s="8"/>
      <c r="M178" s="8"/>
      <c r="N178" s="4"/>
      <c r="O178" s="4"/>
      <c r="P178" s="4"/>
      <c r="Q178" s="4"/>
      <c r="R178" s="4"/>
      <c r="S178" s="4"/>
      <c r="T178" s="4"/>
      <c r="U178" s="4"/>
      <c r="V178" s="4"/>
      <c r="W178" s="4"/>
      <c r="X178" s="4"/>
      <c r="Y178" s="4"/>
      <c r="Z178" s="4"/>
      <c r="AA178" s="4"/>
      <c r="AB178" s="6"/>
      <c r="AC178" s="4"/>
      <c r="AD178" s="4"/>
    </row>
    <row r="179" spans="1:30">
      <c r="A179" s="4" t="str">
        <f t="shared" si="6"/>
        <v/>
      </c>
      <c r="B179" s="4"/>
      <c r="C179" s="4"/>
      <c r="D179" s="4"/>
      <c r="E179" s="4"/>
      <c r="F179" s="4"/>
      <c r="G179" s="6"/>
      <c r="H179" s="4"/>
      <c r="I179" s="4"/>
      <c r="J179" s="4"/>
      <c r="K179" s="4" t="str">
        <f t="shared" ca="1" si="5"/>
        <v>Sin fecha</v>
      </c>
      <c r="L179" s="8"/>
      <c r="M179" s="8"/>
      <c r="N179" s="4"/>
      <c r="O179" s="4"/>
      <c r="P179" s="4"/>
      <c r="Q179" s="4"/>
      <c r="R179" s="4"/>
      <c r="S179" s="4"/>
      <c r="T179" s="4"/>
      <c r="U179" s="4"/>
      <c r="V179" s="4"/>
      <c r="W179" s="4"/>
      <c r="X179" s="4"/>
      <c r="Y179" s="4"/>
      <c r="Z179" s="4"/>
      <c r="AA179" s="4"/>
      <c r="AB179" s="6"/>
      <c r="AC179" s="4"/>
      <c r="AD179" s="4"/>
    </row>
    <row r="180" spans="1:30">
      <c r="A180" s="4" t="str">
        <f t="shared" si="6"/>
        <v/>
      </c>
      <c r="B180" s="4"/>
      <c r="C180" s="4"/>
      <c r="D180" s="4"/>
      <c r="E180" s="4"/>
      <c r="F180" s="4"/>
      <c r="G180" s="6"/>
      <c r="H180" s="4"/>
      <c r="I180" s="4"/>
      <c r="J180" s="4"/>
      <c r="K180" s="4" t="str">
        <f t="shared" ca="1" si="5"/>
        <v>Sin fecha</v>
      </c>
      <c r="L180" s="8"/>
      <c r="M180" s="8"/>
      <c r="N180" s="4"/>
      <c r="O180" s="4"/>
      <c r="P180" s="4"/>
      <c r="Q180" s="4"/>
      <c r="R180" s="4"/>
      <c r="S180" s="4"/>
      <c r="T180" s="4"/>
      <c r="U180" s="4"/>
      <c r="V180" s="4"/>
      <c r="W180" s="4"/>
      <c r="X180" s="4"/>
      <c r="Y180" s="4"/>
      <c r="Z180" s="4"/>
      <c r="AA180" s="4"/>
      <c r="AB180" s="6"/>
      <c r="AC180" s="4"/>
      <c r="AD180" s="4"/>
    </row>
    <row r="181" spans="1:30">
      <c r="A181" s="4" t="str">
        <f t="shared" si="6"/>
        <v/>
      </c>
      <c r="B181" s="4"/>
      <c r="C181" s="4"/>
      <c r="D181" s="4"/>
      <c r="E181" s="4"/>
      <c r="F181" s="4"/>
      <c r="G181" s="6"/>
      <c r="H181" s="4"/>
      <c r="I181" s="4"/>
      <c r="J181" s="4"/>
      <c r="K181" s="4" t="str">
        <f t="shared" ca="1" si="5"/>
        <v>Sin fecha</v>
      </c>
      <c r="L181" s="8"/>
      <c r="M181" s="8"/>
      <c r="N181" s="4"/>
      <c r="O181" s="4"/>
      <c r="P181" s="4"/>
      <c r="Q181" s="4"/>
      <c r="R181" s="4"/>
      <c r="S181" s="4"/>
      <c r="T181" s="4"/>
      <c r="U181" s="4"/>
      <c r="V181" s="4"/>
      <c r="W181" s="4"/>
      <c r="X181" s="4"/>
      <c r="Y181" s="4"/>
      <c r="Z181" s="4"/>
      <c r="AA181" s="4"/>
      <c r="AB181" s="6"/>
      <c r="AC181" s="4"/>
      <c r="AD181" s="4"/>
    </row>
    <row r="182" spans="1:30">
      <c r="A182" s="4" t="str">
        <f t="shared" si="6"/>
        <v/>
      </c>
      <c r="B182" s="4"/>
      <c r="C182" s="4"/>
      <c r="D182" s="4"/>
      <c r="E182" s="4"/>
      <c r="F182" s="4"/>
      <c r="G182" s="6"/>
      <c r="H182" s="4"/>
      <c r="I182" s="4"/>
      <c r="J182" s="4"/>
      <c r="K182" s="4" t="str">
        <f t="shared" ca="1" si="5"/>
        <v>Sin fecha</v>
      </c>
      <c r="L182" s="8"/>
      <c r="M182" s="8"/>
      <c r="N182" s="4"/>
      <c r="O182" s="4"/>
      <c r="P182" s="4"/>
      <c r="Q182" s="4"/>
      <c r="R182" s="4"/>
      <c r="S182" s="4"/>
      <c r="T182" s="4"/>
      <c r="U182" s="4"/>
      <c r="V182" s="4"/>
      <c r="W182" s="4"/>
      <c r="X182" s="4"/>
      <c r="Y182" s="4"/>
      <c r="Z182" s="4"/>
      <c r="AA182" s="4"/>
      <c r="AB182" s="6"/>
      <c r="AC182" s="4"/>
      <c r="AD182" s="4"/>
    </row>
    <row r="183" spans="1:30">
      <c r="A183" s="4" t="str">
        <f t="shared" si="6"/>
        <v/>
      </c>
      <c r="B183" s="4"/>
      <c r="C183" s="4"/>
      <c r="D183" s="4"/>
      <c r="E183" s="4"/>
      <c r="F183" s="4"/>
      <c r="G183" s="6"/>
      <c r="H183" s="4"/>
      <c r="I183" s="4"/>
      <c r="J183" s="4"/>
      <c r="K183" s="4" t="str">
        <f t="shared" ca="1" si="5"/>
        <v>Sin fecha</v>
      </c>
      <c r="L183" s="8"/>
      <c r="M183" s="8"/>
      <c r="N183" s="4"/>
      <c r="O183" s="4"/>
      <c r="P183" s="4"/>
      <c r="Q183" s="4"/>
      <c r="R183" s="4"/>
      <c r="S183" s="4"/>
      <c r="T183" s="4"/>
      <c r="U183" s="4"/>
      <c r="V183" s="4"/>
      <c r="W183" s="4"/>
      <c r="X183" s="4"/>
      <c r="Y183" s="4"/>
      <c r="Z183" s="4"/>
      <c r="AA183" s="4"/>
      <c r="AB183" s="6"/>
      <c r="AC183" s="4"/>
      <c r="AD183" s="4"/>
    </row>
    <row r="184" spans="1:30">
      <c r="A184" s="4" t="str">
        <f t="shared" si="6"/>
        <v/>
      </c>
      <c r="B184" s="4"/>
      <c r="C184" s="4"/>
      <c r="D184" s="4"/>
      <c r="E184" s="4"/>
      <c r="F184" s="4"/>
      <c r="G184" s="6"/>
      <c r="H184" s="4"/>
      <c r="I184" s="4"/>
      <c r="J184" s="4"/>
      <c r="K184" s="4" t="str">
        <f t="shared" ca="1" si="5"/>
        <v>Sin fecha</v>
      </c>
      <c r="L184" s="8"/>
      <c r="M184" s="8"/>
      <c r="N184" s="4"/>
      <c r="O184" s="4"/>
      <c r="P184" s="4"/>
      <c r="Q184" s="4"/>
      <c r="R184" s="4"/>
      <c r="S184" s="4"/>
      <c r="T184" s="4"/>
      <c r="U184" s="4"/>
      <c r="V184" s="4"/>
      <c r="W184" s="4"/>
      <c r="X184" s="4"/>
      <c r="Y184" s="4"/>
      <c r="Z184" s="4"/>
      <c r="AA184" s="4"/>
      <c r="AB184" s="6"/>
      <c r="AC184" s="4"/>
      <c r="AD184" s="4"/>
    </row>
    <row r="185" spans="1:30">
      <c r="A185" s="4" t="str">
        <f t="shared" si="6"/>
        <v/>
      </c>
      <c r="B185" s="4"/>
      <c r="C185" s="4"/>
      <c r="D185" s="4"/>
      <c r="E185" s="4"/>
      <c r="F185" s="4"/>
      <c r="G185" s="6"/>
      <c r="H185" s="4"/>
      <c r="I185" s="4"/>
      <c r="J185" s="4"/>
      <c r="K185" s="4" t="str">
        <f t="shared" ca="1" si="5"/>
        <v>Sin fecha</v>
      </c>
      <c r="L185" s="8"/>
      <c r="M185" s="8"/>
      <c r="N185" s="4"/>
      <c r="O185" s="4"/>
      <c r="P185" s="4"/>
      <c r="Q185" s="4"/>
      <c r="R185" s="4"/>
      <c r="S185" s="4"/>
      <c r="T185" s="4"/>
      <c r="U185" s="4"/>
      <c r="V185" s="4"/>
      <c r="W185" s="4"/>
      <c r="X185" s="4"/>
      <c r="Y185" s="4"/>
      <c r="Z185" s="4"/>
      <c r="AA185" s="4"/>
      <c r="AB185" s="6"/>
      <c r="AC185" s="4"/>
      <c r="AD185" s="4"/>
    </row>
    <row r="186" spans="1:30">
      <c r="A186" s="4" t="str">
        <f t="shared" si="6"/>
        <v/>
      </c>
      <c r="B186" s="4"/>
      <c r="C186" s="4"/>
      <c r="D186" s="4"/>
      <c r="E186" s="4"/>
      <c r="F186" s="4"/>
      <c r="G186" s="6"/>
      <c r="H186" s="4"/>
      <c r="I186" s="4"/>
      <c r="J186" s="4"/>
      <c r="K186" s="4" t="str">
        <f t="shared" ca="1" si="5"/>
        <v>Sin fecha</v>
      </c>
      <c r="L186" s="8"/>
      <c r="M186" s="8"/>
      <c r="N186" s="4"/>
      <c r="O186" s="4"/>
      <c r="P186" s="4"/>
      <c r="Q186" s="4"/>
      <c r="R186" s="4"/>
      <c r="S186" s="4"/>
      <c r="T186" s="4"/>
      <c r="U186" s="4"/>
      <c r="V186" s="4"/>
      <c r="W186" s="4"/>
      <c r="X186" s="4"/>
      <c r="Y186" s="4"/>
      <c r="Z186" s="4"/>
      <c r="AA186" s="4"/>
      <c r="AB186" s="6"/>
      <c r="AC186" s="4"/>
      <c r="AD186" s="4"/>
    </row>
    <row r="187" spans="1:30">
      <c r="A187" s="4" t="str">
        <f t="shared" si="6"/>
        <v/>
      </c>
      <c r="B187" s="4"/>
      <c r="C187" s="4"/>
      <c r="D187" s="4"/>
      <c r="E187" s="4"/>
      <c r="F187" s="4"/>
      <c r="G187" s="6"/>
      <c r="H187" s="4"/>
      <c r="I187" s="4"/>
      <c r="J187" s="4"/>
      <c r="K187" s="4" t="str">
        <f t="shared" ca="1" si="5"/>
        <v>Sin fecha</v>
      </c>
      <c r="L187" s="8"/>
      <c r="M187" s="8"/>
      <c r="N187" s="4"/>
      <c r="O187" s="4"/>
      <c r="P187" s="4"/>
      <c r="Q187" s="4"/>
      <c r="R187" s="4"/>
      <c r="S187" s="4"/>
      <c r="T187" s="4"/>
      <c r="U187" s="4"/>
      <c r="V187" s="4"/>
      <c r="W187" s="4"/>
      <c r="X187" s="4"/>
      <c r="Y187" s="4"/>
      <c r="Z187" s="4"/>
      <c r="AA187" s="4"/>
      <c r="AB187" s="6"/>
      <c r="AC187" s="4"/>
      <c r="AD187" s="4"/>
    </row>
    <row r="188" spans="1:30">
      <c r="A188" s="4" t="str">
        <f t="shared" si="6"/>
        <v/>
      </c>
      <c r="B188" s="4"/>
      <c r="C188" s="4"/>
      <c r="D188" s="4"/>
      <c r="E188" s="4"/>
      <c r="F188" s="4"/>
      <c r="G188" s="6"/>
      <c r="H188" s="4"/>
      <c r="I188" s="4"/>
      <c r="J188" s="4"/>
      <c r="K188" s="4" t="str">
        <f t="shared" ca="1" si="5"/>
        <v>Sin fecha</v>
      </c>
      <c r="L188" s="8"/>
      <c r="M188" s="8"/>
      <c r="N188" s="4"/>
      <c r="O188" s="4"/>
      <c r="P188" s="4"/>
      <c r="Q188" s="4"/>
      <c r="R188" s="4"/>
      <c r="S188" s="4"/>
      <c r="T188" s="4"/>
      <c r="U188" s="4"/>
      <c r="V188" s="4"/>
      <c r="W188" s="4"/>
      <c r="X188" s="4"/>
      <c r="Y188" s="4"/>
      <c r="Z188" s="4"/>
      <c r="AA188" s="4"/>
      <c r="AB188" s="6"/>
      <c r="AC188" s="4"/>
      <c r="AD188" s="4"/>
    </row>
    <row r="189" spans="1:30">
      <c r="A189" s="4" t="str">
        <f t="shared" si="6"/>
        <v/>
      </c>
      <c r="B189" s="4"/>
      <c r="C189" s="4"/>
      <c r="D189" s="4"/>
      <c r="E189" s="4"/>
      <c r="F189" s="4"/>
      <c r="G189" s="6"/>
      <c r="H189" s="4"/>
      <c r="I189" s="4"/>
      <c r="J189" s="4"/>
      <c r="K189" s="4" t="str">
        <f t="shared" ca="1" si="5"/>
        <v>Sin fecha</v>
      </c>
      <c r="L189" s="8"/>
      <c r="M189" s="8"/>
      <c r="N189" s="4"/>
      <c r="O189" s="4"/>
      <c r="P189" s="4"/>
      <c r="Q189" s="4"/>
      <c r="R189" s="4"/>
      <c r="S189" s="4"/>
      <c r="T189" s="4"/>
      <c r="U189" s="4"/>
      <c r="V189" s="4"/>
      <c r="W189" s="4"/>
      <c r="X189" s="4"/>
      <c r="Y189" s="4"/>
      <c r="Z189" s="4"/>
      <c r="AA189" s="4"/>
      <c r="AB189" s="6"/>
      <c r="AC189" s="4"/>
      <c r="AD189" s="4"/>
    </row>
    <row r="190" spans="1:30">
      <c r="A190" s="4" t="str">
        <f t="shared" si="6"/>
        <v/>
      </c>
      <c r="B190" s="4"/>
      <c r="C190" s="4"/>
      <c r="D190" s="4"/>
      <c r="E190" s="4"/>
      <c r="F190" s="4"/>
      <c r="G190" s="6"/>
      <c r="H190" s="4"/>
      <c r="I190" s="4"/>
      <c r="J190" s="4"/>
      <c r="K190" s="4" t="str">
        <f t="shared" ca="1" si="5"/>
        <v>Sin fecha</v>
      </c>
      <c r="L190" s="8"/>
      <c r="M190" s="8"/>
      <c r="N190" s="4"/>
      <c r="O190" s="4"/>
      <c r="P190" s="4"/>
      <c r="Q190" s="4"/>
      <c r="R190" s="4"/>
      <c r="S190" s="4"/>
      <c r="T190" s="4"/>
      <c r="U190" s="4"/>
      <c r="V190" s="4"/>
      <c r="W190" s="4"/>
      <c r="X190" s="4"/>
      <c r="Y190" s="4"/>
      <c r="Z190" s="4"/>
      <c r="AA190" s="4"/>
      <c r="AB190" s="6"/>
      <c r="AC190" s="4"/>
      <c r="AD190" s="4"/>
    </row>
    <row r="191" spans="1:30">
      <c r="A191" s="4" t="str">
        <f t="shared" si="6"/>
        <v/>
      </c>
      <c r="B191" s="4"/>
      <c r="C191" s="4"/>
      <c r="D191" s="4"/>
      <c r="E191" s="4"/>
      <c r="F191" s="4"/>
      <c r="G191" s="6"/>
      <c r="H191" s="4"/>
      <c r="I191" s="4"/>
      <c r="J191" s="4"/>
      <c r="K191" s="4" t="str">
        <f t="shared" ca="1" si="5"/>
        <v>Sin fecha</v>
      </c>
      <c r="L191" s="8"/>
      <c r="M191" s="8"/>
      <c r="N191" s="4"/>
      <c r="O191" s="4"/>
      <c r="P191" s="4"/>
      <c r="Q191" s="4"/>
      <c r="R191" s="4"/>
      <c r="S191" s="4"/>
      <c r="T191" s="4"/>
      <c r="U191" s="4"/>
      <c r="V191" s="4"/>
      <c r="W191" s="4"/>
      <c r="X191" s="4"/>
      <c r="Y191" s="4"/>
      <c r="Z191" s="4"/>
      <c r="AA191" s="4"/>
      <c r="AB191" s="6"/>
      <c r="AC191" s="4"/>
      <c r="AD191" s="4"/>
    </row>
    <row r="192" spans="1:30">
      <c r="A192" s="4" t="str">
        <f t="shared" si="6"/>
        <v/>
      </c>
      <c r="B192" s="4"/>
      <c r="C192" s="4"/>
      <c r="D192" s="4"/>
      <c r="E192" s="4"/>
      <c r="F192" s="4"/>
      <c r="G192" s="6"/>
      <c r="H192" s="4"/>
      <c r="I192" s="4"/>
      <c r="J192" s="4"/>
      <c r="K192" s="4" t="str">
        <f t="shared" ref="K192:K255" ca="1" si="7">IF(J192="Cerrada","Cerrada",IF(J192="Suspendida","Suspendida",IF(G192="","Sin fecha",IF(G192&lt;TODAY(),"Vencida",IF(G192-TODAY()&lt;=30,"Próxima a vencer","Abierta")))))</f>
        <v>Sin fecha</v>
      </c>
      <c r="L192" s="8"/>
      <c r="M192" s="8"/>
      <c r="N192" s="4"/>
      <c r="O192" s="4"/>
      <c r="P192" s="4"/>
      <c r="Q192" s="4"/>
      <c r="R192" s="4"/>
      <c r="S192" s="4"/>
      <c r="T192" s="4"/>
      <c r="U192" s="4"/>
      <c r="V192" s="4"/>
      <c r="W192" s="4"/>
      <c r="X192" s="4"/>
      <c r="Y192" s="4"/>
      <c r="Z192" s="4"/>
      <c r="AA192" s="4"/>
      <c r="AB192" s="6"/>
      <c r="AC192" s="4"/>
      <c r="AD192" s="4"/>
    </row>
    <row r="193" spans="1:30">
      <c r="A193" s="4" t="str">
        <f t="shared" ref="A193:A256" si="8">IF(C193="","","OP-"&amp;TEXT(ROW()-1,"0000"))</f>
        <v/>
      </c>
      <c r="B193" s="4"/>
      <c r="C193" s="4"/>
      <c r="D193" s="4"/>
      <c r="E193" s="4"/>
      <c r="F193" s="4"/>
      <c r="G193" s="6"/>
      <c r="H193" s="4"/>
      <c r="I193" s="4"/>
      <c r="J193" s="4"/>
      <c r="K193" s="4" t="str">
        <f t="shared" ca="1" si="7"/>
        <v>Sin fecha</v>
      </c>
      <c r="L193" s="8"/>
      <c r="M193" s="8"/>
      <c r="N193" s="4"/>
      <c r="O193" s="4"/>
      <c r="P193" s="4"/>
      <c r="Q193" s="4"/>
      <c r="R193" s="4"/>
      <c r="S193" s="4"/>
      <c r="T193" s="4"/>
      <c r="U193" s="4"/>
      <c r="V193" s="4"/>
      <c r="W193" s="4"/>
      <c r="X193" s="4"/>
      <c r="Y193" s="4"/>
      <c r="Z193" s="4"/>
      <c r="AA193" s="4"/>
      <c r="AB193" s="6"/>
      <c r="AC193" s="4"/>
      <c r="AD193" s="4"/>
    </row>
    <row r="194" spans="1:30">
      <c r="A194" s="4" t="str">
        <f t="shared" si="8"/>
        <v/>
      </c>
      <c r="B194" s="4"/>
      <c r="C194" s="4"/>
      <c r="D194" s="4"/>
      <c r="E194" s="4"/>
      <c r="F194" s="4"/>
      <c r="G194" s="6"/>
      <c r="H194" s="4"/>
      <c r="I194" s="4"/>
      <c r="J194" s="4"/>
      <c r="K194" s="4" t="str">
        <f t="shared" ca="1" si="7"/>
        <v>Sin fecha</v>
      </c>
      <c r="L194" s="8"/>
      <c r="M194" s="8"/>
      <c r="N194" s="4"/>
      <c r="O194" s="4"/>
      <c r="P194" s="4"/>
      <c r="Q194" s="4"/>
      <c r="R194" s="4"/>
      <c r="S194" s="4"/>
      <c r="T194" s="4"/>
      <c r="U194" s="4"/>
      <c r="V194" s="4"/>
      <c r="W194" s="4"/>
      <c r="X194" s="4"/>
      <c r="Y194" s="4"/>
      <c r="Z194" s="4"/>
      <c r="AA194" s="4"/>
      <c r="AB194" s="6"/>
      <c r="AC194" s="4"/>
      <c r="AD194" s="4"/>
    </row>
    <row r="195" spans="1:30">
      <c r="A195" s="4" t="str">
        <f t="shared" si="8"/>
        <v/>
      </c>
      <c r="B195" s="4"/>
      <c r="C195" s="4"/>
      <c r="D195" s="4"/>
      <c r="E195" s="4"/>
      <c r="F195" s="4"/>
      <c r="G195" s="6"/>
      <c r="H195" s="4"/>
      <c r="I195" s="4"/>
      <c r="J195" s="4"/>
      <c r="K195" s="4" t="str">
        <f t="shared" ca="1" si="7"/>
        <v>Sin fecha</v>
      </c>
      <c r="L195" s="8"/>
      <c r="M195" s="8"/>
      <c r="N195" s="4"/>
      <c r="O195" s="4"/>
      <c r="P195" s="4"/>
      <c r="Q195" s="4"/>
      <c r="R195" s="4"/>
      <c r="S195" s="4"/>
      <c r="T195" s="4"/>
      <c r="U195" s="4"/>
      <c r="V195" s="4"/>
      <c r="W195" s="4"/>
      <c r="X195" s="4"/>
      <c r="Y195" s="4"/>
      <c r="Z195" s="4"/>
      <c r="AA195" s="4"/>
      <c r="AB195" s="6"/>
      <c r="AC195" s="4"/>
      <c r="AD195" s="4"/>
    </row>
    <row r="196" spans="1:30">
      <c r="A196" s="4" t="str">
        <f t="shared" si="8"/>
        <v/>
      </c>
      <c r="B196" s="4"/>
      <c r="C196" s="4"/>
      <c r="D196" s="4"/>
      <c r="E196" s="4"/>
      <c r="F196" s="4"/>
      <c r="G196" s="6"/>
      <c r="H196" s="4"/>
      <c r="I196" s="4"/>
      <c r="J196" s="4"/>
      <c r="K196" s="4" t="str">
        <f t="shared" ca="1" si="7"/>
        <v>Sin fecha</v>
      </c>
      <c r="L196" s="8"/>
      <c r="M196" s="8"/>
      <c r="N196" s="4"/>
      <c r="O196" s="4"/>
      <c r="P196" s="4"/>
      <c r="Q196" s="4"/>
      <c r="R196" s="4"/>
      <c r="S196" s="4"/>
      <c r="T196" s="4"/>
      <c r="U196" s="4"/>
      <c r="V196" s="4"/>
      <c r="W196" s="4"/>
      <c r="X196" s="4"/>
      <c r="Y196" s="4"/>
      <c r="Z196" s="4"/>
      <c r="AA196" s="4"/>
      <c r="AB196" s="6"/>
      <c r="AC196" s="4"/>
      <c r="AD196" s="4"/>
    </row>
    <row r="197" spans="1:30">
      <c r="A197" s="4" t="str">
        <f t="shared" si="8"/>
        <v/>
      </c>
      <c r="B197" s="4"/>
      <c r="C197" s="4"/>
      <c r="D197" s="4"/>
      <c r="E197" s="4"/>
      <c r="F197" s="4"/>
      <c r="G197" s="6"/>
      <c r="H197" s="4"/>
      <c r="I197" s="4"/>
      <c r="J197" s="4"/>
      <c r="K197" s="4" t="str">
        <f t="shared" ca="1" si="7"/>
        <v>Sin fecha</v>
      </c>
      <c r="L197" s="8"/>
      <c r="M197" s="8"/>
      <c r="N197" s="4"/>
      <c r="O197" s="4"/>
      <c r="P197" s="4"/>
      <c r="Q197" s="4"/>
      <c r="R197" s="4"/>
      <c r="S197" s="4"/>
      <c r="T197" s="4"/>
      <c r="U197" s="4"/>
      <c r="V197" s="4"/>
      <c r="W197" s="4"/>
      <c r="X197" s="4"/>
      <c r="Y197" s="4"/>
      <c r="Z197" s="4"/>
      <c r="AA197" s="4"/>
      <c r="AB197" s="6"/>
      <c r="AC197" s="4"/>
      <c r="AD197" s="4"/>
    </row>
    <row r="198" spans="1:30">
      <c r="A198" s="4" t="str">
        <f t="shared" si="8"/>
        <v/>
      </c>
      <c r="B198" s="4"/>
      <c r="C198" s="4"/>
      <c r="D198" s="4"/>
      <c r="E198" s="4"/>
      <c r="F198" s="4"/>
      <c r="G198" s="6"/>
      <c r="H198" s="4"/>
      <c r="I198" s="4"/>
      <c r="J198" s="4"/>
      <c r="K198" s="4" t="str">
        <f t="shared" ca="1" si="7"/>
        <v>Sin fecha</v>
      </c>
      <c r="L198" s="8"/>
      <c r="M198" s="8"/>
      <c r="N198" s="4"/>
      <c r="O198" s="4"/>
      <c r="P198" s="4"/>
      <c r="Q198" s="4"/>
      <c r="R198" s="4"/>
      <c r="S198" s="4"/>
      <c r="T198" s="4"/>
      <c r="U198" s="4"/>
      <c r="V198" s="4"/>
      <c r="W198" s="4"/>
      <c r="X198" s="4"/>
      <c r="Y198" s="4"/>
      <c r="Z198" s="4"/>
      <c r="AA198" s="4"/>
      <c r="AB198" s="6"/>
      <c r="AC198" s="4"/>
      <c r="AD198" s="4"/>
    </row>
    <row r="199" spans="1:30">
      <c r="A199" s="4" t="str">
        <f t="shared" si="8"/>
        <v/>
      </c>
      <c r="B199" s="4"/>
      <c r="C199" s="4"/>
      <c r="D199" s="4"/>
      <c r="E199" s="4"/>
      <c r="F199" s="4"/>
      <c r="G199" s="6"/>
      <c r="H199" s="4"/>
      <c r="I199" s="4"/>
      <c r="J199" s="4"/>
      <c r="K199" s="4" t="str">
        <f t="shared" ca="1" si="7"/>
        <v>Sin fecha</v>
      </c>
      <c r="L199" s="8"/>
      <c r="M199" s="8"/>
      <c r="N199" s="4"/>
      <c r="O199" s="4"/>
      <c r="P199" s="4"/>
      <c r="Q199" s="4"/>
      <c r="R199" s="4"/>
      <c r="S199" s="4"/>
      <c r="T199" s="4"/>
      <c r="U199" s="4"/>
      <c r="V199" s="4"/>
      <c r="W199" s="4"/>
      <c r="X199" s="4"/>
      <c r="Y199" s="4"/>
      <c r="Z199" s="4"/>
      <c r="AA199" s="4"/>
      <c r="AB199" s="6"/>
      <c r="AC199" s="4"/>
      <c r="AD199" s="4"/>
    </row>
    <row r="200" spans="1:30">
      <c r="A200" s="4" t="str">
        <f t="shared" si="8"/>
        <v/>
      </c>
      <c r="B200" s="4"/>
      <c r="C200" s="4"/>
      <c r="D200" s="4"/>
      <c r="E200" s="4"/>
      <c r="F200" s="4"/>
      <c r="G200" s="6"/>
      <c r="H200" s="4"/>
      <c r="I200" s="4"/>
      <c r="J200" s="4"/>
      <c r="K200" s="4" t="str">
        <f t="shared" ca="1" si="7"/>
        <v>Sin fecha</v>
      </c>
      <c r="L200" s="8"/>
      <c r="M200" s="8"/>
      <c r="N200" s="4"/>
      <c r="O200" s="4"/>
      <c r="P200" s="4"/>
      <c r="Q200" s="4"/>
      <c r="R200" s="4"/>
      <c r="S200" s="4"/>
      <c r="T200" s="4"/>
      <c r="U200" s="4"/>
      <c r="V200" s="4"/>
      <c r="W200" s="4"/>
      <c r="X200" s="4"/>
      <c r="Y200" s="4"/>
      <c r="Z200" s="4"/>
      <c r="AA200" s="4"/>
      <c r="AB200" s="6"/>
      <c r="AC200" s="4"/>
      <c r="AD200" s="4"/>
    </row>
    <row r="201" spans="1:30">
      <c r="A201" s="4" t="str">
        <f t="shared" si="8"/>
        <v/>
      </c>
      <c r="B201" s="4"/>
      <c r="C201" s="4"/>
      <c r="D201" s="4"/>
      <c r="E201" s="4"/>
      <c r="F201" s="4"/>
      <c r="G201" s="6"/>
      <c r="H201" s="4"/>
      <c r="I201" s="4"/>
      <c r="J201" s="4"/>
      <c r="K201" s="4" t="str">
        <f t="shared" ca="1" si="7"/>
        <v>Sin fecha</v>
      </c>
      <c r="L201" s="8"/>
      <c r="M201" s="8"/>
      <c r="N201" s="4"/>
      <c r="O201" s="4"/>
      <c r="P201" s="4"/>
      <c r="Q201" s="4"/>
      <c r="R201" s="4"/>
      <c r="S201" s="4"/>
      <c r="T201" s="4"/>
      <c r="U201" s="4"/>
      <c r="V201" s="4"/>
      <c r="W201" s="4"/>
      <c r="X201" s="4"/>
      <c r="Y201" s="4"/>
      <c r="Z201" s="4"/>
      <c r="AA201" s="4"/>
      <c r="AB201" s="6"/>
      <c r="AC201" s="4"/>
      <c r="AD201" s="4"/>
    </row>
    <row r="202" spans="1:30">
      <c r="A202" s="4" t="str">
        <f t="shared" si="8"/>
        <v/>
      </c>
      <c r="B202" s="4"/>
      <c r="C202" s="4"/>
      <c r="D202" s="4"/>
      <c r="E202" s="4"/>
      <c r="F202" s="4"/>
      <c r="G202" s="6"/>
      <c r="H202" s="4"/>
      <c r="I202" s="4"/>
      <c r="J202" s="4"/>
      <c r="K202" s="4" t="str">
        <f t="shared" ca="1" si="7"/>
        <v>Sin fecha</v>
      </c>
      <c r="L202" s="8"/>
      <c r="M202" s="8"/>
      <c r="N202" s="4"/>
      <c r="O202" s="4"/>
      <c r="P202" s="4"/>
      <c r="Q202" s="4"/>
      <c r="R202" s="4"/>
      <c r="S202" s="4"/>
      <c r="T202" s="4"/>
      <c r="U202" s="4"/>
      <c r="V202" s="4"/>
      <c r="W202" s="4"/>
      <c r="X202" s="4"/>
      <c r="Y202" s="4"/>
      <c r="Z202" s="4"/>
      <c r="AA202" s="4"/>
      <c r="AB202" s="6"/>
      <c r="AC202" s="4"/>
      <c r="AD202" s="4"/>
    </row>
    <row r="203" spans="1:30">
      <c r="A203" s="4" t="str">
        <f t="shared" si="8"/>
        <v/>
      </c>
      <c r="B203" s="4"/>
      <c r="C203" s="4"/>
      <c r="D203" s="4"/>
      <c r="E203" s="4"/>
      <c r="F203" s="4"/>
      <c r="G203" s="6"/>
      <c r="H203" s="4"/>
      <c r="I203" s="4"/>
      <c r="J203" s="4"/>
      <c r="K203" s="4" t="str">
        <f t="shared" ca="1" si="7"/>
        <v>Sin fecha</v>
      </c>
      <c r="L203" s="8"/>
      <c r="M203" s="8"/>
      <c r="N203" s="4"/>
      <c r="O203" s="4"/>
      <c r="P203" s="4"/>
      <c r="Q203" s="4"/>
      <c r="R203" s="4"/>
      <c r="S203" s="4"/>
      <c r="T203" s="4"/>
      <c r="U203" s="4"/>
      <c r="V203" s="4"/>
      <c r="W203" s="4"/>
      <c r="X203" s="4"/>
      <c r="Y203" s="4"/>
      <c r="Z203" s="4"/>
      <c r="AA203" s="4"/>
      <c r="AB203" s="6"/>
      <c r="AC203" s="4"/>
      <c r="AD203" s="4"/>
    </row>
    <row r="204" spans="1:30">
      <c r="A204" s="4" t="str">
        <f t="shared" si="8"/>
        <v/>
      </c>
      <c r="B204" s="4"/>
      <c r="C204" s="4"/>
      <c r="D204" s="4"/>
      <c r="E204" s="4"/>
      <c r="F204" s="4"/>
      <c r="G204" s="6"/>
      <c r="H204" s="4"/>
      <c r="I204" s="4"/>
      <c r="J204" s="4"/>
      <c r="K204" s="4" t="str">
        <f t="shared" ca="1" si="7"/>
        <v>Sin fecha</v>
      </c>
      <c r="L204" s="8"/>
      <c r="M204" s="8"/>
      <c r="N204" s="4"/>
      <c r="O204" s="4"/>
      <c r="P204" s="4"/>
      <c r="Q204" s="4"/>
      <c r="R204" s="4"/>
      <c r="S204" s="4"/>
      <c r="T204" s="4"/>
      <c r="U204" s="4"/>
      <c r="V204" s="4"/>
      <c r="W204" s="4"/>
      <c r="X204" s="4"/>
      <c r="Y204" s="4"/>
      <c r="Z204" s="4"/>
      <c r="AA204" s="4"/>
      <c r="AB204" s="6"/>
      <c r="AC204" s="4"/>
      <c r="AD204" s="4"/>
    </row>
    <row r="205" spans="1:30">
      <c r="A205" s="4" t="str">
        <f t="shared" si="8"/>
        <v/>
      </c>
      <c r="B205" s="4"/>
      <c r="C205" s="4"/>
      <c r="D205" s="4"/>
      <c r="E205" s="4"/>
      <c r="F205" s="4"/>
      <c r="G205" s="6"/>
      <c r="H205" s="4"/>
      <c r="I205" s="4"/>
      <c r="J205" s="4"/>
      <c r="K205" s="4" t="str">
        <f t="shared" ca="1" si="7"/>
        <v>Sin fecha</v>
      </c>
      <c r="L205" s="8"/>
      <c r="M205" s="8"/>
      <c r="N205" s="4"/>
      <c r="O205" s="4"/>
      <c r="P205" s="4"/>
      <c r="Q205" s="4"/>
      <c r="R205" s="4"/>
      <c r="S205" s="4"/>
      <c r="T205" s="4"/>
      <c r="U205" s="4"/>
      <c r="V205" s="4"/>
      <c r="W205" s="4"/>
      <c r="X205" s="4"/>
      <c r="Y205" s="4"/>
      <c r="Z205" s="4"/>
      <c r="AA205" s="4"/>
      <c r="AB205" s="6"/>
      <c r="AC205" s="4"/>
      <c r="AD205" s="4"/>
    </row>
    <row r="206" spans="1:30">
      <c r="A206" s="4" t="str">
        <f t="shared" si="8"/>
        <v/>
      </c>
      <c r="B206" s="4"/>
      <c r="C206" s="4"/>
      <c r="D206" s="4"/>
      <c r="E206" s="4"/>
      <c r="F206" s="4"/>
      <c r="G206" s="6"/>
      <c r="H206" s="4"/>
      <c r="I206" s="4"/>
      <c r="J206" s="4"/>
      <c r="K206" s="4" t="str">
        <f t="shared" ca="1" si="7"/>
        <v>Sin fecha</v>
      </c>
      <c r="L206" s="8"/>
      <c r="M206" s="8"/>
      <c r="N206" s="4"/>
      <c r="O206" s="4"/>
      <c r="P206" s="4"/>
      <c r="Q206" s="4"/>
      <c r="R206" s="4"/>
      <c r="S206" s="4"/>
      <c r="T206" s="4"/>
      <c r="U206" s="4"/>
      <c r="V206" s="4"/>
      <c r="W206" s="4"/>
      <c r="X206" s="4"/>
      <c r="Y206" s="4"/>
      <c r="Z206" s="4"/>
      <c r="AA206" s="4"/>
      <c r="AB206" s="6"/>
      <c r="AC206" s="4"/>
      <c r="AD206" s="4"/>
    </row>
    <row r="207" spans="1:30">
      <c r="A207" s="4" t="str">
        <f t="shared" si="8"/>
        <v/>
      </c>
      <c r="B207" s="4"/>
      <c r="C207" s="4"/>
      <c r="D207" s="4"/>
      <c r="E207" s="4"/>
      <c r="F207" s="4"/>
      <c r="G207" s="6"/>
      <c r="H207" s="4"/>
      <c r="I207" s="4"/>
      <c r="J207" s="4"/>
      <c r="K207" s="4" t="str">
        <f t="shared" ca="1" si="7"/>
        <v>Sin fecha</v>
      </c>
      <c r="L207" s="8"/>
      <c r="M207" s="8"/>
      <c r="N207" s="4"/>
      <c r="O207" s="4"/>
      <c r="P207" s="4"/>
      <c r="Q207" s="4"/>
      <c r="R207" s="4"/>
      <c r="S207" s="4"/>
      <c r="T207" s="4"/>
      <c r="U207" s="4"/>
      <c r="V207" s="4"/>
      <c r="W207" s="4"/>
      <c r="X207" s="4"/>
      <c r="Y207" s="4"/>
      <c r="Z207" s="4"/>
      <c r="AA207" s="4"/>
      <c r="AB207" s="6"/>
      <c r="AC207" s="4"/>
      <c r="AD207" s="4"/>
    </row>
    <row r="208" spans="1:30">
      <c r="A208" s="4" t="str">
        <f t="shared" si="8"/>
        <v/>
      </c>
      <c r="B208" s="4"/>
      <c r="C208" s="4"/>
      <c r="D208" s="4"/>
      <c r="E208" s="4"/>
      <c r="F208" s="4"/>
      <c r="G208" s="6"/>
      <c r="H208" s="4"/>
      <c r="I208" s="4"/>
      <c r="J208" s="4"/>
      <c r="K208" s="4" t="str">
        <f t="shared" ca="1" si="7"/>
        <v>Sin fecha</v>
      </c>
      <c r="L208" s="8"/>
      <c r="M208" s="8"/>
      <c r="N208" s="4"/>
      <c r="O208" s="4"/>
      <c r="P208" s="4"/>
      <c r="Q208" s="4"/>
      <c r="R208" s="4"/>
      <c r="S208" s="4"/>
      <c r="T208" s="4"/>
      <c r="U208" s="4"/>
      <c r="V208" s="4"/>
      <c r="W208" s="4"/>
      <c r="X208" s="4"/>
      <c r="Y208" s="4"/>
      <c r="Z208" s="4"/>
      <c r="AA208" s="4"/>
      <c r="AB208" s="6"/>
      <c r="AC208" s="4"/>
      <c r="AD208" s="4"/>
    </row>
    <row r="209" spans="1:30">
      <c r="A209" s="4" t="str">
        <f t="shared" si="8"/>
        <v/>
      </c>
      <c r="B209" s="4"/>
      <c r="C209" s="4"/>
      <c r="D209" s="4"/>
      <c r="E209" s="4"/>
      <c r="F209" s="4"/>
      <c r="G209" s="6"/>
      <c r="H209" s="4"/>
      <c r="I209" s="4"/>
      <c r="J209" s="4"/>
      <c r="K209" s="4" t="str">
        <f t="shared" ca="1" si="7"/>
        <v>Sin fecha</v>
      </c>
      <c r="L209" s="8"/>
      <c r="M209" s="8"/>
      <c r="N209" s="4"/>
      <c r="O209" s="4"/>
      <c r="P209" s="4"/>
      <c r="Q209" s="4"/>
      <c r="R209" s="4"/>
      <c r="S209" s="4"/>
      <c r="T209" s="4"/>
      <c r="U209" s="4"/>
      <c r="V209" s="4"/>
      <c r="W209" s="4"/>
      <c r="X209" s="4"/>
      <c r="Y209" s="4"/>
      <c r="Z209" s="4"/>
      <c r="AA209" s="4"/>
      <c r="AB209" s="6"/>
      <c r="AC209" s="4"/>
      <c r="AD209" s="4"/>
    </row>
    <row r="210" spans="1:30">
      <c r="A210" s="4" t="str">
        <f t="shared" si="8"/>
        <v/>
      </c>
      <c r="B210" s="4"/>
      <c r="C210" s="4"/>
      <c r="D210" s="4"/>
      <c r="E210" s="4"/>
      <c r="F210" s="4"/>
      <c r="G210" s="6"/>
      <c r="H210" s="4"/>
      <c r="I210" s="4"/>
      <c r="J210" s="4"/>
      <c r="K210" s="4" t="str">
        <f t="shared" ca="1" si="7"/>
        <v>Sin fecha</v>
      </c>
      <c r="L210" s="8"/>
      <c r="M210" s="8"/>
      <c r="N210" s="4"/>
      <c r="O210" s="4"/>
      <c r="P210" s="4"/>
      <c r="Q210" s="4"/>
      <c r="R210" s="4"/>
      <c r="S210" s="4"/>
      <c r="T210" s="4"/>
      <c r="U210" s="4"/>
      <c r="V210" s="4"/>
      <c r="W210" s="4"/>
      <c r="X210" s="4"/>
      <c r="Y210" s="4"/>
      <c r="Z210" s="4"/>
      <c r="AA210" s="4"/>
      <c r="AB210" s="6"/>
      <c r="AC210" s="4"/>
      <c r="AD210" s="4"/>
    </row>
    <row r="211" spans="1:30">
      <c r="A211" s="4" t="str">
        <f t="shared" si="8"/>
        <v/>
      </c>
      <c r="B211" s="4"/>
      <c r="C211" s="4"/>
      <c r="D211" s="4"/>
      <c r="E211" s="4"/>
      <c r="F211" s="4"/>
      <c r="G211" s="6"/>
      <c r="H211" s="4"/>
      <c r="I211" s="4"/>
      <c r="J211" s="4"/>
      <c r="K211" s="4" t="str">
        <f t="shared" ca="1" si="7"/>
        <v>Sin fecha</v>
      </c>
      <c r="L211" s="8"/>
      <c r="M211" s="8"/>
      <c r="N211" s="4"/>
      <c r="O211" s="4"/>
      <c r="P211" s="4"/>
      <c r="Q211" s="4"/>
      <c r="R211" s="4"/>
      <c r="S211" s="4"/>
      <c r="T211" s="4"/>
      <c r="U211" s="4"/>
      <c r="V211" s="4"/>
      <c r="W211" s="4"/>
      <c r="X211" s="4"/>
      <c r="Y211" s="4"/>
      <c r="Z211" s="4"/>
      <c r="AA211" s="4"/>
      <c r="AB211" s="6"/>
      <c r="AC211" s="4"/>
      <c r="AD211" s="4"/>
    </row>
    <row r="212" spans="1:30">
      <c r="A212" s="4" t="str">
        <f t="shared" si="8"/>
        <v/>
      </c>
      <c r="B212" s="4"/>
      <c r="C212" s="4"/>
      <c r="D212" s="4"/>
      <c r="E212" s="4"/>
      <c r="F212" s="4"/>
      <c r="G212" s="6"/>
      <c r="H212" s="4"/>
      <c r="I212" s="4"/>
      <c r="J212" s="4"/>
      <c r="K212" s="4" t="str">
        <f t="shared" ca="1" si="7"/>
        <v>Sin fecha</v>
      </c>
      <c r="L212" s="8"/>
      <c r="M212" s="8"/>
      <c r="N212" s="4"/>
      <c r="O212" s="4"/>
      <c r="P212" s="4"/>
      <c r="Q212" s="4"/>
      <c r="R212" s="4"/>
      <c r="S212" s="4"/>
      <c r="T212" s="4"/>
      <c r="U212" s="4"/>
      <c r="V212" s="4"/>
      <c r="W212" s="4"/>
      <c r="X212" s="4"/>
      <c r="Y212" s="4"/>
      <c r="Z212" s="4"/>
      <c r="AA212" s="4"/>
      <c r="AB212" s="6"/>
      <c r="AC212" s="4"/>
      <c r="AD212" s="4"/>
    </row>
    <row r="213" spans="1:30">
      <c r="A213" s="4" t="str">
        <f t="shared" si="8"/>
        <v/>
      </c>
      <c r="B213" s="4"/>
      <c r="C213" s="4"/>
      <c r="D213" s="4"/>
      <c r="E213" s="4"/>
      <c r="F213" s="4"/>
      <c r="G213" s="6"/>
      <c r="H213" s="4"/>
      <c r="I213" s="4"/>
      <c r="J213" s="4"/>
      <c r="K213" s="4" t="str">
        <f t="shared" ca="1" si="7"/>
        <v>Sin fecha</v>
      </c>
      <c r="L213" s="8"/>
      <c r="M213" s="8"/>
      <c r="N213" s="4"/>
      <c r="O213" s="4"/>
      <c r="P213" s="4"/>
      <c r="Q213" s="4"/>
      <c r="R213" s="4"/>
      <c r="S213" s="4"/>
      <c r="T213" s="4"/>
      <c r="U213" s="4"/>
      <c r="V213" s="4"/>
      <c r="W213" s="4"/>
      <c r="X213" s="4"/>
      <c r="Y213" s="4"/>
      <c r="Z213" s="4"/>
      <c r="AA213" s="4"/>
      <c r="AB213" s="6"/>
      <c r="AC213" s="4"/>
      <c r="AD213" s="4"/>
    </row>
    <row r="214" spans="1:30">
      <c r="A214" s="4" t="str">
        <f t="shared" si="8"/>
        <v/>
      </c>
      <c r="B214" s="4"/>
      <c r="C214" s="4"/>
      <c r="D214" s="4"/>
      <c r="E214" s="4"/>
      <c r="F214" s="4"/>
      <c r="G214" s="6"/>
      <c r="H214" s="4"/>
      <c r="I214" s="4"/>
      <c r="J214" s="4"/>
      <c r="K214" s="4" t="str">
        <f t="shared" ca="1" si="7"/>
        <v>Sin fecha</v>
      </c>
      <c r="L214" s="8"/>
      <c r="M214" s="8"/>
      <c r="N214" s="4"/>
      <c r="O214" s="4"/>
      <c r="P214" s="4"/>
      <c r="Q214" s="4"/>
      <c r="R214" s="4"/>
      <c r="S214" s="4"/>
      <c r="T214" s="4"/>
      <c r="U214" s="4"/>
      <c r="V214" s="4"/>
      <c r="W214" s="4"/>
      <c r="X214" s="4"/>
      <c r="Y214" s="4"/>
      <c r="Z214" s="4"/>
      <c r="AA214" s="4"/>
      <c r="AB214" s="6"/>
      <c r="AC214" s="4"/>
      <c r="AD214" s="4"/>
    </row>
    <row r="215" spans="1:30">
      <c r="A215" s="4" t="str">
        <f t="shared" si="8"/>
        <v/>
      </c>
      <c r="B215" s="4"/>
      <c r="C215" s="4"/>
      <c r="D215" s="4"/>
      <c r="E215" s="4"/>
      <c r="F215" s="4"/>
      <c r="G215" s="6"/>
      <c r="H215" s="4"/>
      <c r="I215" s="4"/>
      <c r="J215" s="4"/>
      <c r="K215" s="4" t="str">
        <f t="shared" ca="1" si="7"/>
        <v>Sin fecha</v>
      </c>
      <c r="L215" s="8"/>
      <c r="M215" s="8"/>
      <c r="N215" s="4"/>
      <c r="O215" s="4"/>
      <c r="P215" s="4"/>
      <c r="Q215" s="4"/>
      <c r="R215" s="4"/>
      <c r="S215" s="4"/>
      <c r="T215" s="4"/>
      <c r="U215" s="4"/>
      <c r="V215" s="4"/>
      <c r="W215" s="4"/>
      <c r="X215" s="4"/>
      <c r="Y215" s="4"/>
      <c r="Z215" s="4"/>
      <c r="AA215" s="4"/>
      <c r="AB215" s="6"/>
      <c r="AC215" s="4"/>
      <c r="AD215" s="4"/>
    </row>
    <row r="216" spans="1:30">
      <c r="A216" s="4" t="str">
        <f t="shared" si="8"/>
        <v/>
      </c>
      <c r="B216" s="4"/>
      <c r="C216" s="4"/>
      <c r="D216" s="4"/>
      <c r="E216" s="4"/>
      <c r="F216" s="4"/>
      <c r="G216" s="6"/>
      <c r="H216" s="4"/>
      <c r="I216" s="4"/>
      <c r="J216" s="4"/>
      <c r="K216" s="4" t="str">
        <f t="shared" ca="1" si="7"/>
        <v>Sin fecha</v>
      </c>
      <c r="L216" s="8"/>
      <c r="M216" s="8"/>
      <c r="N216" s="4"/>
      <c r="O216" s="4"/>
      <c r="P216" s="4"/>
      <c r="Q216" s="4"/>
      <c r="R216" s="4"/>
      <c r="S216" s="4"/>
      <c r="T216" s="4"/>
      <c r="U216" s="4"/>
      <c r="V216" s="4"/>
      <c r="W216" s="4"/>
      <c r="X216" s="4"/>
      <c r="Y216" s="4"/>
      <c r="Z216" s="4"/>
      <c r="AA216" s="4"/>
      <c r="AB216" s="6"/>
      <c r="AC216" s="4"/>
      <c r="AD216" s="4"/>
    </row>
    <row r="217" spans="1:30">
      <c r="A217" s="4" t="str">
        <f t="shared" si="8"/>
        <v/>
      </c>
      <c r="B217" s="4"/>
      <c r="C217" s="4"/>
      <c r="D217" s="4"/>
      <c r="E217" s="4"/>
      <c r="F217" s="4"/>
      <c r="G217" s="6"/>
      <c r="H217" s="4"/>
      <c r="I217" s="4"/>
      <c r="J217" s="4"/>
      <c r="K217" s="4" t="str">
        <f t="shared" ca="1" si="7"/>
        <v>Sin fecha</v>
      </c>
      <c r="L217" s="8"/>
      <c r="M217" s="8"/>
      <c r="N217" s="4"/>
      <c r="O217" s="4"/>
      <c r="P217" s="4"/>
      <c r="Q217" s="4"/>
      <c r="R217" s="4"/>
      <c r="S217" s="4"/>
      <c r="T217" s="4"/>
      <c r="U217" s="4"/>
      <c r="V217" s="4"/>
      <c r="W217" s="4"/>
      <c r="X217" s="4"/>
      <c r="Y217" s="4"/>
      <c r="Z217" s="4"/>
      <c r="AA217" s="4"/>
      <c r="AB217" s="6"/>
      <c r="AC217" s="4"/>
      <c r="AD217" s="4"/>
    </row>
    <row r="218" spans="1:30">
      <c r="A218" s="4" t="str">
        <f t="shared" si="8"/>
        <v/>
      </c>
      <c r="B218" s="4"/>
      <c r="C218" s="4"/>
      <c r="D218" s="4"/>
      <c r="E218" s="4"/>
      <c r="F218" s="4"/>
      <c r="G218" s="6"/>
      <c r="H218" s="4"/>
      <c r="I218" s="4"/>
      <c r="J218" s="4"/>
      <c r="K218" s="4" t="str">
        <f t="shared" ca="1" si="7"/>
        <v>Sin fecha</v>
      </c>
      <c r="L218" s="8"/>
      <c r="M218" s="8"/>
      <c r="N218" s="4"/>
      <c r="O218" s="4"/>
      <c r="P218" s="4"/>
      <c r="Q218" s="4"/>
      <c r="R218" s="4"/>
      <c r="S218" s="4"/>
      <c r="T218" s="4"/>
      <c r="U218" s="4"/>
      <c r="V218" s="4"/>
      <c r="W218" s="4"/>
      <c r="X218" s="4"/>
      <c r="Y218" s="4"/>
      <c r="Z218" s="4"/>
      <c r="AA218" s="4"/>
      <c r="AB218" s="6"/>
      <c r="AC218" s="4"/>
      <c r="AD218" s="4"/>
    </row>
    <row r="219" spans="1:30">
      <c r="A219" s="4" t="str">
        <f t="shared" si="8"/>
        <v/>
      </c>
      <c r="B219" s="4"/>
      <c r="C219" s="4"/>
      <c r="D219" s="4"/>
      <c r="E219" s="4"/>
      <c r="F219" s="4"/>
      <c r="G219" s="6"/>
      <c r="H219" s="4"/>
      <c r="I219" s="4"/>
      <c r="J219" s="4"/>
      <c r="K219" s="4" t="str">
        <f t="shared" ca="1" si="7"/>
        <v>Sin fecha</v>
      </c>
      <c r="L219" s="8"/>
      <c r="M219" s="8"/>
      <c r="N219" s="4"/>
      <c r="O219" s="4"/>
      <c r="P219" s="4"/>
      <c r="Q219" s="4"/>
      <c r="R219" s="4"/>
      <c r="S219" s="4"/>
      <c r="T219" s="4"/>
      <c r="U219" s="4"/>
      <c r="V219" s="4"/>
      <c r="W219" s="4"/>
      <c r="X219" s="4"/>
      <c r="Y219" s="4"/>
      <c r="Z219" s="4"/>
      <c r="AA219" s="4"/>
      <c r="AB219" s="6"/>
      <c r="AC219" s="4"/>
      <c r="AD219" s="4"/>
    </row>
    <row r="220" spans="1:30">
      <c r="A220" s="4" t="str">
        <f t="shared" si="8"/>
        <v/>
      </c>
      <c r="B220" s="4"/>
      <c r="C220" s="4"/>
      <c r="D220" s="4"/>
      <c r="E220" s="4"/>
      <c r="F220" s="4"/>
      <c r="G220" s="6"/>
      <c r="H220" s="4"/>
      <c r="I220" s="4"/>
      <c r="J220" s="4"/>
      <c r="K220" s="4" t="str">
        <f t="shared" ca="1" si="7"/>
        <v>Sin fecha</v>
      </c>
      <c r="L220" s="8"/>
      <c r="M220" s="8"/>
      <c r="N220" s="4"/>
      <c r="O220" s="4"/>
      <c r="P220" s="4"/>
      <c r="Q220" s="4"/>
      <c r="R220" s="4"/>
      <c r="S220" s="4"/>
      <c r="T220" s="4"/>
      <c r="U220" s="4"/>
      <c r="V220" s="4"/>
      <c r="W220" s="4"/>
      <c r="X220" s="4"/>
      <c r="Y220" s="4"/>
      <c r="Z220" s="4"/>
      <c r="AA220" s="4"/>
      <c r="AB220" s="6"/>
      <c r="AC220" s="4"/>
      <c r="AD220" s="4"/>
    </row>
    <row r="221" spans="1:30">
      <c r="A221" s="4" t="str">
        <f t="shared" si="8"/>
        <v/>
      </c>
      <c r="B221" s="4"/>
      <c r="C221" s="4"/>
      <c r="D221" s="4"/>
      <c r="E221" s="4"/>
      <c r="F221" s="4"/>
      <c r="G221" s="6"/>
      <c r="H221" s="4"/>
      <c r="I221" s="4"/>
      <c r="J221" s="4"/>
      <c r="K221" s="4" t="str">
        <f t="shared" ca="1" si="7"/>
        <v>Sin fecha</v>
      </c>
      <c r="L221" s="8"/>
      <c r="M221" s="8"/>
      <c r="N221" s="4"/>
      <c r="O221" s="4"/>
      <c r="P221" s="4"/>
      <c r="Q221" s="4"/>
      <c r="R221" s="4"/>
      <c r="S221" s="4"/>
      <c r="T221" s="4"/>
      <c r="U221" s="4"/>
      <c r="V221" s="4"/>
      <c r="W221" s="4"/>
      <c r="X221" s="4"/>
      <c r="Y221" s="4"/>
      <c r="Z221" s="4"/>
      <c r="AA221" s="4"/>
      <c r="AB221" s="6"/>
      <c r="AC221" s="4"/>
      <c r="AD221" s="4"/>
    </row>
    <row r="222" spans="1:30">
      <c r="A222" s="4" t="str">
        <f t="shared" si="8"/>
        <v/>
      </c>
      <c r="B222" s="4"/>
      <c r="C222" s="4"/>
      <c r="D222" s="4"/>
      <c r="E222" s="4"/>
      <c r="F222" s="4"/>
      <c r="G222" s="6"/>
      <c r="H222" s="4"/>
      <c r="I222" s="4"/>
      <c r="J222" s="4"/>
      <c r="K222" s="4" t="str">
        <f t="shared" ca="1" si="7"/>
        <v>Sin fecha</v>
      </c>
      <c r="L222" s="8"/>
      <c r="M222" s="8"/>
      <c r="N222" s="4"/>
      <c r="O222" s="4"/>
      <c r="P222" s="4"/>
      <c r="Q222" s="4"/>
      <c r="R222" s="4"/>
      <c r="S222" s="4"/>
      <c r="T222" s="4"/>
      <c r="U222" s="4"/>
      <c r="V222" s="4"/>
      <c r="W222" s="4"/>
      <c r="X222" s="4"/>
      <c r="Y222" s="4"/>
      <c r="Z222" s="4"/>
      <c r="AA222" s="4"/>
      <c r="AB222" s="6"/>
      <c r="AC222" s="4"/>
      <c r="AD222" s="4"/>
    </row>
    <row r="223" spans="1:30">
      <c r="A223" s="4" t="str">
        <f t="shared" si="8"/>
        <v/>
      </c>
      <c r="B223" s="4"/>
      <c r="C223" s="4"/>
      <c r="D223" s="4"/>
      <c r="E223" s="4"/>
      <c r="F223" s="4"/>
      <c r="G223" s="6"/>
      <c r="H223" s="4"/>
      <c r="I223" s="4"/>
      <c r="J223" s="4"/>
      <c r="K223" s="4" t="str">
        <f t="shared" ca="1" si="7"/>
        <v>Sin fecha</v>
      </c>
      <c r="L223" s="8"/>
      <c r="M223" s="8"/>
      <c r="N223" s="4"/>
      <c r="O223" s="4"/>
      <c r="P223" s="4"/>
      <c r="Q223" s="4"/>
      <c r="R223" s="4"/>
      <c r="S223" s="4"/>
      <c r="T223" s="4"/>
      <c r="U223" s="4"/>
      <c r="V223" s="4"/>
      <c r="W223" s="4"/>
      <c r="X223" s="4"/>
      <c r="Y223" s="4"/>
      <c r="Z223" s="4"/>
      <c r="AA223" s="4"/>
      <c r="AB223" s="6"/>
      <c r="AC223" s="4"/>
      <c r="AD223" s="4"/>
    </row>
    <row r="224" spans="1:30">
      <c r="A224" s="4" t="str">
        <f t="shared" si="8"/>
        <v/>
      </c>
      <c r="B224" s="4"/>
      <c r="C224" s="4"/>
      <c r="D224" s="4"/>
      <c r="E224" s="4"/>
      <c r="F224" s="4"/>
      <c r="G224" s="6"/>
      <c r="H224" s="4"/>
      <c r="I224" s="4"/>
      <c r="J224" s="4"/>
      <c r="K224" s="4" t="str">
        <f t="shared" ca="1" si="7"/>
        <v>Sin fecha</v>
      </c>
      <c r="L224" s="8"/>
      <c r="M224" s="8"/>
      <c r="N224" s="4"/>
      <c r="O224" s="4"/>
      <c r="P224" s="4"/>
      <c r="Q224" s="4"/>
      <c r="R224" s="4"/>
      <c r="S224" s="4"/>
      <c r="T224" s="4"/>
      <c r="U224" s="4"/>
      <c r="V224" s="4"/>
      <c r="W224" s="4"/>
      <c r="X224" s="4"/>
      <c r="Y224" s="4"/>
      <c r="Z224" s="4"/>
      <c r="AA224" s="4"/>
      <c r="AB224" s="6"/>
      <c r="AC224" s="4"/>
      <c r="AD224" s="4"/>
    </row>
    <row r="225" spans="1:30">
      <c r="A225" s="4" t="str">
        <f t="shared" si="8"/>
        <v/>
      </c>
      <c r="B225" s="4"/>
      <c r="C225" s="4"/>
      <c r="D225" s="4"/>
      <c r="E225" s="4"/>
      <c r="F225" s="4"/>
      <c r="G225" s="6"/>
      <c r="H225" s="4"/>
      <c r="I225" s="4"/>
      <c r="J225" s="4"/>
      <c r="K225" s="4" t="str">
        <f t="shared" ca="1" si="7"/>
        <v>Sin fecha</v>
      </c>
      <c r="L225" s="8"/>
      <c r="M225" s="8"/>
      <c r="N225" s="4"/>
      <c r="O225" s="4"/>
      <c r="P225" s="4"/>
      <c r="Q225" s="4"/>
      <c r="R225" s="4"/>
      <c r="S225" s="4"/>
      <c r="T225" s="4"/>
      <c r="U225" s="4"/>
      <c r="V225" s="4"/>
      <c r="W225" s="4"/>
      <c r="X225" s="4"/>
      <c r="Y225" s="4"/>
      <c r="Z225" s="4"/>
      <c r="AA225" s="4"/>
      <c r="AB225" s="6"/>
      <c r="AC225" s="4"/>
      <c r="AD225" s="4"/>
    </row>
    <row r="226" spans="1:30">
      <c r="A226" s="4" t="str">
        <f t="shared" si="8"/>
        <v/>
      </c>
      <c r="B226" s="4"/>
      <c r="C226" s="4"/>
      <c r="D226" s="4"/>
      <c r="E226" s="4"/>
      <c r="F226" s="4"/>
      <c r="G226" s="6"/>
      <c r="H226" s="4"/>
      <c r="I226" s="4"/>
      <c r="J226" s="4"/>
      <c r="K226" s="4" t="str">
        <f t="shared" ca="1" si="7"/>
        <v>Sin fecha</v>
      </c>
      <c r="L226" s="8"/>
      <c r="M226" s="8"/>
      <c r="N226" s="4"/>
      <c r="O226" s="4"/>
      <c r="P226" s="4"/>
      <c r="Q226" s="4"/>
      <c r="R226" s="4"/>
      <c r="S226" s="4"/>
      <c r="T226" s="4"/>
      <c r="U226" s="4"/>
      <c r="V226" s="4"/>
      <c r="W226" s="4"/>
      <c r="X226" s="4"/>
      <c r="Y226" s="4"/>
      <c r="Z226" s="4"/>
      <c r="AA226" s="4"/>
      <c r="AB226" s="6"/>
      <c r="AC226" s="4"/>
      <c r="AD226" s="4"/>
    </row>
    <row r="227" spans="1:30">
      <c r="A227" s="4" t="str">
        <f t="shared" si="8"/>
        <v/>
      </c>
      <c r="B227" s="4"/>
      <c r="C227" s="4"/>
      <c r="D227" s="4"/>
      <c r="E227" s="4"/>
      <c r="F227" s="4"/>
      <c r="G227" s="6"/>
      <c r="H227" s="4"/>
      <c r="I227" s="4"/>
      <c r="J227" s="4"/>
      <c r="K227" s="4" t="str">
        <f t="shared" ca="1" si="7"/>
        <v>Sin fecha</v>
      </c>
      <c r="L227" s="8"/>
      <c r="M227" s="8"/>
      <c r="N227" s="4"/>
      <c r="O227" s="4"/>
      <c r="P227" s="4"/>
      <c r="Q227" s="4"/>
      <c r="R227" s="4"/>
      <c r="S227" s="4"/>
      <c r="T227" s="4"/>
      <c r="U227" s="4"/>
      <c r="V227" s="4"/>
      <c r="W227" s="4"/>
      <c r="X227" s="4"/>
      <c r="Y227" s="4"/>
      <c r="Z227" s="4"/>
      <c r="AA227" s="4"/>
      <c r="AB227" s="6"/>
      <c r="AC227" s="4"/>
      <c r="AD227" s="4"/>
    </row>
    <row r="228" spans="1:30">
      <c r="A228" s="4" t="str">
        <f t="shared" si="8"/>
        <v/>
      </c>
      <c r="B228" s="4"/>
      <c r="C228" s="4"/>
      <c r="D228" s="4"/>
      <c r="E228" s="4"/>
      <c r="F228" s="4"/>
      <c r="G228" s="6"/>
      <c r="H228" s="4"/>
      <c r="I228" s="4"/>
      <c r="J228" s="4"/>
      <c r="K228" s="4" t="str">
        <f t="shared" ca="1" si="7"/>
        <v>Sin fecha</v>
      </c>
      <c r="L228" s="8"/>
      <c r="M228" s="8"/>
      <c r="N228" s="4"/>
      <c r="O228" s="4"/>
      <c r="P228" s="4"/>
      <c r="Q228" s="4"/>
      <c r="R228" s="4"/>
      <c r="S228" s="4"/>
      <c r="T228" s="4"/>
      <c r="U228" s="4"/>
      <c r="V228" s="4"/>
      <c r="W228" s="4"/>
      <c r="X228" s="4"/>
      <c r="Y228" s="4"/>
      <c r="Z228" s="4"/>
      <c r="AA228" s="4"/>
      <c r="AB228" s="6"/>
      <c r="AC228" s="4"/>
      <c r="AD228" s="4"/>
    </row>
    <row r="229" spans="1:30">
      <c r="A229" s="4" t="str">
        <f t="shared" si="8"/>
        <v/>
      </c>
      <c r="B229" s="4"/>
      <c r="C229" s="4"/>
      <c r="D229" s="4"/>
      <c r="E229" s="4"/>
      <c r="F229" s="4"/>
      <c r="G229" s="6"/>
      <c r="H229" s="4"/>
      <c r="I229" s="4"/>
      <c r="J229" s="4"/>
      <c r="K229" s="4" t="str">
        <f t="shared" ca="1" si="7"/>
        <v>Sin fecha</v>
      </c>
      <c r="L229" s="8"/>
      <c r="M229" s="8"/>
      <c r="N229" s="4"/>
      <c r="O229" s="4"/>
      <c r="P229" s="4"/>
      <c r="Q229" s="4"/>
      <c r="R229" s="4"/>
      <c r="S229" s="4"/>
      <c r="T229" s="4"/>
      <c r="U229" s="4"/>
      <c r="V229" s="4"/>
      <c r="W229" s="4"/>
      <c r="X229" s="4"/>
      <c r="Y229" s="4"/>
      <c r="Z229" s="4"/>
      <c r="AA229" s="4"/>
      <c r="AB229" s="6"/>
      <c r="AC229" s="4"/>
      <c r="AD229" s="4"/>
    </row>
    <row r="230" spans="1:30">
      <c r="A230" s="4" t="str">
        <f t="shared" si="8"/>
        <v/>
      </c>
      <c r="B230" s="4"/>
      <c r="C230" s="4"/>
      <c r="D230" s="4"/>
      <c r="E230" s="4"/>
      <c r="F230" s="4"/>
      <c r="G230" s="6"/>
      <c r="H230" s="4"/>
      <c r="I230" s="4"/>
      <c r="J230" s="4"/>
      <c r="K230" s="4" t="str">
        <f t="shared" ca="1" si="7"/>
        <v>Sin fecha</v>
      </c>
      <c r="L230" s="8"/>
      <c r="M230" s="8"/>
      <c r="N230" s="4"/>
      <c r="O230" s="4"/>
      <c r="P230" s="4"/>
      <c r="Q230" s="4"/>
      <c r="R230" s="4"/>
      <c r="S230" s="4"/>
      <c r="T230" s="4"/>
      <c r="U230" s="4"/>
      <c r="V230" s="4"/>
      <c r="W230" s="4"/>
      <c r="X230" s="4"/>
      <c r="Y230" s="4"/>
      <c r="Z230" s="4"/>
      <c r="AA230" s="4"/>
      <c r="AB230" s="6"/>
      <c r="AC230" s="4"/>
      <c r="AD230" s="4"/>
    </row>
    <row r="231" spans="1:30">
      <c r="A231" s="4" t="str">
        <f t="shared" si="8"/>
        <v/>
      </c>
      <c r="B231" s="4"/>
      <c r="C231" s="4"/>
      <c r="D231" s="4"/>
      <c r="E231" s="4"/>
      <c r="F231" s="4"/>
      <c r="G231" s="6"/>
      <c r="H231" s="4"/>
      <c r="I231" s="4"/>
      <c r="J231" s="4"/>
      <c r="K231" s="4" t="str">
        <f t="shared" ca="1" si="7"/>
        <v>Sin fecha</v>
      </c>
      <c r="L231" s="8"/>
      <c r="M231" s="8"/>
      <c r="N231" s="4"/>
      <c r="O231" s="4"/>
      <c r="P231" s="4"/>
      <c r="Q231" s="4"/>
      <c r="R231" s="4"/>
      <c r="S231" s="4"/>
      <c r="T231" s="4"/>
      <c r="U231" s="4"/>
      <c r="V231" s="4"/>
      <c r="W231" s="4"/>
      <c r="X231" s="4"/>
      <c r="Y231" s="4"/>
      <c r="Z231" s="4"/>
      <c r="AA231" s="4"/>
      <c r="AB231" s="6"/>
      <c r="AC231" s="4"/>
      <c r="AD231" s="4"/>
    </row>
    <row r="232" spans="1:30">
      <c r="A232" s="4" t="str">
        <f t="shared" si="8"/>
        <v/>
      </c>
      <c r="B232" s="4"/>
      <c r="C232" s="4"/>
      <c r="D232" s="4"/>
      <c r="E232" s="4"/>
      <c r="F232" s="4"/>
      <c r="G232" s="6"/>
      <c r="H232" s="4"/>
      <c r="I232" s="4"/>
      <c r="J232" s="4"/>
      <c r="K232" s="4" t="str">
        <f t="shared" ca="1" si="7"/>
        <v>Sin fecha</v>
      </c>
      <c r="L232" s="8"/>
      <c r="M232" s="8"/>
      <c r="N232" s="4"/>
      <c r="O232" s="4"/>
      <c r="P232" s="4"/>
      <c r="Q232" s="4"/>
      <c r="R232" s="4"/>
      <c r="S232" s="4"/>
      <c r="T232" s="4"/>
      <c r="U232" s="4"/>
      <c r="V232" s="4"/>
      <c r="W232" s="4"/>
      <c r="X232" s="4"/>
      <c r="Y232" s="4"/>
      <c r="Z232" s="4"/>
      <c r="AA232" s="4"/>
      <c r="AB232" s="6"/>
      <c r="AC232" s="4"/>
      <c r="AD232" s="4"/>
    </row>
    <row r="233" spans="1:30">
      <c r="A233" s="4" t="str">
        <f t="shared" si="8"/>
        <v/>
      </c>
      <c r="B233" s="4"/>
      <c r="C233" s="4"/>
      <c r="D233" s="4"/>
      <c r="E233" s="4"/>
      <c r="F233" s="4"/>
      <c r="G233" s="6"/>
      <c r="H233" s="4"/>
      <c r="I233" s="4"/>
      <c r="J233" s="4"/>
      <c r="K233" s="4" t="str">
        <f t="shared" ca="1" si="7"/>
        <v>Sin fecha</v>
      </c>
      <c r="L233" s="8"/>
      <c r="M233" s="8"/>
      <c r="N233" s="4"/>
      <c r="O233" s="4"/>
      <c r="P233" s="4"/>
      <c r="Q233" s="4"/>
      <c r="R233" s="4"/>
      <c r="S233" s="4"/>
      <c r="T233" s="4"/>
      <c r="U233" s="4"/>
      <c r="V233" s="4"/>
      <c r="W233" s="4"/>
      <c r="X233" s="4"/>
      <c r="Y233" s="4"/>
      <c r="Z233" s="4"/>
      <c r="AA233" s="4"/>
      <c r="AB233" s="6"/>
      <c r="AC233" s="4"/>
      <c r="AD233" s="4"/>
    </row>
    <row r="234" spans="1:30">
      <c r="A234" s="4" t="str">
        <f t="shared" si="8"/>
        <v/>
      </c>
      <c r="B234" s="4"/>
      <c r="C234" s="4"/>
      <c r="D234" s="4"/>
      <c r="E234" s="4"/>
      <c r="F234" s="4"/>
      <c r="G234" s="6"/>
      <c r="H234" s="4"/>
      <c r="I234" s="4"/>
      <c r="J234" s="4"/>
      <c r="K234" s="4" t="str">
        <f t="shared" ca="1" si="7"/>
        <v>Sin fecha</v>
      </c>
      <c r="L234" s="8"/>
      <c r="M234" s="8"/>
      <c r="N234" s="4"/>
      <c r="O234" s="4"/>
      <c r="P234" s="4"/>
      <c r="Q234" s="4"/>
      <c r="R234" s="4"/>
      <c r="S234" s="4"/>
      <c r="T234" s="4"/>
      <c r="U234" s="4"/>
      <c r="V234" s="4"/>
      <c r="W234" s="4"/>
      <c r="X234" s="4"/>
      <c r="Y234" s="4"/>
      <c r="Z234" s="4"/>
      <c r="AA234" s="4"/>
      <c r="AB234" s="6"/>
      <c r="AC234" s="4"/>
      <c r="AD234" s="4"/>
    </row>
    <row r="235" spans="1:30">
      <c r="A235" s="4" t="str">
        <f t="shared" si="8"/>
        <v/>
      </c>
      <c r="B235" s="4"/>
      <c r="C235" s="4"/>
      <c r="D235" s="4"/>
      <c r="E235" s="4"/>
      <c r="F235" s="4"/>
      <c r="G235" s="6"/>
      <c r="H235" s="4"/>
      <c r="I235" s="4"/>
      <c r="J235" s="4"/>
      <c r="K235" s="4" t="str">
        <f t="shared" ca="1" si="7"/>
        <v>Sin fecha</v>
      </c>
      <c r="L235" s="8"/>
      <c r="M235" s="8"/>
      <c r="N235" s="4"/>
      <c r="O235" s="4"/>
      <c r="P235" s="4"/>
      <c r="Q235" s="4"/>
      <c r="R235" s="4"/>
      <c r="S235" s="4"/>
      <c r="T235" s="4"/>
      <c r="U235" s="4"/>
      <c r="V235" s="4"/>
      <c r="W235" s="4"/>
      <c r="X235" s="4"/>
      <c r="Y235" s="4"/>
      <c r="Z235" s="4"/>
      <c r="AA235" s="4"/>
      <c r="AB235" s="6"/>
      <c r="AC235" s="4"/>
      <c r="AD235" s="4"/>
    </row>
    <row r="236" spans="1:30">
      <c r="A236" s="4" t="str">
        <f t="shared" si="8"/>
        <v/>
      </c>
      <c r="B236" s="4"/>
      <c r="C236" s="4"/>
      <c r="D236" s="4"/>
      <c r="E236" s="4"/>
      <c r="F236" s="4"/>
      <c r="G236" s="6"/>
      <c r="H236" s="4"/>
      <c r="I236" s="4"/>
      <c r="J236" s="4"/>
      <c r="K236" s="4" t="str">
        <f t="shared" ca="1" si="7"/>
        <v>Sin fecha</v>
      </c>
      <c r="L236" s="8"/>
      <c r="M236" s="8"/>
      <c r="N236" s="4"/>
      <c r="O236" s="4"/>
      <c r="P236" s="4"/>
      <c r="Q236" s="4"/>
      <c r="R236" s="4"/>
      <c r="S236" s="4"/>
      <c r="T236" s="4"/>
      <c r="U236" s="4"/>
      <c r="V236" s="4"/>
      <c r="W236" s="4"/>
      <c r="X236" s="4"/>
      <c r="Y236" s="4"/>
      <c r="Z236" s="4"/>
      <c r="AA236" s="4"/>
      <c r="AB236" s="6"/>
      <c r="AC236" s="4"/>
      <c r="AD236" s="4"/>
    </row>
    <row r="237" spans="1:30">
      <c r="A237" s="4" t="str">
        <f t="shared" si="8"/>
        <v/>
      </c>
      <c r="B237" s="4"/>
      <c r="C237" s="4"/>
      <c r="D237" s="4"/>
      <c r="E237" s="4"/>
      <c r="F237" s="4"/>
      <c r="G237" s="6"/>
      <c r="H237" s="4"/>
      <c r="I237" s="4"/>
      <c r="J237" s="4"/>
      <c r="K237" s="4" t="str">
        <f t="shared" ca="1" si="7"/>
        <v>Sin fecha</v>
      </c>
      <c r="L237" s="8"/>
      <c r="M237" s="8"/>
      <c r="N237" s="4"/>
      <c r="O237" s="4"/>
      <c r="P237" s="4"/>
      <c r="Q237" s="4"/>
      <c r="R237" s="4"/>
      <c r="S237" s="4"/>
      <c r="T237" s="4"/>
      <c r="U237" s="4"/>
      <c r="V237" s="4"/>
      <c r="W237" s="4"/>
      <c r="X237" s="4"/>
      <c r="Y237" s="4"/>
      <c r="Z237" s="4"/>
      <c r="AA237" s="4"/>
      <c r="AB237" s="6"/>
      <c r="AC237" s="4"/>
      <c r="AD237" s="4"/>
    </row>
    <row r="238" spans="1:30">
      <c r="A238" s="4" t="str">
        <f t="shared" si="8"/>
        <v/>
      </c>
      <c r="B238" s="4"/>
      <c r="C238" s="4"/>
      <c r="D238" s="4"/>
      <c r="E238" s="4"/>
      <c r="F238" s="4"/>
      <c r="G238" s="6"/>
      <c r="H238" s="4"/>
      <c r="I238" s="4"/>
      <c r="J238" s="4"/>
      <c r="K238" s="4" t="str">
        <f t="shared" ca="1" si="7"/>
        <v>Sin fecha</v>
      </c>
      <c r="L238" s="8"/>
      <c r="M238" s="8"/>
      <c r="N238" s="4"/>
      <c r="O238" s="4"/>
      <c r="P238" s="4"/>
      <c r="Q238" s="4"/>
      <c r="R238" s="4"/>
      <c r="S238" s="4"/>
      <c r="T238" s="4"/>
      <c r="U238" s="4"/>
      <c r="V238" s="4"/>
      <c r="W238" s="4"/>
      <c r="X238" s="4"/>
      <c r="Y238" s="4"/>
      <c r="Z238" s="4"/>
      <c r="AA238" s="4"/>
      <c r="AB238" s="6"/>
      <c r="AC238" s="4"/>
      <c r="AD238" s="4"/>
    </row>
    <row r="239" spans="1:30">
      <c r="A239" s="4" t="str">
        <f t="shared" si="8"/>
        <v/>
      </c>
      <c r="B239" s="4"/>
      <c r="C239" s="4"/>
      <c r="D239" s="4"/>
      <c r="E239" s="4"/>
      <c r="F239" s="4"/>
      <c r="G239" s="6"/>
      <c r="H239" s="4"/>
      <c r="I239" s="4"/>
      <c r="J239" s="4"/>
      <c r="K239" s="4" t="str">
        <f t="shared" ca="1" si="7"/>
        <v>Sin fecha</v>
      </c>
      <c r="L239" s="8"/>
      <c r="M239" s="8"/>
      <c r="N239" s="4"/>
      <c r="O239" s="4"/>
      <c r="P239" s="4"/>
      <c r="Q239" s="4"/>
      <c r="R239" s="4"/>
      <c r="S239" s="4"/>
      <c r="T239" s="4"/>
      <c r="U239" s="4"/>
      <c r="V239" s="4"/>
      <c r="W239" s="4"/>
      <c r="X239" s="4"/>
      <c r="Y239" s="4"/>
      <c r="Z239" s="4"/>
      <c r="AA239" s="4"/>
      <c r="AB239" s="6"/>
      <c r="AC239" s="4"/>
      <c r="AD239" s="4"/>
    </row>
    <row r="240" spans="1:30">
      <c r="A240" s="4" t="str">
        <f t="shared" si="8"/>
        <v/>
      </c>
      <c r="B240" s="4"/>
      <c r="C240" s="4"/>
      <c r="D240" s="4"/>
      <c r="E240" s="4"/>
      <c r="F240" s="4"/>
      <c r="G240" s="6"/>
      <c r="H240" s="4"/>
      <c r="I240" s="4"/>
      <c r="J240" s="4"/>
      <c r="K240" s="4" t="str">
        <f t="shared" ca="1" si="7"/>
        <v>Sin fecha</v>
      </c>
      <c r="L240" s="8"/>
      <c r="M240" s="8"/>
      <c r="N240" s="4"/>
      <c r="O240" s="4"/>
      <c r="P240" s="4"/>
      <c r="Q240" s="4"/>
      <c r="R240" s="4"/>
      <c r="S240" s="4"/>
      <c r="T240" s="4"/>
      <c r="U240" s="4"/>
      <c r="V240" s="4"/>
      <c r="W240" s="4"/>
      <c r="X240" s="4"/>
      <c r="Y240" s="4"/>
      <c r="Z240" s="4"/>
      <c r="AA240" s="4"/>
      <c r="AB240" s="6"/>
      <c r="AC240" s="4"/>
      <c r="AD240" s="4"/>
    </row>
    <row r="241" spans="1:30">
      <c r="A241" s="4" t="str">
        <f t="shared" si="8"/>
        <v/>
      </c>
      <c r="B241" s="4"/>
      <c r="C241" s="4"/>
      <c r="D241" s="4"/>
      <c r="E241" s="4"/>
      <c r="F241" s="4"/>
      <c r="G241" s="6"/>
      <c r="H241" s="4"/>
      <c r="I241" s="4"/>
      <c r="J241" s="4"/>
      <c r="K241" s="4" t="str">
        <f t="shared" ca="1" si="7"/>
        <v>Sin fecha</v>
      </c>
      <c r="L241" s="8"/>
      <c r="M241" s="8"/>
      <c r="N241" s="4"/>
      <c r="O241" s="4"/>
      <c r="P241" s="4"/>
      <c r="Q241" s="4"/>
      <c r="R241" s="4"/>
      <c r="S241" s="4"/>
      <c r="T241" s="4"/>
      <c r="U241" s="4"/>
      <c r="V241" s="4"/>
      <c r="W241" s="4"/>
      <c r="X241" s="4"/>
      <c r="Y241" s="4"/>
      <c r="Z241" s="4"/>
      <c r="AA241" s="4"/>
      <c r="AB241" s="6"/>
      <c r="AC241" s="4"/>
      <c r="AD241" s="4"/>
    </row>
    <row r="242" spans="1:30">
      <c r="A242" s="4" t="str">
        <f t="shared" si="8"/>
        <v/>
      </c>
      <c r="B242" s="4"/>
      <c r="C242" s="4"/>
      <c r="D242" s="4"/>
      <c r="E242" s="4"/>
      <c r="F242" s="4"/>
      <c r="G242" s="6"/>
      <c r="H242" s="4"/>
      <c r="I242" s="4"/>
      <c r="J242" s="4"/>
      <c r="K242" s="4" t="str">
        <f t="shared" ca="1" si="7"/>
        <v>Sin fecha</v>
      </c>
      <c r="L242" s="8"/>
      <c r="M242" s="8"/>
      <c r="N242" s="4"/>
      <c r="O242" s="4"/>
      <c r="P242" s="4"/>
      <c r="Q242" s="4"/>
      <c r="R242" s="4"/>
      <c r="S242" s="4"/>
      <c r="T242" s="4"/>
      <c r="U242" s="4"/>
      <c r="V242" s="4"/>
      <c r="W242" s="4"/>
      <c r="X242" s="4"/>
      <c r="Y242" s="4"/>
      <c r="Z242" s="4"/>
      <c r="AA242" s="4"/>
      <c r="AB242" s="6"/>
      <c r="AC242" s="4"/>
      <c r="AD242" s="4"/>
    </row>
    <row r="243" spans="1:30">
      <c r="A243" s="4" t="str">
        <f t="shared" si="8"/>
        <v/>
      </c>
      <c r="B243" s="4"/>
      <c r="C243" s="4"/>
      <c r="D243" s="4"/>
      <c r="E243" s="4"/>
      <c r="F243" s="4"/>
      <c r="G243" s="6"/>
      <c r="H243" s="4"/>
      <c r="I243" s="4"/>
      <c r="J243" s="4"/>
      <c r="K243" s="4" t="str">
        <f t="shared" ca="1" si="7"/>
        <v>Sin fecha</v>
      </c>
      <c r="L243" s="8"/>
      <c r="M243" s="8"/>
      <c r="N243" s="4"/>
      <c r="O243" s="4"/>
      <c r="P243" s="4"/>
      <c r="Q243" s="4"/>
      <c r="R243" s="4"/>
      <c r="S243" s="4"/>
      <c r="T243" s="4"/>
      <c r="U243" s="4"/>
      <c r="V243" s="4"/>
      <c r="W243" s="4"/>
      <c r="X243" s="4"/>
      <c r="Y243" s="4"/>
      <c r="Z243" s="4"/>
      <c r="AA243" s="4"/>
      <c r="AB243" s="6"/>
      <c r="AC243" s="4"/>
      <c r="AD243" s="4"/>
    </row>
    <row r="244" spans="1:30">
      <c r="A244" s="4" t="str">
        <f t="shared" si="8"/>
        <v/>
      </c>
      <c r="B244" s="4"/>
      <c r="C244" s="4"/>
      <c r="D244" s="4"/>
      <c r="E244" s="4"/>
      <c r="F244" s="4"/>
      <c r="G244" s="6"/>
      <c r="H244" s="4"/>
      <c r="I244" s="4"/>
      <c r="J244" s="4"/>
      <c r="K244" s="4" t="str">
        <f t="shared" ca="1" si="7"/>
        <v>Sin fecha</v>
      </c>
      <c r="L244" s="8"/>
      <c r="M244" s="8"/>
      <c r="N244" s="4"/>
      <c r="O244" s="4"/>
      <c r="P244" s="4"/>
      <c r="Q244" s="4"/>
      <c r="R244" s="4"/>
      <c r="S244" s="4"/>
      <c r="T244" s="4"/>
      <c r="U244" s="4"/>
      <c r="V244" s="4"/>
      <c r="W244" s="4"/>
      <c r="X244" s="4"/>
      <c r="Y244" s="4"/>
      <c r="Z244" s="4"/>
      <c r="AA244" s="4"/>
      <c r="AB244" s="6"/>
      <c r="AC244" s="4"/>
      <c r="AD244" s="4"/>
    </row>
    <row r="245" spans="1:30">
      <c r="A245" s="4" t="str">
        <f t="shared" si="8"/>
        <v/>
      </c>
      <c r="B245" s="4"/>
      <c r="C245" s="4"/>
      <c r="D245" s="4"/>
      <c r="E245" s="4"/>
      <c r="F245" s="4"/>
      <c r="G245" s="6"/>
      <c r="H245" s="4"/>
      <c r="I245" s="4"/>
      <c r="J245" s="4"/>
      <c r="K245" s="4" t="str">
        <f t="shared" ca="1" si="7"/>
        <v>Sin fecha</v>
      </c>
      <c r="L245" s="8"/>
      <c r="M245" s="8"/>
      <c r="N245" s="4"/>
      <c r="O245" s="4"/>
      <c r="P245" s="4"/>
      <c r="Q245" s="4"/>
      <c r="R245" s="4"/>
      <c r="S245" s="4"/>
      <c r="T245" s="4"/>
      <c r="U245" s="4"/>
      <c r="V245" s="4"/>
      <c r="W245" s="4"/>
      <c r="X245" s="4"/>
      <c r="Y245" s="4"/>
      <c r="Z245" s="4"/>
      <c r="AA245" s="4"/>
      <c r="AB245" s="6"/>
      <c r="AC245" s="4"/>
      <c r="AD245" s="4"/>
    </row>
    <row r="246" spans="1:30">
      <c r="A246" s="4" t="str">
        <f t="shared" si="8"/>
        <v/>
      </c>
      <c r="B246" s="4"/>
      <c r="C246" s="4"/>
      <c r="D246" s="4"/>
      <c r="E246" s="4"/>
      <c r="F246" s="4"/>
      <c r="G246" s="6"/>
      <c r="H246" s="4"/>
      <c r="I246" s="4"/>
      <c r="J246" s="4"/>
      <c r="K246" s="4" t="str">
        <f t="shared" ca="1" si="7"/>
        <v>Sin fecha</v>
      </c>
      <c r="L246" s="8"/>
      <c r="M246" s="8"/>
      <c r="N246" s="4"/>
      <c r="O246" s="4"/>
      <c r="P246" s="4"/>
      <c r="Q246" s="4"/>
      <c r="R246" s="4"/>
      <c r="S246" s="4"/>
      <c r="T246" s="4"/>
      <c r="U246" s="4"/>
      <c r="V246" s="4"/>
      <c r="W246" s="4"/>
      <c r="X246" s="4"/>
      <c r="Y246" s="4"/>
      <c r="Z246" s="4"/>
      <c r="AA246" s="4"/>
      <c r="AB246" s="6"/>
      <c r="AC246" s="4"/>
      <c r="AD246" s="4"/>
    </row>
    <row r="247" spans="1:30">
      <c r="A247" s="4" t="str">
        <f t="shared" si="8"/>
        <v/>
      </c>
      <c r="B247" s="4"/>
      <c r="C247" s="4"/>
      <c r="D247" s="4"/>
      <c r="E247" s="4"/>
      <c r="F247" s="4"/>
      <c r="G247" s="6"/>
      <c r="H247" s="4"/>
      <c r="I247" s="4"/>
      <c r="J247" s="4"/>
      <c r="K247" s="4" t="str">
        <f t="shared" ca="1" si="7"/>
        <v>Sin fecha</v>
      </c>
      <c r="L247" s="8"/>
      <c r="M247" s="8"/>
      <c r="N247" s="4"/>
      <c r="O247" s="4"/>
      <c r="P247" s="4"/>
      <c r="Q247" s="4"/>
      <c r="R247" s="4"/>
      <c r="S247" s="4"/>
      <c r="T247" s="4"/>
      <c r="U247" s="4"/>
      <c r="V247" s="4"/>
      <c r="W247" s="4"/>
      <c r="X247" s="4"/>
      <c r="Y247" s="4"/>
      <c r="Z247" s="4"/>
      <c r="AA247" s="4"/>
      <c r="AB247" s="6"/>
      <c r="AC247" s="4"/>
      <c r="AD247" s="4"/>
    </row>
    <row r="248" spans="1:30">
      <c r="A248" s="4" t="str">
        <f t="shared" si="8"/>
        <v/>
      </c>
      <c r="B248" s="4"/>
      <c r="C248" s="4"/>
      <c r="D248" s="4"/>
      <c r="E248" s="4"/>
      <c r="F248" s="4"/>
      <c r="G248" s="6"/>
      <c r="H248" s="4"/>
      <c r="I248" s="4"/>
      <c r="J248" s="4"/>
      <c r="K248" s="4" t="str">
        <f t="shared" ca="1" si="7"/>
        <v>Sin fecha</v>
      </c>
      <c r="L248" s="8"/>
      <c r="M248" s="8"/>
      <c r="N248" s="4"/>
      <c r="O248" s="4"/>
      <c r="P248" s="4"/>
      <c r="Q248" s="4"/>
      <c r="R248" s="4"/>
      <c r="S248" s="4"/>
      <c r="T248" s="4"/>
      <c r="U248" s="4"/>
      <c r="V248" s="4"/>
      <c r="W248" s="4"/>
      <c r="X248" s="4"/>
      <c r="Y248" s="4"/>
      <c r="Z248" s="4"/>
      <c r="AA248" s="4"/>
      <c r="AB248" s="6"/>
      <c r="AC248" s="4"/>
      <c r="AD248" s="4"/>
    </row>
    <row r="249" spans="1:30">
      <c r="A249" s="4" t="str">
        <f t="shared" si="8"/>
        <v/>
      </c>
      <c r="B249" s="4"/>
      <c r="C249" s="4"/>
      <c r="D249" s="4"/>
      <c r="E249" s="4"/>
      <c r="F249" s="4"/>
      <c r="G249" s="6"/>
      <c r="H249" s="4"/>
      <c r="I249" s="4"/>
      <c r="J249" s="4"/>
      <c r="K249" s="4" t="str">
        <f t="shared" ca="1" si="7"/>
        <v>Sin fecha</v>
      </c>
      <c r="L249" s="8"/>
      <c r="M249" s="8"/>
      <c r="N249" s="4"/>
      <c r="O249" s="4"/>
      <c r="P249" s="4"/>
      <c r="Q249" s="4"/>
      <c r="R249" s="4"/>
      <c r="S249" s="4"/>
      <c r="T249" s="4"/>
      <c r="U249" s="4"/>
      <c r="V249" s="4"/>
      <c r="W249" s="4"/>
      <c r="X249" s="4"/>
      <c r="Y249" s="4"/>
      <c r="Z249" s="4"/>
      <c r="AA249" s="4"/>
      <c r="AB249" s="6"/>
      <c r="AC249" s="4"/>
      <c r="AD249" s="4"/>
    </row>
    <row r="250" spans="1:30">
      <c r="A250" s="4" t="str">
        <f t="shared" si="8"/>
        <v/>
      </c>
      <c r="B250" s="4"/>
      <c r="C250" s="4"/>
      <c r="D250" s="4"/>
      <c r="E250" s="4"/>
      <c r="F250" s="4"/>
      <c r="G250" s="6"/>
      <c r="H250" s="4"/>
      <c r="I250" s="4"/>
      <c r="J250" s="4"/>
      <c r="K250" s="4" t="str">
        <f t="shared" ca="1" si="7"/>
        <v>Sin fecha</v>
      </c>
      <c r="L250" s="8"/>
      <c r="M250" s="8"/>
      <c r="N250" s="4"/>
      <c r="O250" s="4"/>
      <c r="P250" s="4"/>
      <c r="Q250" s="4"/>
      <c r="R250" s="4"/>
      <c r="S250" s="4"/>
      <c r="T250" s="4"/>
      <c r="U250" s="4"/>
      <c r="V250" s="4"/>
      <c r="W250" s="4"/>
      <c r="X250" s="4"/>
      <c r="Y250" s="4"/>
      <c r="Z250" s="4"/>
      <c r="AA250" s="4"/>
      <c r="AB250" s="6"/>
      <c r="AC250" s="4"/>
      <c r="AD250" s="4"/>
    </row>
    <row r="251" spans="1:30">
      <c r="A251" s="4" t="str">
        <f t="shared" si="8"/>
        <v/>
      </c>
      <c r="B251" s="4"/>
      <c r="C251" s="4"/>
      <c r="D251" s="4"/>
      <c r="E251" s="4"/>
      <c r="F251" s="4"/>
      <c r="G251" s="6"/>
      <c r="H251" s="4"/>
      <c r="I251" s="4"/>
      <c r="J251" s="4"/>
      <c r="K251" s="4" t="str">
        <f t="shared" ca="1" si="7"/>
        <v>Sin fecha</v>
      </c>
      <c r="L251" s="8"/>
      <c r="M251" s="8"/>
      <c r="N251" s="4"/>
      <c r="O251" s="4"/>
      <c r="P251" s="4"/>
      <c r="Q251" s="4"/>
      <c r="R251" s="4"/>
      <c r="S251" s="4"/>
      <c r="T251" s="4"/>
      <c r="U251" s="4"/>
      <c r="V251" s="4"/>
      <c r="W251" s="4"/>
      <c r="X251" s="4"/>
      <c r="Y251" s="4"/>
      <c r="Z251" s="4"/>
      <c r="AA251" s="4"/>
      <c r="AB251" s="6"/>
      <c r="AC251" s="4"/>
      <c r="AD251" s="4"/>
    </row>
    <row r="252" spans="1:30">
      <c r="A252" s="4" t="str">
        <f t="shared" si="8"/>
        <v/>
      </c>
      <c r="B252" s="4"/>
      <c r="C252" s="4"/>
      <c r="D252" s="4"/>
      <c r="E252" s="4"/>
      <c r="F252" s="4"/>
      <c r="G252" s="6"/>
      <c r="H252" s="4"/>
      <c r="I252" s="4"/>
      <c r="J252" s="4"/>
      <c r="K252" s="4" t="str">
        <f t="shared" ca="1" si="7"/>
        <v>Sin fecha</v>
      </c>
      <c r="L252" s="8"/>
      <c r="M252" s="8"/>
      <c r="N252" s="4"/>
      <c r="O252" s="4"/>
      <c r="P252" s="4"/>
      <c r="Q252" s="4"/>
      <c r="R252" s="4"/>
      <c r="S252" s="4"/>
      <c r="T252" s="4"/>
      <c r="U252" s="4"/>
      <c r="V252" s="4"/>
      <c r="W252" s="4"/>
      <c r="X252" s="4"/>
      <c r="Y252" s="4"/>
      <c r="Z252" s="4"/>
      <c r="AA252" s="4"/>
      <c r="AB252" s="6"/>
      <c r="AC252" s="4"/>
      <c r="AD252" s="4"/>
    </row>
    <row r="253" spans="1:30">
      <c r="A253" s="4" t="str">
        <f t="shared" si="8"/>
        <v/>
      </c>
      <c r="B253" s="4"/>
      <c r="C253" s="4"/>
      <c r="D253" s="4"/>
      <c r="E253" s="4"/>
      <c r="F253" s="4"/>
      <c r="G253" s="6"/>
      <c r="H253" s="4"/>
      <c r="I253" s="4"/>
      <c r="J253" s="4"/>
      <c r="K253" s="4" t="str">
        <f t="shared" ca="1" si="7"/>
        <v>Sin fecha</v>
      </c>
      <c r="L253" s="8"/>
      <c r="M253" s="8"/>
      <c r="N253" s="4"/>
      <c r="O253" s="4"/>
      <c r="P253" s="4"/>
      <c r="Q253" s="4"/>
      <c r="R253" s="4"/>
      <c r="S253" s="4"/>
      <c r="T253" s="4"/>
      <c r="U253" s="4"/>
      <c r="V253" s="4"/>
      <c r="W253" s="4"/>
      <c r="X253" s="4"/>
      <c r="Y253" s="4"/>
      <c r="Z253" s="4"/>
      <c r="AA253" s="4"/>
      <c r="AB253" s="6"/>
      <c r="AC253" s="4"/>
      <c r="AD253" s="4"/>
    </row>
    <row r="254" spans="1:30">
      <c r="A254" s="4" t="str">
        <f t="shared" si="8"/>
        <v/>
      </c>
      <c r="B254" s="4"/>
      <c r="C254" s="4"/>
      <c r="D254" s="4"/>
      <c r="E254" s="4"/>
      <c r="F254" s="4"/>
      <c r="G254" s="6"/>
      <c r="H254" s="4"/>
      <c r="I254" s="4"/>
      <c r="J254" s="4"/>
      <c r="K254" s="4" t="str">
        <f t="shared" ca="1" si="7"/>
        <v>Sin fecha</v>
      </c>
      <c r="L254" s="8"/>
      <c r="M254" s="8"/>
      <c r="N254" s="4"/>
      <c r="O254" s="4"/>
      <c r="P254" s="4"/>
      <c r="Q254" s="4"/>
      <c r="R254" s="4"/>
      <c r="S254" s="4"/>
      <c r="T254" s="4"/>
      <c r="U254" s="4"/>
      <c r="V254" s="4"/>
      <c r="W254" s="4"/>
      <c r="X254" s="4"/>
      <c r="Y254" s="4"/>
      <c r="Z254" s="4"/>
      <c r="AA254" s="4"/>
      <c r="AB254" s="6"/>
      <c r="AC254" s="4"/>
      <c r="AD254" s="4"/>
    </row>
    <row r="255" spans="1:30">
      <c r="A255" s="4" t="str">
        <f t="shared" si="8"/>
        <v/>
      </c>
      <c r="B255" s="4"/>
      <c r="C255" s="4"/>
      <c r="D255" s="4"/>
      <c r="E255" s="4"/>
      <c r="F255" s="4"/>
      <c r="G255" s="6"/>
      <c r="H255" s="4"/>
      <c r="I255" s="4"/>
      <c r="J255" s="4"/>
      <c r="K255" s="4" t="str">
        <f t="shared" ca="1" si="7"/>
        <v>Sin fecha</v>
      </c>
      <c r="L255" s="8"/>
      <c r="M255" s="8"/>
      <c r="N255" s="4"/>
      <c r="O255" s="4"/>
      <c r="P255" s="4"/>
      <c r="Q255" s="4"/>
      <c r="R255" s="4"/>
      <c r="S255" s="4"/>
      <c r="T255" s="4"/>
      <c r="U255" s="4"/>
      <c r="V255" s="4"/>
      <c r="W255" s="4"/>
      <c r="X255" s="4"/>
      <c r="Y255" s="4"/>
      <c r="Z255" s="4"/>
      <c r="AA255" s="4"/>
      <c r="AB255" s="6"/>
      <c r="AC255" s="4"/>
      <c r="AD255" s="4"/>
    </row>
    <row r="256" spans="1:30">
      <c r="A256" s="4" t="str">
        <f t="shared" si="8"/>
        <v/>
      </c>
      <c r="B256" s="4"/>
      <c r="C256" s="4"/>
      <c r="D256" s="4"/>
      <c r="E256" s="4"/>
      <c r="F256" s="4"/>
      <c r="G256" s="6"/>
      <c r="H256" s="4"/>
      <c r="I256" s="4"/>
      <c r="J256" s="4"/>
      <c r="K256" s="4" t="str">
        <f t="shared" ref="K256:K319" ca="1" si="9">IF(J256="Cerrada","Cerrada",IF(J256="Suspendida","Suspendida",IF(G256="","Sin fecha",IF(G256&lt;TODAY(),"Vencida",IF(G256-TODAY()&lt;=30,"Próxima a vencer","Abierta")))))</f>
        <v>Sin fecha</v>
      </c>
      <c r="L256" s="8"/>
      <c r="M256" s="8"/>
      <c r="N256" s="4"/>
      <c r="O256" s="4"/>
      <c r="P256" s="4"/>
      <c r="Q256" s="4"/>
      <c r="R256" s="4"/>
      <c r="S256" s="4"/>
      <c r="T256" s="4"/>
      <c r="U256" s="4"/>
      <c r="V256" s="4"/>
      <c r="W256" s="4"/>
      <c r="X256" s="4"/>
      <c r="Y256" s="4"/>
      <c r="Z256" s="4"/>
      <c r="AA256" s="4"/>
      <c r="AB256" s="6"/>
      <c r="AC256" s="4"/>
      <c r="AD256" s="4"/>
    </row>
    <row r="257" spans="1:30">
      <c r="A257" s="4" t="str">
        <f t="shared" ref="A257:A320" si="10">IF(C257="","","OP-"&amp;TEXT(ROW()-1,"0000"))</f>
        <v/>
      </c>
      <c r="B257" s="4"/>
      <c r="C257" s="4"/>
      <c r="D257" s="4"/>
      <c r="E257" s="4"/>
      <c r="F257" s="4"/>
      <c r="G257" s="6"/>
      <c r="H257" s="4"/>
      <c r="I257" s="4"/>
      <c r="J257" s="4"/>
      <c r="K257" s="4" t="str">
        <f t="shared" ca="1" si="9"/>
        <v>Sin fecha</v>
      </c>
      <c r="L257" s="8"/>
      <c r="M257" s="8"/>
      <c r="N257" s="4"/>
      <c r="O257" s="4"/>
      <c r="P257" s="4"/>
      <c r="Q257" s="4"/>
      <c r="R257" s="4"/>
      <c r="S257" s="4"/>
      <c r="T257" s="4"/>
      <c r="U257" s="4"/>
      <c r="V257" s="4"/>
      <c r="W257" s="4"/>
      <c r="X257" s="4"/>
      <c r="Y257" s="4"/>
      <c r="Z257" s="4"/>
      <c r="AA257" s="4"/>
      <c r="AB257" s="6"/>
      <c r="AC257" s="4"/>
      <c r="AD257" s="4"/>
    </row>
    <row r="258" spans="1:30">
      <c r="A258" s="4" t="str">
        <f t="shared" si="10"/>
        <v/>
      </c>
      <c r="B258" s="4"/>
      <c r="C258" s="4"/>
      <c r="D258" s="4"/>
      <c r="E258" s="4"/>
      <c r="F258" s="4"/>
      <c r="G258" s="6"/>
      <c r="H258" s="4"/>
      <c r="I258" s="4"/>
      <c r="J258" s="4"/>
      <c r="K258" s="4" t="str">
        <f t="shared" ca="1" si="9"/>
        <v>Sin fecha</v>
      </c>
      <c r="L258" s="8"/>
      <c r="M258" s="8"/>
      <c r="N258" s="4"/>
      <c r="O258" s="4"/>
      <c r="P258" s="4"/>
      <c r="Q258" s="4"/>
      <c r="R258" s="4"/>
      <c r="S258" s="4"/>
      <c r="T258" s="4"/>
      <c r="U258" s="4"/>
      <c r="V258" s="4"/>
      <c r="W258" s="4"/>
      <c r="X258" s="4"/>
      <c r="Y258" s="4"/>
      <c r="Z258" s="4"/>
      <c r="AA258" s="4"/>
      <c r="AB258" s="6"/>
      <c r="AC258" s="4"/>
      <c r="AD258" s="4"/>
    </row>
    <row r="259" spans="1:30">
      <c r="A259" s="4" t="str">
        <f t="shared" si="10"/>
        <v/>
      </c>
      <c r="B259" s="4"/>
      <c r="C259" s="4"/>
      <c r="D259" s="4"/>
      <c r="E259" s="4"/>
      <c r="F259" s="4"/>
      <c r="G259" s="6"/>
      <c r="H259" s="4"/>
      <c r="I259" s="4"/>
      <c r="J259" s="4"/>
      <c r="K259" s="4" t="str">
        <f t="shared" ca="1" si="9"/>
        <v>Sin fecha</v>
      </c>
      <c r="L259" s="8"/>
      <c r="M259" s="8"/>
      <c r="N259" s="4"/>
      <c r="O259" s="4"/>
      <c r="P259" s="4"/>
      <c r="Q259" s="4"/>
      <c r="R259" s="4"/>
      <c r="S259" s="4"/>
      <c r="T259" s="4"/>
      <c r="U259" s="4"/>
      <c r="V259" s="4"/>
      <c r="W259" s="4"/>
      <c r="X259" s="4"/>
      <c r="Y259" s="4"/>
      <c r="Z259" s="4"/>
      <c r="AA259" s="4"/>
      <c r="AB259" s="6"/>
      <c r="AC259" s="4"/>
      <c r="AD259" s="4"/>
    </row>
    <row r="260" spans="1:30">
      <c r="A260" s="4" t="str">
        <f t="shared" si="10"/>
        <v/>
      </c>
      <c r="B260" s="4"/>
      <c r="C260" s="4"/>
      <c r="D260" s="4"/>
      <c r="E260" s="4"/>
      <c r="F260" s="4"/>
      <c r="G260" s="6"/>
      <c r="H260" s="4"/>
      <c r="I260" s="4"/>
      <c r="J260" s="4"/>
      <c r="K260" s="4" t="str">
        <f t="shared" ca="1" si="9"/>
        <v>Sin fecha</v>
      </c>
      <c r="L260" s="8"/>
      <c r="M260" s="8"/>
      <c r="N260" s="4"/>
      <c r="O260" s="4"/>
      <c r="P260" s="4"/>
      <c r="Q260" s="4"/>
      <c r="R260" s="4"/>
      <c r="S260" s="4"/>
      <c r="T260" s="4"/>
      <c r="U260" s="4"/>
      <c r="V260" s="4"/>
      <c r="W260" s="4"/>
      <c r="X260" s="4"/>
      <c r="Y260" s="4"/>
      <c r="Z260" s="4"/>
      <c r="AA260" s="4"/>
      <c r="AB260" s="6"/>
      <c r="AC260" s="4"/>
      <c r="AD260" s="4"/>
    </row>
    <row r="261" spans="1:30">
      <c r="A261" s="4" t="str">
        <f t="shared" si="10"/>
        <v/>
      </c>
      <c r="B261" s="4"/>
      <c r="C261" s="4"/>
      <c r="D261" s="4"/>
      <c r="E261" s="4"/>
      <c r="F261" s="4"/>
      <c r="G261" s="6"/>
      <c r="H261" s="4"/>
      <c r="I261" s="4"/>
      <c r="J261" s="4"/>
      <c r="K261" s="4" t="str">
        <f t="shared" ca="1" si="9"/>
        <v>Sin fecha</v>
      </c>
      <c r="L261" s="8"/>
      <c r="M261" s="8"/>
      <c r="N261" s="4"/>
      <c r="O261" s="4"/>
      <c r="P261" s="4"/>
      <c r="Q261" s="4"/>
      <c r="R261" s="4"/>
      <c r="S261" s="4"/>
      <c r="T261" s="4"/>
      <c r="U261" s="4"/>
      <c r="V261" s="4"/>
      <c r="W261" s="4"/>
      <c r="X261" s="4"/>
      <c r="Y261" s="4"/>
      <c r="Z261" s="4"/>
      <c r="AA261" s="4"/>
      <c r="AB261" s="6"/>
      <c r="AC261" s="4"/>
      <c r="AD261" s="4"/>
    </row>
    <row r="262" spans="1:30">
      <c r="A262" s="4" t="str">
        <f t="shared" si="10"/>
        <v/>
      </c>
      <c r="B262" s="4"/>
      <c r="C262" s="4"/>
      <c r="D262" s="4"/>
      <c r="E262" s="4"/>
      <c r="F262" s="4"/>
      <c r="G262" s="6"/>
      <c r="H262" s="4"/>
      <c r="I262" s="4"/>
      <c r="J262" s="4"/>
      <c r="K262" s="4" t="str">
        <f t="shared" ca="1" si="9"/>
        <v>Sin fecha</v>
      </c>
      <c r="L262" s="8"/>
      <c r="M262" s="8"/>
      <c r="N262" s="4"/>
      <c r="O262" s="4"/>
      <c r="P262" s="4"/>
      <c r="Q262" s="4"/>
      <c r="R262" s="4"/>
      <c r="S262" s="4"/>
      <c r="T262" s="4"/>
      <c r="U262" s="4"/>
      <c r="V262" s="4"/>
      <c r="W262" s="4"/>
      <c r="X262" s="4"/>
      <c r="Y262" s="4"/>
      <c r="Z262" s="4"/>
      <c r="AA262" s="4"/>
      <c r="AB262" s="6"/>
      <c r="AC262" s="4"/>
      <c r="AD262" s="4"/>
    </row>
    <row r="263" spans="1:30">
      <c r="A263" s="4" t="str">
        <f t="shared" si="10"/>
        <v/>
      </c>
      <c r="B263" s="4"/>
      <c r="C263" s="4"/>
      <c r="D263" s="4"/>
      <c r="E263" s="4"/>
      <c r="F263" s="4"/>
      <c r="G263" s="6"/>
      <c r="H263" s="4"/>
      <c r="I263" s="4"/>
      <c r="J263" s="4"/>
      <c r="K263" s="4" t="str">
        <f t="shared" ca="1" si="9"/>
        <v>Sin fecha</v>
      </c>
      <c r="L263" s="8"/>
      <c r="M263" s="8"/>
      <c r="N263" s="4"/>
      <c r="O263" s="4"/>
      <c r="P263" s="4"/>
      <c r="Q263" s="4"/>
      <c r="R263" s="4"/>
      <c r="S263" s="4"/>
      <c r="T263" s="4"/>
      <c r="U263" s="4"/>
      <c r="V263" s="4"/>
      <c r="W263" s="4"/>
      <c r="X263" s="4"/>
      <c r="Y263" s="4"/>
      <c r="Z263" s="4"/>
      <c r="AA263" s="4"/>
      <c r="AB263" s="6"/>
      <c r="AC263" s="4"/>
      <c r="AD263" s="4"/>
    </row>
    <row r="264" spans="1:30">
      <c r="A264" s="4" t="str">
        <f t="shared" si="10"/>
        <v/>
      </c>
      <c r="B264" s="4"/>
      <c r="C264" s="4"/>
      <c r="D264" s="4"/>
      <c r="E264" s="4"/>
      <c r="F264" s="4"/>
      <c r="G264" s="6"/>
      <c r="H264" s="4"/>
      <c r="I264" s="4"/>
      <c r="J264" s="4"/>
      <c r="K264" s="4" t="str">
        <f t="shared" ca="1" si="9"/>
        <v>Sin fecha</v>
      </c>
      <c r="L264" s="8"/>
      <c r="M264" s="8"/>
      <c r="N264" s="4"/>
      <c r="O264" s="4"/>
      <c r="P264" s="4"/>
      <c r="Q264" s="4"/>
      <c r="R264" s="4"/>
      <c r="S264" s="4"/>
      <c r="T264" s="4"/>
      <c r="U264" s="4"/>
      <c r="V264" s="4"/>
      <c r="W264" s="4"/>
      <c r="X264" s="4"/>
      <c r="Y264" s="4"/>
      <c r="Z264" s="4"/>
      <c r="AA264" s="4"/>
      <c r="AB264" s="6"/>
      <c r="AC264" s="4"/>
      <c r="AD264" s="4"/>
    </row>
    <row r="265" spans="1:30">
      <c r="A265" s="4" t="str">
        <f t="shared" si="10"/>
        <v/>
      </c>
      <c r="B265" s="4"/>
      <c r="C265" s="4"/>
      <c r="D265" s="4"/>
      <c r="E265" s="4"/>
      <c r="F265" s="4"/>
      <c r="G265" s="6"/>
      <c r="H265" s="4"/>
      <c r="I265" s="4"/>
      <c r="J265" s="4"/>
      <c r="K265" s="4" t="str">
        <f t="shared" ca="1" si="9"/>
        <v>Sin fecha</v>
      </c>
      <c r="L265" s="8"/>
      <c r="M265" s="8"/>
      <c r="N265" s="4"/>
      <c r="O265" s="4"/>
      <c r="P265" s="4"/>
      <c r="Q265" s="4"/>
      <c r="R265" s="4"/>
      <c r="S265" s="4"/>
      <c r="T265" s="4"/>
      <c r="U265" s="4"/>
      <c r="V265" s="4"/>
      <c r="W265" s="4"/>
      <c r="X265" s="4"/>
      <c r="Y265" s="4"/>
      <c r="Z265" s="4"/>
      <c r="AA265" s="4"/>
      <c r="AB265" s="6"/>
      <c r="AC265" s="4"/>
      <c r="AD265" s="4"/>
    </row>
    <row r="266" spans="1:30">
      <c r="A266" s="4" t="str">
        <f t="shared" si="10"/>
        <v/>
      </c>
      <c r="B266" s="4"/>
      <c r="C266" s="4"/>
      <c r="D266" s="4"/>
      <c r="E266" s="4"/>
      <c r="F266" s="4"/>
      <c r="G266" s="6"/>
      <c r="H266" s="4"/>
      <c r="I266" s="4"/>
      <c r="J266" s="4"/>
      <c r="K266" s="4" t="str">
        <f t="shared" ca="1" si="9"/>
        <v>Sin fecha</v>
      </c>
      <c r="L266" s="8"/>
      <c r="M266" s="8"/>
      <c r="N266" s="4"/>
      <c r="O266" s="4"/>
      <c r="P266" s="4"/>
      <c r="Q266" s="4"/>
      <c r="R266" s="4"/>
      <c r="S266" s="4"/>
      <c r="T266" s="4"/>
      <c r="U266" s="4"/>
      <c r="V266" s="4"/>
      <c r="W266" s="4"/>
      <c r="X266" s="4"/>
      <c r="Y266" s="4"/>
      <c r="Z266" s="4"/>
      <c r="AA266" s="4"/>
      <c r="AB266" s="6"/>
      <c r="AC266" s="4"/>
      <c r="AD266" s="4"/>
    </row>
    <row r="267" spans="1:30">
      <c r="A267" s="4" t="str">
        <f t="shared" si="10"/>
        <v/>
      </c>
      <c r="B267" s="4"/>
      <c r="C267" s="4"/>
      <c r="D267" s="4"/>
      <c r="E267" s="4"/>
      <c r="F267" s="4"/>
      <c r="G267" s="6"/>
      <c r="H267" s="4"/>
      <c r="I267" s="4"/>
      <c r="J267" s="4"/>
      <c r="K267" s="4" t="str">
        <f t="shared" ca="1" si="9"/>
        <v>Sin fecha</v>
      </c>
      <c r="L267" s="8"/>
      <c r="M267" s="8"/>
      <c r="N267" s="4"/>
      <c r="O267" s="4"/>
      <c r="P267" s="4"/>
      <c r="Q267" s="4"/>
      <c r="R267" s="4"/>
      <c r="S267" s="4"/>
      <c r="T267" s="4"/>
      <c r="U267" s="4"/>
      <c r="V267" s="4"/>
      <c r="W267" s="4"/>
      <c r="X267" s="4"/>
      <c r="Y267" s="4"/>
      <c r="Z267" s="4"/>
      <c r="AA267" s="4"/>
      <c r="AB267" s="6"/>
      <c r="AC267" s="4"/>
      <c r="AD267" s="4"/>
    </row>
    <row r="268" spans="1:30">
      <c r="A268" s="4" t="str">
        <f t="shared" si="10"/>
        <v/>
      </c>
      <c r="B268" s="4"/>
      <c r="C268" s="4"/>
      <c r="D268" s="4"/>
      <c r="E268" s="4"/>
      <c r="F268" s="4"/>
      <c r="G268" s="6"/>
      <c r="H268" s="4"/>
      <c r="I268" s="4"/>
      <c r="J268" s="4"/>
      <c r="K268" s="4" t="str">
        <f t="shared" ca="1" si="9"/>
        <v>Sin fecha</v>
      </c>
      <c r="L268" s="8"/>
      <c r="M268" s="8"/>
      <c r="N268" s="4"/>
      <c r="O268" s="4"/>
      <c r="P268" s="4"/>
      <c r="Q268" s="4"/>
      <c r="R268" s="4"/>
      <c r="S268" s="4"/>
      <c r="T268" s="4"/>
      <c r="U268" s="4"/>
      <c r="V268" s="4"/>
      <c r="W268" s="4"/>
      <c r="X268" s="4"/>
      <c r="Y268" s="4"/>
      <c r="Z268" s="4"/>
      <c r="AA268" s="4"/>
      <c r="AB268" s="6"/>
      <c r="AC268" s="4"/>
      <c r="AD268" s="4"/>
    </row>
    <row r="269" spans="1:30">
      <c r="A269" s="4" t="str">
        <f t="shared" si="10"/>
        <v/>
      </c>
      <c r="B269" s="4"/>
      <c r="C269" s="4"/>
      <c r="D269" s="4"/>
      <c r="E269" s="4"/>
      <c r="F269" s="4"/>
      <c r="G269" s="6"/>
      <c r="H269" s="4"/>
      <c r="I269" s="4"/>
      <c r="J269" s="4"/>
      <c r="K269" s="4" t="str">
        <f t="shared" ca="1" si="9"/>
        <v>Sin fecha</v>
      </c>
      <c r="L269" s="8"/>
      <c r="M269" s="8"/>
      <c r="N269" s="4"/>
      <c r="O269" s="4"/>
      <c r="P269" s="4"/>
      <c r="Q269" s="4"/>
      <c r="R269" s="4"/>
      <c r="S269" s="4"/>
      <c r="T269" s="4"/>
      <c r="U269" s="4"/>
      <c r="V269" s="4"/>
      <c r="W269" s="4"/>
      <c r="X269" s="4"/>
      <c r="Y269" s="4"/>
      <c r="Z269" s="4"/>
      <c r="AA269" s="4"/>
      <c r="AB269" s="6"/>
      <c r="AC269" s="4"/>
      <c r="AD269" s="4"/>
    </row>
    <row r="270" spans="1:30">
      <c r="A270" s="4" t="str">
        <f t="shared" si="10"/>
        <v/>
      </c>
      <c r="B270" s="4"/>
      <c r="C270" s="4"/>
      <c r="D270" s="4"/>
      <c r="E270" s="4"/>
      <c r="F270" s="4"/>
      <c r="G270" s="6"/>
      <c r="H270" s="4"/>
      <c r="I270" s="4"/>
      <c r="J270" s="4"/>
      <c r="K270" s="4" t="str">
        <f t="shared" ca="1" si="9"/>
        <v>Sin fecha</v>
      </c>
      <c r="L270" s="8"/>
      <c r="M270" s="8"/>
      <c r="N270" s="4"/>
      <c r="O270" s="4"/>
      <c r="P270" s="4"/>
      <c r="Q270" s="4"/>
      <c r="R270" s="4"/>
      <c r="S270" s="4"/>
      <c r="T270" s="4"/>
      <c r="U270" s="4"/>
      <c r="V270" s="4"/>
      <c r="W270" s="4"/>
      <c r="X270" s="4"/>
      <c r="Y270" s="4"/>
      <c r="Z270" s="4"/>
      <c r="AA270" s="4"/>
      <c r="AB270" s="6"/>
      <c r="AC270" s="4"/>
      <c r="AD270" s="4"/>
    </row>
    <row r="271" spans="1:30">
      <c r="A271" s="4" t="str">
        <f t="shared" si="10"/>
        <v/>
      </c>
      <c r="B271" s="4"/>
      <c r="C271" s="4"/>
      <c r="D271" s="4"/>
      <c r="E271" s="4"/>
      <c r="F271" s="4"/>
      <c r="G271" s="6"/>
      <c r="H271" s="4"/>
      <c r="I271" s="4"/>
      <c r="J271" s="4"/>
      <c r="K271" s="4" t="str">
        <f t="shared" ca="1" si="9"/>
        <v>Sin fecha</v>
      </c>
      <c r="L271" s="8"/>
      <c r="M271" s="8"/>
      <c r="N271" s="4"/>
      <c r="O271" s="4"/>
      <c r="P271" s="4"/>
      <c r="Q271" s="4"/>
      <c r="R271" s="4"/>
      <c r="S271" s="4"/>
      <c r="T271" s="4"/>
      <c r="U271" s="4"/>
      <c r="V271" s="4"/>
      <c r="W271" s="4"/>
      <c r="X271" s="4"/>
      <c r="Y271" s="4"/>
      <c r="Z271" s="4"/>
      <c r="AA271" s="4"/>
      <c r="AB271" s="6"/>
      <c r="AC271" s="4"/>
      <c r="AD271" s="4"/>
    </row>
    <row r="272" spans="1:30">
      <c r="A272" s="4" t="str">
        <f t="shared" si="10"/>
        <v/>
      </c>
      <c r="B272" s="4"/>
      <c r="C272" s="4"/>
      <c r="D272" s="4"/>
      <c r="E272" s="4"/>
      <c r="F272" s="4"/>
      <c r="G272" s="6"/>
      <c r="H272" s="4"/>
      <c r="I272" s="4"/>
      <c r="J272" s="4"/>
      <c r="K272" s="4" t="str">
        <f t="shared" ca="1" si="9"/>
        <v>Sin fecha</v>
      </c>
      <c r="L272" s="8"/>
      <c r="M272" s="8"/>
      <c r="N272" s="4"/>
      <c r="O272" s="4"/>
      <c r="P272" s="4"/>
      <c r="Q272" s="4"/>
      <c r="R272" s="4"/>
      <c r="S272" s="4"/>
      <c r="T272" s="4"/>
      <c r="U272" s="4"/>
      <c r="V272" s="4"/>
      <c r="W272" s="4"/>
      <c r="X272" s="4"/>
      <c r="Y272" s="4"/>
      <c r="Z272" s="4"/>
      <c r="AA272" s="4"/>
      <c r="AB272" s="6"/>
      <c r="AC272" s="4"/>
      <c r="AD272" s="4"/>
    </row>
    <row r="273" spans="1:30">
      <c r="A273" s="4" t="str">
        <f t="shared" si="10"/>
        <v/>
      </c>
      <c r="B273" s="4"/>
      <c r="C273" s="4"/>
      <c r="D273" s="4"/>
      <c r="E273" s="4"/>
      <c r="F273" s="4"/>
      <c r="G273" s="6"/>
      <c r="H273" s="4"/>
      <c r="I273" s="4"/>
      <c r="J273" s="4"/>
      <c r="K273" s="4" t="str">
        <f t="shared" ca="1" si="9"/>
        <v>Sin fecha</v>
      </c>
      <c r="L273" s="8"/>
      <c r="M273" s="8"/>
      <c r="N273" s="4"/>
      <c r="O273" s="4"/>
      <c r="P273" s="4"/>
      <c r="Q273" s="4"/>
      <c r="R273" s="4"/>
      <c r="S273" s="4"/>
      <c r="T273" s="4"/>
      <c r="U273" s="4"/>
      <c r="V273" s="4"/>
      <c r="W273" s="4"/>
      <c r="X273" s="4"/>
      <c r="Y273" s="4"/>
      <c r="Z273" s="4"/>
      <c r="AA273" s="4"/>
      <c r="AB273" s="6"/>
      <c r="AC273" s="4"/>
      <c r="AD273" s="4"/>
    </row>
    <row r="274" spans="1:30">
      <c r="A274" s="4" t="str">
        <f t="shared" si="10"/>
        <v/>
      </c>
      <c r="B274" s="4"/>
      <c r="C274" s="4"/>
      <c r="D274" s="4"/>
      <c r="E274" s="4"/>
      <c r="F274" s="4"/>
      <c r="G274" s="6"/>
      <c r="H274" s="4"/>
      <c r="I274" s="4"/>
      <c r="J274" s="4"/>
      <c r="K274" s="4" t="str">
        <f t="shared" ca="1" si="9"/>
        <v>Sin fecha</v>
      </c>
      <c r="L274" s="8"/>
      <c r="M274" s="8"/>
      <c r="N274" s="4"/>
      <c r="O274" s="4"/>
      <c r="P274" s="4"/>
      <c r="Q274" s="4"/>
      <c r="R274" s="4"/>
      <c r="S274" s="4"/>
      <c r="T274" s="4"/>
      <c r="U274" s="4"/>
      <c r="V274" s="4"/>
      <c r="W274" s="4"/>
      <c r="X274" s="4"/>
      <c r="Y274" s="4"/>
      <c r="Z274" s="4"/>
      <c r="AA274" s="4"/>
      <c r="AB274" s="6"/>
      <c r="AC274" s="4"/>
      <c r="AD274" s="4"/>
    </row>
    <row r="275" spans="1:30">
      <c r="A275" s="4" t="str">
        <f t="shared" si="10"/>
        <v/>
      </c>
      <c r="B275" s="4"/>
      <c r="C275" s="4"/>
      <c r="D275" s="4"/>
      <c r="E275" s="4"/>
      <c r="F275" s="4"/>
      <c r="G275" s="6"/>
      <c r="H275" s="4"/>
      <c r="I275" s="4"/>
      <c r="J275" s="4"/>
      <c r="K275" s="4" t="str">
        <f t="shared" ca="1" si="9"/>
        <v>Sin fecha</v>
      </c>
      <c r="L275" s="8"/>
      <c r="M275" s="8"/>
      <c r="N275" s="4"/>
      <c r="O275" s="4"/>
      <c r="P275" s="4"/>
      <c r="Q275" s="4"/>
      <c r="R275" s="4"/>
      <c r="S275" s="4"/>
      <c r="T275" s="4"/>
      <c r="U275" s="4"/>
      <c r="V275" s="4"/>
      <c r="W275" s="4"/>
      <c r="X275" s="4"/>
      <c r="Y275" s="4"/>
      <c r="Z275" s="4"/>
      <c r="AA275" s="4"/>
      <c r="AB275" s="6"/>
      <c r="AC275" s="4"/>
      <c r="AD275" s="4"/>
    </row>
    <row r="276" spans="1:30">
      <c r="A276" s="4" t="str">
        <f t="shared" si="10"/>
        <v/>
      </c>
      <c r="B276" s="4"/>
      <c r="C276" s="4"/>
      <c r="D276" s="4"/>
      <c r="E276" s="4"/>
      <c r="F276" s="4"/>
      <c r="G276" s="6"/>
      <c r="H276" s="4"/>
      <c r="I276" s="4"/>
      <c r="J276" s="4"/>
      <c r="K276" s="4" t="str">
        <f t="shared" ca="1" si="9"/>
        <v>Sin fecha</v>
      </c>
      <c r="L276" s="8"/>
      <c r="M276" s="8"/>
      <c r="N276" s="4"/>
      <c r="O276" s="4"/>
      <c r="P276" s="4"/>
      <c r="Q276" s="4"/>
      <c r="R276" s="4"/>
      <c r="S276" s="4"/>
      <c r="T276" s="4"/>
      <c r="U276" s="4"/>
      <c r="V276" s="4"/>
      <c r="W276" s="4"/>
      <c r="X276" s="4"/>
      <c r="Y276" s="4"/>
      <c r="Z276" s="4"/>
      <c r="AA276" s="4"/>
      <c r="AB276" s="6"/>
      <c r="AC276" s="4"/>
      <c r="AD276" s="4"/>
    </row>
    <row r="277" spans="1:30">
      <c r="A277" s="4" t="str">
        <f t="shared" si="10"/>
        <v/>
      </c>
      <c r="B277" s="4"/>
      <c r="C277" s="4"/>
      <c r="D277" s="4"/>
      <c r="E277" s="4"/>
      <c r="F277" s="4"/>
      <c r="G277" s="6"/>
      <c r="H277" s="4"/>
      <c r="I277" s="4"/>
      <c r="J277" s="4"/>
      <c r="K277" s="4" t="str">
        <f t="shared" ca="1" si="9"/>
        <v>Sin fecha</v>
      </c>
      <c r="L277" s="8"/>
      <c r="M277" s="8"/>
      <c r="N277" s="4"/>
      <c r="O277" s="4"/>
      <c r="P277" s="4"/>
      <c r="Q277" s="4"/>
      <c r="R277" s="4"/>
      <c r="S277" s="4"/>
      <c r="T277" s="4"/>
      <c r="U277" s="4"/>
      <c r="V277" s="4"/>
      <c r="W277" s="4"/>
      <c r="X277" s="4"/>
      <c r="Y277" s="4"/>
      <c r="Z277" s="4"/>
      <c r="AA277" s="4"/>
      <c r="AB277" s="6"/>
      <c r="AC277" s="4"/>
      <c r="AD277" s="4"/>
    </row>
    <row r="278" spans="1:30">
      <c r="A278" s="4" t="str">
        <f t="shared" si="10"/>
        <v/>
      </c>
      <c r="B278" s="4"/>
      <c r="C278" s="4"/>
      <c r="D278" s="4"/>
      <c r="E278" s="4"/>
      <c r="F278" s="4"/>
      <c r="G278" s="6"/>
      <c r="H278" s="4"/>
      <c r="I278" s="4"/>
      <c r="J278" s="4"/>
      <c r="K278" s="4" t="str">
        <f t="shared" ca="1" si="9"/>
        <v>Sin fecha</v>
      </c>
      <c r="L278" s="8"/>
      <c r="M278" s="8"/>
      <c r="N278" s="4"/>
      <c r="O278" s="4"/>
      <c r="P278" s="4"/>
      <c r="Q278" s="4"/>
      <c r="R278" s="4"/>
      <c r="S278" s="4"/>
      <c r="T278" s="4"/>
      <c r="U278" s="4"/>
      <c r="V278" s="4"/>
      <c r="W278" s="4"/>
      <c r="X278" s="4"/>
      <c r="Y278" s="4"/>
      <c r="Z278" s="4"/>
      <c r="AA278" s="4"/>
      <c r="AB278" s="6"/>
      <c r="AC278" s="4"/>
      <c r="AD278" s="4"/>
    </row>
    <row r="279" spans="1:30">
      <c r="A279" s="4" t="str">
        <f t="shared" si="10"/>
        <v/>
      </c>
      <c r="B279" s="4"/>
      <c r="C279" s="4"/>
      <c r="D279" s="4"/>
      <c r="E279" s="4"/>
      <c r="F279" s="4"/>
      <c r="G279" s="6"/>
      <c r="H279" s="4"/>
      <c r="I279" s="4"/>
      <c r="J279" s="4"/>
      <c r="K279" s="4" t="str">
        <f t="shared" ca="1" si="9"/>
        <v>Sin fecha</v>
      </c>
      <c r="L279" s="8"/>
      <c r="M279" s="8"/>
      <c r="N279" s="4"/>
      <c r="O279" s="4"/>
      <c r="P279" s="4"/>
      <c r="Q279" s="4"/>
      <c r="R279" s="4"/>
      <c r="S279" s="4"/>
      <c r="T279" s="4"/>
      <c r="U279" s="4"/>
      <c r="V279" s="4"/>
      <c r="W279" s="4"/>
      <c r="X279" s="4"/>
      <c r="Y279" s="4"/>
      <c r="Z279" s="4"/>
      <c r="AA279" s="4"/>
      <c r="AB279" s="6"/>
      <c r="AC279" s="4"/>
      <c r="AD279" s="4"/>
    </row>
    <row r="280" spans="1:30">
      <c r="A280" s="4" t="str">
        <f t="shared" si="10"/>
        <v/>
      </c>
      <c r="B280" s="4"/>
      <c r="C280" s="4"/>
      <c r="D280" s="4"/>
      <c r="E280" s="4"/>
      <c r="F280" s="4"/>
      <c r="G280" s="6"/>
      <c r="H280" s="4"/>
      <c r="I280" s="4"/>
      <c r="J280" s="4"/>
      <c r="K280" s="4" t="str">
        <f t="shared" ca="1" si="9"/>
        <v>Sin fecha</v>
      </c>
      <c r="L280" s="8"/>
      <c r="M280" s="8"/>
      <c r="N280" s="4"/>
      <c r="O280" s="4"/>
      <c r="P280" s="4"/>
      <c r="Q280" s="4"/>
      <c r="R280" s="4"/>
      <c r="S280" s="4"/>
      <c r="T280" s="4"/>
      <c r="U280" s="4"/>
      <c r="V280" s="4"/>
      <c r="W280" s="4"/>
      <c r="X280" s="4"/>
      <c r="Y280" s="4"/>
      <c r="Z280" s="4"/>
      <c r="AA280" s="4"/>
      <c r="AB280" s="6"/>
      <c r="AC280" s="4"/>
      <c r="AD280" s="4"/>
    </row>
    <row r="281" spans="1:30">
      <c r="A281" s="4" t="str">
        <f t="shared" si="10"/>
        <v/>
      </c>
      <c r="B281" s="4"/>
      <c r="C281" s="4"/>
      <c r="D281" s="4"/>
      <c r="E281" s="4"/>
      <c r="F281" s="4"/>
      <c r="G281" s="6"/>
      <c r="H281" s="4"/>
      <c r="I281" s="4"/>
      <c r="J281" s="4"/>
      <c r="K281" s="4" t="str">
        <f t="shared" ca="1" si="9"/>
        <v>Sin fecha</v>
      </c>
      <c r="L281" s="8"/>
      <c r="M281" s="8"/>
      <c r="N281" s="4"/>
      <c r="O281" s="4"/>
      <c r="P281" s="4"/>
      <c r="Q281" s="4"/>
      <c r="R281" s="4"/>
      <c r="S281" s="4"/>
      <c r="T281" s="4"/>
      <c r="U281" s="4"/>
      <c r="V281" s="4"/>
      <c r="W281" s="4"/>
      <c r="X281" s="4"/>
      <c r="Y281" s="4"/>
      <c r="Z281" s="4"/>
      <c r="AA281" s="4"/>
      <c r="AB281" s="6"/>
      <c r="AC281" s="4"/>
      <c r="AD281" s="4"/>
    </row>
    <row r="282" spans="1:30">
      <c r="A282" s="4" t="str">
        <f t="shared" si="10"/>
        <v/>
      </c>
      <c r="B282" s="4"/>
      <c r="C282" s="4"/>
      <c r="D282" s="4"/>
      <c r="E282" s="4"/>
      <c r="F282" s="4"/>
      <c r="G282" s="6"/>
      <c r="H282" s="4"/>
      <c r="I282" s="4"/>
      <c r="J282" s="4"/>
      <c r="K282" s="4" t="str">
        <f t="shared" ca="1" si="9"/>
        <v>Sin fecha</v>
      </c>
      <c r="L282" s="8"/>
      <c r="M282" s="8"/>
      <c r="N282" s="4"/>
      <c r="O282" s="4"/>
      <c r="P282" s="4"/>
      <c r="Q282" s="4"/>
      <c r="R282" s="4"/>
      <c r="S282" s="4"/>
      <c r="T282" s="4"/>
      <c r="U282" s="4"/>
      <c r="V282" s="4"/>
      <c r="W282" s="4"/>
      <c r="X282" s="4"/>
      <c r="Y282" s="4"/>
      <c r="Z282" s="4"/>
      <c r="AA282" s="4"/>
      <c r="AB282" s="6"/>
      <c r="AC282" s="4"/>
      <c r="AD282" s="4"/>
    </row>
    <row r="283" spans="1:30">
      <c r="A283" s="4" t="str">
        <f t="shared" si="10"/>
        <v/>
      </c>
      <c r="B283" s="4"/>
      <c r="C283" s="4"/>
      <c r="D283" s="4"/>
      <c r="E283" s="4"/>
      <c r="F283" s="4"/>
      <c r="G283" s="6"/>
      <c r="H283" s="4"/>
      <c r="I283" s="4"/>
      <c r="J283" s="4"/>
      <c r="K283" s="4" t="str">
        <f t="shared" ca="1" si="9"/>
        <v>Sin fecha</v>
      </c>
      <c r="L283" s="8"/>
      <c r="M283" s="8"/>
      <c r="N283" s="4"/>
      <c r="O283" s="4"/>
      <c r="P283" s="4"/>
      <c r="Q283" s="4"/>
      <c r="R283" s="4"/>
      <c r="S283" s="4"/>
      <c r="T283" s="4"/>
      <c r="U283" s="4"/>
      <c r="V283" s="4"/>
      <c r="W283" s="4"/>
      <c r="X283" s="4"/>
      <c r="Y283" s="4"/>
      <c r="Z283" s="4"/>
      <c r="AA283" s="4"/>
      <c r="AB283" s="6"/>
      <c r="AC283" s="4"/>
      <c r="AD283" s="4"/>
    </row>
    <row r="284" spans="1:30">
      <c r="A284" s="4" t="str">
        <f t="shared" si="10"/>
        <v/>
      </c>
      <c r="B284" s="4"/>
      <c r="C284" s="4"/>
      <c r="D284" s="4"/>
      <c r="E284" s="4"/>
      <c r="F284" s="4"/>
      <c r="G284" s="6"/>
      <c r="H284" s="4"/>
      <c r="I284" s="4"/>
      <c r="J284" s="4"/>
      <c r="K284" s="4" t="str">
        <f t="shared" ca="1" si="9"/>
        <v>Sin fecha</v>
      </c>
      <c r="L284" s="8"/>
      <c r="M284" s="8"/>
      <c r="N284" s="4"/>
      <c r="O284" s="4"/>
      <c r="P284" s="4"/>
      <c r="Q284" s="4"/>
      <c r="R284" s="4"/>
      <c r="S284" s="4"/>
      <c r="T284" s="4"/>
      <c r="U284" s="4"/>
      <c r="V284" s="4"/>
      <c r="W284" s="4"/>
      <c r="X284" s="4"/>
      <c r="Y284" s="4"/>
      <c r="Z284" s="4"/>
      <c r="AA284" s="4"/>
      <c r="AB284" s="6"/>
      <c r="AC284" s="4"/>
      <c r="AD284" s="4"/>
    </row>
    <row r="285" spans="1:30">
      <c r="A285" s="4" t="str">
        <f t="shared" si="10"/>
        <v/>
      </c>
      <c r="B285" s="4"/>
      <c r="C285" s="4"/>
      <c r="D285" s="4"/>
      <c r="E285" s="4"/>
      <c r="F285" s="4"/>
      <c r="G285" s="6"/>
      <c r="H285" s="4"/>
      <c r="I285" s="4"/>
      <c r="J285" s="4"/>
      <c r="K285" s="4" t="str">
        <f t="shared" ca="1" si="9"/>
        <v>Sin fecha</v>
      </c>
      <c r="L285" s="8"/>
      <c r="M285" s="8"/>
      <c r="N285" s="4"/>
      <c r="O285" s="4"/>
      <c r="P285" s="4"/>
      <c r="Q285" s="4"/>
      <c r="R285" s="4"/>
      <c r="S285" s="4"/>
      <c r="T285" s="4"/>
      <c r="U285" s="4"/>
      <c r="V285" s="4"/>
      <c r="W285" s="4"/>
      <c r="X285" s="4"/>
      <c r="Y285" s="4"/>
      <c r="Z285" s="4"/>
      <c r="AA285" s="4"/>
      <c r="AB285" s="6"/>
      <c r="AC285" s="4"/>
      <c r="AD285" s="4"/>
    </row>
    <row r="286" spans="1:30">
      <c r="A286" s="4" t="str">
        <f t="shared" si="10"/>
        <v/>
      </c>
      <c r="B286" s="4"/>
      <c r="C286" s="4"/>
      <c r="D286" s="4"/>
      <c r="E286" s="4"/>
      <c r="F286" s="4"/>
      <c r="G286" s="6"/>
      <c r="H286" s="4"/>
      <c r="I286" s="4"/>
      <c r="J286" s="4"/>
      <c r="K286" s="4" t="str">
        <f t="shared" ca="1" si="9"/>
        <v>Sin fecha</v>
      </c>
      <c r="L286" s="8"/>
      <c r="M286" s="8"/>
      <c r="N286" s="4"/>
      <c r="O286" s="4"/>
      <c r="P286" s="4"/>
      <c r="Q286" s="4"/>
      <c r="R286" s="4"/>
      <c r="S286" s="4"/>
      <c r="T286" s="4"/>
      <c r="U286" s="4"/>
      <c r="V286" s="4"/>
      <c r="W286" s="4"/>
      <c r="X286" s="4"/>
      <c r="Y286" s="4"/>
      <c r="Z286" s="4"/>
      <c r="AA286" s="4"/>
      <c r="AB286" s="6"/>
      <c r="AC286" s="4"/>
      <c r="AD286" s="4"/>
    </row>
    <row r="287" spans="1:30">
      <c r="A287" s="4" t="str">
        <f t="shared" si="10"/>
        <v/>
      </c>
      <c r="B287" s="4"/>
      <c r="C287" s="4"/>
      <c r="D287" s="4"/>
      <c r="E287" s="4"/>
      <c r="F287" s="4"/>
      <c r="G287" s="6"/>
      <c r="H287" s="4"/>
      <c r="I287" s="4"/>
      <c r="J287" s="4"/>
      <c r="K287" s="4" t="str">
        <f t="shared" ca="1" si="9"/>
        <v>Sin fecha</v>
      </c>
      <c r="L287" s="8"/>
      <c r="M287" s="8"/>
      <c r="N287" s="4"/>
      <c r="O287" s="4"/>
      <c r="P287" s="4"/>
      <c r="Q287" s="4"/>
      <c r="R287" s="4"/>
      <c r="S287" s="4"/>
      <c r="T287" s="4"/>
      <c r="U287" s="4"/>
      <c r="V287" s="4"/>
      <c r="W287" s="4"/>
      <c r="X287" s="4"/>
      <c r="Y287" s="4"/>
      <c r="Z287" s="4"/>
      <c r="AA287" s="4"/>
      <c r="AB287" s="6"/>
      <c r="AC287" s="4"/>
      <c r="AD287" s="4"/>
    </row>
    <row r="288" spans="1:30">
      <c r="A288" s="4" t="str">
        <f t="shared" si="10"/>
        <v/>
      </c>
      <c r="B288" s="4"/>
      <c r="C288" s="4"/>
      <c r="D288" s="4"/>
      <c r="E288" s="4"/>
      <c r="F288" s="4"/>
      <c r="G288" s="6"/>
      <c r="H288" s="4"/>
      <c r="I288" s="4"/>
      <c r="J288" s="4"/>
      <c r="K288" s="4" t="str">
        <f t="shared" ca="1" si="9"/>
        <v>Sin fecha</v>
      </c>
      <c r="L288" s="8"/>
      <c r="M288" s="8"/>
      <c r="N288" s="4"/>
      <c r="O288" s="4"/>
      <c r="P288" s="4"/>
      <c r="Q288" s="4"/>
      <c r="R288" s="4"/>
      <c r="S288" s="4"/>
      <c r="T288" s="4"/>
      <c r="U288" s="4"/>
      <c r="V288" s="4"/>
      <c r="W288" s="4"/>
      <c r="X288" s="4"/>
      <c r="Y288" s="4"/>
      <c r="Z288" s="4"/>
      <c r="AA288" s="4"/>
      <c r="AB288" s="6"/>
      <c r="AC288" s="4"/>
      <c r="AD288" s="4"/>
    </row>
    <row r="289" spans="1:30">
      <c r="A289" s="4" t="str">
        <f t="shared" si="10"/>
        <v/>
      </c>
      <c r="B289" s="4"/>
      <c r="C289" s="4"/>
      <c r="D289" s="4"/>
      <c r="E289" s="4"/>
      <c r="F289" s="4"/>
      <c r="G289" s="6"/>
      <c r="H289" s="4"/>
      <c r="I289" s="4"/>
      <c r="J289" s="4"/>
      <c r="K289" s="4" t="str">
        <f t="shared" ca="1" si="9"/>
        <v>Sin fecha</v>
      </c>
      <c r="L289" s="8"/>
      <c r="M289" s="8"/>
      <c r="N289" s="4"/>
      <c r="O289" s="4"/>
      <c r="P289" s="4"/>
      <c r="Q289" s="4"/>
      <c r="R289" s="4"/>
      <c r="S289" s="4"/>
      <c r="T289" s="4"/>
      <c r="U289" s="4"/>
      <c r="V289" s="4"/>
      <c r="W289" s="4"/>
      <c r="X289" s="4"/>
      <c r="Y289" s="4"/>
      <c r="Z289" s="4"/>
      <c r="AA289" s="4"/>
      <c r="AB289" s="6"/>
      <c r="AC289" s="4"/>
      <c r="AD289" s="4"/>
    </row>
    <row r="290" spans="1:30">
      <c r="A290" s="4" t="str">
        <f t="shared" si="10"/>
        <v/>
      </c>
      <c r="B290" s="4"/>
      <c r="C290" s="4"/>
      <c r="D290" s="4"/>
      <c r="E290" s="4"/>
      <c r="F290" s="4"/>
      <c r="G290" s="6"/>
      <c r="H290" s="4"/>
      <c r="I290" s="4"/>
      <c r="J290" s="4"/>
      <c r="K290" s="4" t="str">
        <f t="shared" ca="1" si="9"/>
        <v>Sin fecha</v>
      </c>
      <c r="L290" s="8"/>
      <c r="M290" s="8"/>
      <c r="N290" s="4"/>
      <c r="O290" s="4"/>
      <c r="P290" s="4"/>
      <c r="Q290" s="4"/>
      <c r="R290" s="4"/>
      <c r="S290" s="4"/>
      <c r="T290" s="4"/>
      <c r="U290" s="4"/>
      <c r="V290" s="4"/>
      <c r="W290" s="4"/>
      <c r="X290" s="4"/>
      <c r="Y290" s="4"/>
      <c r="Z290" s="4"/>
      <c r="AA290" s="4"/>
      <c r="AB290" s="6"/>
      <c r="AC290" s="4"/>
      <c r="AD290" s="4"/>
    </row>
    <row r="291" spans="1:30">
      <c r="A291" s="4" t="str">
        <f t="shared" si="10"/>
        <v/>
      </c>
      <c r="B291" s="4"/>
      <c r="C291" s="4"/>
      <c r="D291" s="4"/>
      <c r="E291" s="4"/>
      <c r="F291" s="4"/>
      <c r="G291" s="6"/>
      <c r="H291" s="4"/>
      <c r="I291" s="4"/>
      <c r="J291" s="4"/>
      <c r="K291" s="4" t="str">
        <f t="shared" ca="1" si="9"/>
        <v>Sin fecha</v>
      </c>
      <c r="L291" s="8"/>
      <c r="M291" s="8"/>
      <c r="N291" s="4"/>
      <c r="O291" s="4"/>
      <c r="P291" s="4"/>
      <c r="Q291" s="4"/>
      <c r="R291" s="4"/>
      <c r="S291" s="4"/>
      <c r="T291" s="4"/>
      <c r="U291" s="4"/>
      <c r="V291" s="4"/>
      <c r="W291" s="4"/>
      <c r="X291" s="4"/>
      <c r="Y291" s="4"/>
      <c r="Z291" s="4"/>
      <c r="AA291" s="4"/>
      <c r="AB291" s="6"/>
      <c r="AC291" s="4"/>
      <c r="AD291" s="4"/>
    </row>
    <row r="292" spans="1:30">
      <c r="A292" s="4" t="str">
        <f t="shared" si="10"/>
        <v/>
      </c>
      <c r="B292" s="4"/>
      <c r="C292" s="4"/>
      <c r="D292" s="4"/>
      <c r="E292" s="4"/>
      <c r="F292" s="4"/>
      <c r="G292" s="6"/>
      <c r="H292" s="4"/>
      <c r="I292" s="4"/>
      <c r="J292" s="4"/>
      <c r="K292" s="4" t="str">
        <f t="shared" ca="1" si="9"/>
        <v>Sin fecha</v>
      </c>
      <c r="L292" s="8"/>
      <c r="M292" s="8"/>
      <c r="N292" s="4"/>
      <c r="O292" s="4"/>
      <c r="P292" s="4"/>
      <c r="Q292" s="4"/>
      <c r="R292" s="4"/>
      <c r="S292" s="4"/>
      <c r="T292" s="4"/>
      <c r="U292" s="4"/>
      <c r="V292" s="4"/>
      <c r="W292" s="4"/>
      <c r="X292" s="4"/>
      <c r="Y292" s="4"/>
      <c r="Z292" s="4"/>
      <c r="AA292" s="4"/>
      <c r="AB292" s="6"/>
      <c r="AC292" s="4"/>
      <c r="AD292" s="4"/>
    </row>
    <row r="293" spans="1:30">
      <c r="A293" s="4" t="str">
        <f t="shared" si="10"/>
        <v/>
      </c>
      <c r="B293" s="4"/>
      <c r="C293" s="4"/>
      <c r="D293" s="4"/>
      <c r="E293" s="4"/>
      <c r="F293" s="4"/>
      <c r="G293" s="6"/>
      <c r="H293" s="4"/>
      <c r="I293" s="4"/>
      <c r="J293" s="4"/>
      <c r="K293" s="4" t="str">
        <f t="shared" ca="1" si="9"/>
        <v>Sin fecha</v>
      </c>
      <c r="L293" s="8"/>
      <c r="M293" s="8"/>
      <c r="N293" s="4"/>
      <c r="O293" s="4"/>
      <c r="P293" s="4"/>
      <c r="Q293" s="4"/>
      <c r="R293" s="4"/>
      <c r="S293" s="4"/>
      <c r="T293" s="4"/>
      <c r="U293" s="4"/>
      <c r="V293" s="4"/>
      <c r="W293" s="4"/>
      <c r="X293" s="4"/>
      <c r="Y293" s="4"/>
      <c r="Z293" s="4"/>
      <c r="AA293" s="4"/>
      <c r="AB293" s="6"/>
      <c r="AC293" s="4"/>
      <c r="AD293" s="4"/>
    </row>
    <row r="294" spans="1:30">
      <c r="A294" s="4" t="str">
        <f t="shared" si="10"/>
        <v/>
      </c>
      <c r="B294" s="4"/>
      <c r="C294" s="4"/>
      <c r="D294" s="4"/>
      <c r="E294" s="4"/>
      <c r="F294" s="4"/>
      <c r="G294" s="6"/>
      <c r="H294" s="4"/>
      <c r="I294" s="4"/>
      <c r="J294" s="4"/>
      <c r="K294" s="4" t="str">
        <f t="shared" ca="1" si="9"/>
        <v>Sin fecha</v>
      </c>
      <c r="L294" s="8"/>
      <c r="M294" s="8"/>
      <c r="N294" s="4"/>
      <c r="O294" s="4"/>
      <c r="P294" s="4"/>
      <c r="Q294" s="4"/>
      <c r="R294" s="4"/>
      <c r="S294" s="4"/>
      <c r="T294" s="4"/>
      <c r="U294" s="4"/>
      <c r="V294" s="4"/>
      <c r="W294" s="4"/>
      <c r="X294" s="4"/>
      <c r="Y294" s="4"/>
      <c r="Z294" s="4"/>
      <c r="AA294" s="4"/>
      <c r="AB294" s="6"/>
      <c r="AC294" s="4"/>
      <c r="AD294" s="4"/>
    </row>
    <row r="295" spans="1:30">
      <c r="A295" s="4" t="str">
        <f t="shared" si="10"/>
        <v/>
      </c>
      <c r="B295" s="4"/>
      <c r="C295" s="4"/>
      <c r="D295" s="4"/>
      <c r="E295" s="4"/>
      <c r="F295" s="4"/>
      <c r="G295" s="6"/>
      <c r="H295" s="4"/>
      <c r="I295" s="4"/>
      <c r="J295" s="4"/>
      <c r="K295" s="4" t="str">
        <f t="shared" ca="1" si="9"/>
        <v>Sin fecha</v>
      </c>
      <c r="L295" s="8"/>
      <c r="M295" s="8"/>
      <c r="N295" s="4"/>
      <c r="O295" s="4"/>
      <c r="P295" s="4"/>
      <c r="Q295" s="4"/>
      <c r="R295" s="4"/>
      <c r="S295" s="4"/>
      <c r="T295" s="4"/>
      <c r="U295" s="4"/>
      <c r="V295" s="4"/>
      <c r="W295" s="4"/>
      <c r="X295" s="4"/>
      <c r="Y295" s="4"/>
      <c r="Z295" s="4"/>
      <c r="AA295" s="4"/>
      <c r="AB295" s="6"/>
      <c r="AC295" s="4"/>
      <c r="AD295" s="4"/>
    </row>
    <row r="296" spans="1:30">
      <c r="A296" s="4" t="str">
        <f t="shared" si="10"/>
        <v/>
      </c>
      <c r="B296" s="4"/>
      <c r="C296" s="4"/>
      <c r="D296" s="4"/>
      <c r="E296" s="4"/>
      <c r="F296" s="4"/>
      <c r="G296" s="6"/>
      <c r="H296" s="4"/>
      <c r="I296" s="4"/>
      <c r="J296" s="4"/>
      <c r="K296" s="4" t="str">
        <f t="shared" ca="1" si="9"/>
        <v>Sin fecha</v>
      </c>
      <c r="L296" s="8"/>
      <c r="M296" s="8"/>
      <c r="N296" s="4"/>
      <c r="O296" s="4"/>
      <c r="P296" s="4"/>
      <c r="Q296" s="4"/>
      <c r="R296" s="4"/>
      <c r="S296" s="4"/>
      <c r="T296" s="4"/>
      <c r="U296" s="4"/>
      <c r="V296" s="4"/>
      <c r="W296" s="4"/>
      <c r="X296" s="4"/>
      <c r="Y296" s="4"/>
      <c r="Z296" s="4"/>
      <c r="AA296" s="4"/>
      <c r="AB296" s="6"/>
      <c r="AC296" s="4"/>
      <c r="AD296" s="4"/>
    </row>
    <row r="297" spans="1:30">
      <c r="A297" s="4" t="str">
        <f t="shared" si="10"/>
        <v/>
      </c>
      <c r="B297" s="4"/>
      <c r="C297" s="4"/>
      <c r="D297" s="4"/>
      <c r="E297" s="4"/>
      <c r="F297" s="4"/>
      <c r="G297" s="6"/>
      <c r="H297" s="4"/>
      <c r="I297" s="4"/>
      <c r="J297" s="4"/>
      <c r="K297" s="4" t="str">
        <f t="shared" ca="1" si="9"/>
        <v>Sin fecha</v>
      </c>
      <c r="L297" s="8"/>
      <c r="M297" s="8"/>
      <c r="N297" s="4"/>
      <c r="O297" s="4"/>
      <c r="P297" s="4"/>
      <c r="Q297" s="4"/>
      <c r="R297" s="4"/>
      <c r="S297" s="4"/>
      <c r="T297" s="4"/>
      <c r="U297" s="4"/>
      <c r="V297" s="4"/>
      <c r="W297" s="4"/>
      <c r="X297" s="4"/>
      <c r="Y297" s="4"/>
      <c r="Z297" s="4"/>
      <c r="AA297" s="4"/>
      <c r="AB297" s="6"/>
      <c r="AC297" s="4"/>
      <c r="AD297" s="4"/>
    </row>
    <row r="298" spans="1:30">
      <c r="A298" s="4" t="str">
        <f t="shared" si="10"/>
        <v/>
      </c>
      <c r="B298" s="4"/>
      <c r="C298" s="4"/>
      <c r="D298" s="4"/>
      <c r="E298" s="4"/>
      <c r="F298" s="4"/>
      <c r="G298" s="6"/>
      <c r="H298" s="4"/>
      <c r="I298" s="4"/>
      <c r="J298" s="4"/>
      <c r="K298" s="4" t="str">
        <f t="shared" ca="1" si="9"/>
        <v>Sin fecha</v>
      </c>
      <c r="L298" s="8"/>
      <c r="M298" s="8"/>
      <c r="N298" s="4"/>
      <c r="O298" s="4"/>
      <c r="P298" s="4"/>
      <c r="Q298" s="4"/>
      <c r="R298" s="4"/>
      <c r="S298" s="4"/>
      <c r="T298" s="4"/>
      <c r="U298" s="4"/>
      <c r="V298" s="4"/>
      <c r="W298" s="4"/>
      <c r="X298" s="4"/>
      <c r="Y298" s="4"/>
      <c r="Z298" s="4"/>
      <c r="AA298" s="4"/>
      <c r="AB298" s="6"/>
      <c r="AC298" s="4"/>
      <c r="AD298" s="4"/>
    </row>
    <row r="299" spans="1:30">
      <c r="A299" s="4" t="str">
        <f t="shared" si="10"/>
        <v/>
      </c>
      <c r="B299" s="4"/>
      <c r="C299" s="4"/>
      <c r="D299" s="4"/>
      <c r="E299" s="4"/>
      <c r="F299" s="4"/>
      <c r="G299" s="6"/>
      <c r="H299" s="4"/>
      <c r="I299" s="4"/>
      <c r="J299" s="4"/>
      <c r="K299" s="4" t="str">
        <f t="shared" ca="1" si="9"/>
        <v>Sin fecha</v>
      </c>
      <c r="L299" s="8"/>
      <c r="M299" s="8"/>
      <c r="N299" s="4"/>
      <c r="O299" s="4"/>
      <c r="P299" s="4"/>
      <c r="Q299" s="4"/>
      <c r="R299" s="4"/>
      <c r="S299" s="4"/>
      <c r="T299" s="4"/>
      <c r="U299" s="4"/>
      <c r="V299" s="4"/>
      <c r="W299" s="4"/>
      <c r="X299" s="4"/>
      <c r="Y299" s="4"/>
      <c r="Z299" s="4"/>
      <c r="AA299" s="4"/>
      <c r="AB299" s="6"/>
      <c r="AC299" s="4"/>
      <c r="AD299" s="4"/>
    </row>
    <row r="300" spans="1:30">
      <c r="A300" s="4" t="str">
        <f t="shared" si="10"/>
        <v/>
      </c>
      <c r="B300" s="4"/>
      <c r="C300" s="4"/>
      <c r="D300" s="4"/>
      <c r="E300" s="4"/>
      <c r="F300" s="4"/>
      <c r="G300" s="6"/>
      <c r="H300" s="4"/>
      <c r="I300" s="4"/>
      <c r="J300" s="4"/>
      <c r="K300" s="4" t="str">
        <f t="shared" ca="1" si="9"/>
        <v>Sin fecha</v>
      </c>
      <c r="L300" s="8"/>
      <c r="M300" s="8"/>
      <c r="N300" s="4"/>
      <c r="O300" s="4"/>
      <c r="P300" s="4"/>
      <c r="Q300" s="4"/>
      <c r="R300" s="4"/>
      <c r="S300" s="4"/>
      <c r="T300" s="4"/>
      <c r="U300" s="4"/>
      <c r="V300" s="4"/>
      <c r="W300" s="4"/>
      <c r="X300" s="4"/>
      <c r="Y300" s="4"/>
      <c r="Z300" s="4"/>
      <c r="AA300" s="4"/>
      <c r="AB300" s="6"/>
      <c r="AC300" s="4"/>
      <c r="AD300" s="4"/>
    </row>
    <row r="301" spans="1:30">
      <c r="A301" s="4" t="str">
        <f t="shared" si="10"/>
        <v/>
      </c>
      <c r="B301" s="4"/>
      <c r="C301" s="4"/>
      <c r="D301" s="4"/>
      <c r="E301" s="4"/>
      <c r="F301" s="4"/>
      <c r="G301" s="6"/>
      <c r="H301" s="4"/>
      <c r="I301" s="4"/>
      <c r="J301" s="4"/>
      <c r="K301" s="4" t="str">
        <f t="shared" ca="1" si="9"/>
        <v>Sin fecha</v>
      </c>
      <c r="L301" s="8"/>
      <c r="M301" s="8"/>
      <c r="N301" s="4"/>
      <c r="O301" s="4"/>
      <c r="P301" s="4"/>
      <c r="Q301" s="4"/>
      <c r="R301" s="4"/>
      <c r="S301" s="4"/>
      <c r="T301" s="4"/>
      <c r="U301" s="4"/>
      <c r="V301" s="4"/>
      <c r="W301" s="4"/>
      <c r="X301" s="4"/>
      <c r="Y301" s="4"/>
      <c r="Z301" s="4"/>
      <c r="AA301" s="4"/>
      <c r="AB301" s="6"/>
      <c r="AC301" s="4"/>
      <c r="AD301" s="4"/>
    </row>
    <row r="302" spans="1:30">
      <c r="A302" s="4" t="str">
        <f t="shared" si="10"/>
        <v/>
      </c>
      <c r="B302" s="4"/>
      <c r="C302" s="4"/>
      <c r="D302" s="4"/>
      <c r="E302" s="4"/>
      <c r="F302" s="4"/>
      <c r="G302" s="6"/>
      <c r="H302" s="4"/>
      <c r="I302" s="4"/>
      <c r="J302" s="4"/>
      <c r="K302" s="4" t="str">
        <f t="shared" ca="1" si="9"/>
        <v>Sin fecha</v>
      </c>
      <c r="L302" s="8"/>
      <c r="M302" s="8"/>
      <c r="N302" s="4"/>
      <c r="O302" s="4"/>
      <c r="P302" s="4"/>
      <c r="Q302" s="4"/>
      <c r="R302" s="4"/>
      <c r="S302" s="4"/>
      <c r="T302" s="4"/>
      <c r="U302" s="4"/>
      <c r="V302" s="4"/>
      <c r="W302" s="4"/>
      <c r="X302" s="4"/>
      <c r="Y302" s="4"/>
      <c r="Z302" s="4"/>
      <c r="AA302" s="4"/>
      <c r="AB302" s="6"/>
      <c r="AC302" s="4"/>
      <c r="AD302" s="4"/>
    </row>
    <row r="303" spans="1:30">
      <c r="A303" s="4" t="str">
        <f t="shared" si="10"/>
        <v/>
      </c>
      <c r="B303" s="4"/>
      <c r="C303" s="4"/>
      <c r="D303" s="4"/>
      <c r="E303" s="4"/>
      <c r="F303" s="4"/>
      <c r="G303" s="6"/>
      <c r="H303" s="4"/>
      <c r="I303" s="4"/>
      <c r="J303" s="4"/>
      <c r="K303" s="4" t="str">
        <f t="shared" ca="1" si="9"/>
        <v>Sin fecha</v>
      </c>
      <c r="L303" s="8"/>
      <c r="M303" s="8"/>
      <c r="N303" s="4"/>
      <c r="O303" s="4"/>
      <c r="P303" s="4"/>
      <c r="Q303" s="4"/>
      <c r="R303" s="4"/>
      <c r="S303" s="4"/>
      <c r="T303" s="4"/>
      <c r="U303" s="4"/>
      <c r="V303" s="4"/>
      <c r="W303" s="4"/>
      <c r="X303" s="4"/>
      <c r="Y303" s="4"/>
      <c r="Z303" s="4"/>
      <c r="AA303" s="4"/>
      <c r="AB303" s="6"/>
      <c r="AC303" s="4"/>
      <c r="AD303" s="4"/>
    </row>
    <row r="304" spans="1:30">
      <c r="A304" s="4" t="str">
        <f t="shared" si="10"/>
        <v/>
      </c>
      <c r="B304" s="4"/>
      <c r="C304" s="4"/>
      <c r="D304" s="4"/>
      <c r="E304" s="4"/>
      <c r="F304" s="4"/>
      <c r="G304" s="6"/>
      <c r="H304" s="4"/>
      <c r="I304" s="4"/>
      <c r="J304" s="4"/>
      <c r="K304" s="4" t="str">
        <f t="shared" ca="1" si="9"/>
        <v>Sin fecha</v>
      </c>
      <c r="L304" s="8"/>
      <c r="M304" s="8"/>
      <c r="N304" s="4"/>
      <c r="O304" s="4"/>
      <c r="P304" s="4"/>
      <c r="Q304" s="4"/>
      <c r="R304" s="4"/>
      <c r="S304" s="4"/>
      <c r="T304" s="4"/>
      <c r="U304" s="4"/>
      <c r="V304" s="4"/>
      <c r="W304" s="4"/>
      <c r="X304" s="4"/>
      <c r="Y304" s="4"/>
      <c r="Z304" s="4"/>
      <c r="AA304" s="4"/>
      <c r="AB304" s="6"/>
      <c r="AC304" s="4"/>
      <c r="AD304" s="4"/>
    </row>
    <row r="305" spans="1:30">
      <c r="A305" s="4" t="str">
        <f t="shared" si="10"/>
        <v/>
      </c>
      <c r="B305" s="4"/>
      <c r="C305" s="4"/>
      <c r="D305" s="4"/>
      <c r="E305" s="4"/>
      <c r="F305" s="4"/>
      <c r="G305" s="6"/>
      <c r="H305" s="4"/>
      <c r="I305" s="4"/>
      <c r="J305" s="4"/>
      <c r="K305" s="4" t="str">
        <f t="shared" ca="1" si="9"/>
        <v>Sin fecha</v>
      </c>
      <c r="L305" s="8"/>
      <c r="M305" s="8"/>
      <c r="N305" s="4"/>
      <c r="O305" s="4"/>
      <c r="P305" s="4"/>
      <c r="Q305" s="4"/>
      <c r="R305" s="4"/>
      <c r="S305" s="4"/>
      <c r="T305" s="4"/>
      <c r="U305" s="4"/>
      <c r="V305" s="4"/>
      <c r="W305" s="4"/>
      <c r="X305" s="4"/>
      <c r="Y305" s="4"/>
      <c r="Z305" s="4"/>
      <c r="AA305" s="4"/>
      <c r="AB305" s="6"/>
      <c r="AC305" s="4"/>
      <c r="AD305" s="4"/>
    </row>
    <row r="306" spans="1:30">
      <c r="A306" s="4" t="str">
        <f t="shared" si="10"/>
        <v/>
      </c>
      <c r="B306" s="4"/>
      <c r="C306" s="4"/>
      <c r="D306" s="4"/>
      <c r="E306" s="4"/>
      <c r="F306" s="4"/>
      <c r="G306" s="6"/>
      <c r="H306" s="4"/>
      <c r="I306" s="4"/>
      <c r="J306" s="4"/>
      <c r="K306" s="4" t="str">
        <f t="shared" ca="1" si="9"/>
        <v>Sin fecha</v>
      </c>
      <c r="L306" s="8"/>
      <c r="M306" s="8"/>
      <c r="N306" s="4"/>
      <c r="O306" s="4"/>
      <c r="P306" s="4"/>
      <c r="Q306" s="4"/>
      <c r="R306" s="4"/>
      <c r="S306" s="4"/>
      <c r="T306" s="4"/>
      <c r="U306" s="4"/>
      <c r="V306" s="4"/>
      <c r="W306" s="4"/>
      <c r="X306" s="4"/>
      <c r="Y306" s="4"/>
      <c r="Z306" s="4"/>
      <c r="AA306" s="4"/>
      <c r="AB306" s="6"/>
      <c r="AC306" s="4"/>
      <c r="AD306" s="4"/>
    </row>
    <row r="307" spans="1:30">
      <c r="A307" s="4" t="str">
        <f t="shared" si="10"/>
        <v/>
      </c>
      <c r="B307" s="4"/>
      <c r="C307" s="4"/>
      <c r="D307" s="4"/>
      <c r="E307" s="4"/>
      <c r="F307" s="4"/>
      <c r="G307" s="6"/>
      <c r="H307" s="4"/>
      <c r="I307" s="4"/>
      <c r="J307" s="4"/>
      <c r="K307" s="4" t="str">
        <f t="shared" ca="1" si="9"/>
        <v>Sin fecha</v>
      </c>
      <c r="L307" s="8"/>
      <c r="M307" s="8"/>
      <c r="N307" s="4"/>
      <c r="O307" s="4"/>
      <c r="P307" s="4"/>
      <c r="Q307" s="4"/>
      <c r="R307" s="4"/>
      <c r="S307" s="4"/>
      <c r="T307" s="4"/>
      <c r="U307" s="4"/>
      <c r="V307" s="4"/>
      <c r="W307" s="4"/>
      <c r="X307" s="4"/>
      <c r="Y307" s="4"/>
      <c r="Z307" s="4"/>
      <c r="AA307" s="4"/>
      <c r="AB307" s="6"/>
      <c r="AC307" s="4"/>
      <c r="AD307" s="4"/>
    </row>
    <row r="308" spans="1:30">
      <c r="A308" s="4" t="str">
        <f t="shared" si="10"/>
        <v/>
      </c>
      <c r="B308" s="4"/>
      <c r="C308" s="4"/>
      <c r="D308" s="4"/>
      <c r="E308" s="4"/>
      <c r="F308" s="4"/>
      <c r="G308" s="6"/>
      <c r="H308" s="4"/>
      <c r="I308" s="4"/>
      <c r="J308" s="4"/>
      <c r="K308" s="4" t="str">
        <f t="shared" ca="1" si="9"/>
        <v>Sin fecha</v>
      </c>
      <c r="L308" s="8"/>
      <c r="M308" s="8"/>
      <c r="N308" s="4"/>
      <c r="O308" s="4"/>
      <c r="P308" s="4"/>
      <c r="Q308" s="4"/>
      <c r="R308" s="4"/>
      <c r="S308" s="4"/>
      <c r="T308" s="4"/>
      <c r="U308" s="4"/>
      <c r="V308" s="4"/>
      <c r="W308" s="4"/>
      <c r="X308" s="4"/>
      <c r="Y308" s="4"/>
      <c r="Z308" s="4"/>
      <c r="AA308" s="4"/>
      <c r="AB308" s="6"/>
      <c r="AC308" s="4"/>
      <c r="AD308" s="4"/>
    </row>
    <row r="309" spans="1:30">
      <c r="A309" s="4" t="str">
        <f t="shared" si="10"/>
        <v/>
      </c>
      <c r="B309" s="4"/>
      <c r="C309" s="4"/>
      <c r="D309" s="4"/>
      <c r="E309" s="4"/>
      <c r="F309" s="4"/>
      <c r="G309" s="6"/>
      <c r="H309" s="4"/>
      <c r="I309" s="4"/>
      <c r="J309" s="4"/>
      <c r="K309" s="4" t="str">
        <f t="shared" ca="1" si="9"/>
        <v>Sin fecha</v>
      </c>
      <c r="L309" s="8"/>
      <c r="M309" s="8"/>
      <c r="N309" s="4"/>
      <c r="O309" s="4"/>
      <c r="P309" s="4"/>
      <c r="Q309" s="4"/>
      <c r="R309" s="4"/>
      <c r="S309" s="4"/>
      <c r="T309" s="4"/>
      <c r="U309" s="4"/>
      <c r="V309" s="4"/>
      <c r="W309" s="4"/>
      <c r="X309" s="4"/>
      <c r="Y309" s="4"/>
      <c r="Z309" s="4"/>
      <c r="AA309" s="4"/>
      <c r="AB309" s="6"/>
      <c r="AC309" s="4"/>
      <c r="AD309" s="4"/>
    </row>
    <row r="310" spans="1:30">
      <c r="A310" s="4" t="str">
        <f t="shared" si="10"/>
        <v/>
      </c>
      <c r="B310" s="4"/>
      <c r="C310" s="4"/>
      <c r="D310" s="4"/>
      <c r="E310" s="4"/>
      <c r="F310" s="4"/>
      <c r="G310" s="6"/>
      <c r="H310" s="4"/>
      <c r="I310" s="4"/>
      <c r="J310" s="4"/>
      <c r="K310" s="4" t="str">
        <f t="shared" ca="1" si="9"/>
        <v>Sin fecha</v>
      </c>
      <c r="L310" s="8"/>
      <c r="M310" s="8"/>
      <c r="N310" s="4"/>
      <c r="O310" s="4"/>
      <c r="P310" s="4"/>
      <c r="Q310" s="4"/>
      <c r="R310" s="4"/>
      <c r="S310" s="4"/>
      <c r="T310" s="4"/>
      <c r="U310" s="4"/>
      <c r="V310" s="4"/>
      <c r="W310" s="4"/>
      <c r="X310" s="4"/>
      <c r="Y310" s="4"/>
      <c r="Z310" s="4"/>
      <c r="AA310" s="4"/>
      <c r="AB310" s="6"/>
      <c r="AC310" s="4"/>
      <c r="AD310" s="4"/>
    </row>
    <row r="311" spans="1:30">
      <c r="A311" s="4" t="str">
        <f t="shared" si="10"/>
        <v/>
      </c>
      <c r="B311" s="4"/>
      <c r="C311" s="4"/>
      <c r="D311" s="4"/>
      <c r="E311" s="4"/>
      <c r="F311" s="4"/>
      <c r="G311" s="6"/>
      <c r="H311" s="4"/>
      <c r="I311" s="4"/>
      <c r="J311" s="4"/>
      <c r="K311" s="4" t="str">
        <f t="shared" ca="1" si="9"/>
        <v>Sin fecha</v>
      </c>
      <c r="L311" s="8"/>
      <c r="M311" s="8"/>
      <c r="N311" s="4"/>
      <c r="O311" s="4"/>
      <c r="P311" s="4"/>
      <c r="Q311" s="4"/>
      <c r="R311" s="4"/>
      <c r="S311" s="4"/>
      <c r="T311" s="4"/>
      <c r="U311" s="4"/>
      <c r="V311" s="4"/>
      <c r="W311" s="4"/>
      <c r="X311" s="4"/>
      <c r="Y311" s="4"/>
      <c r="Z311" s="4"/>
      <c r="AA311" s="4"/>
      <c r="AB311" s="6"/>
      <c r="AC311" s="4"/>
      <c r="AD311" s="4"/>
    </row>
    <row r="312" spans="1:30">
      <c r="A312" s="4" t="str">
        <f t="shared" si="10"/>
        <v/>
      </c>
      <c r="B312" s="4"/>
      <c r="C312" s="4"/>
      <c r="D312" s="4"/>
      <c r="E312" s="4"/>
      <c r="F312" s="4"/>
      <c r="G312" s="6"/>
      <c r="H312" s="4"/>
      <c r="I312" s="4"/>
      <c r="J312" s="4"/>
      <c r="K312" s="4" t="str">
        <f t="shared" ca="1" si="9"/>
        <v>Sin fecha</v>
      </c>
      <c r="L312" s="8"/>
      <c r="M312" s="8"/>
      <c r="N312" s="4"/>
      <c r="O312" s="4"/>
      <c r="P312" s="4"/>
      <c r="Q312" s="4"/>
      <c r="R312" s="4"/>
      <c r="S312" s="4"/>
      <c r="T312" s="4"/>
      <c r="U312" s="4"/>
      <c r="V312" s="4"/>
      <c r="W312" s="4"/>
      <c r="X312" s="4"/>
      <c r="Y312" s="4"/>
      <c r="Z312" s="4"/>
      <c r="AA312" s="4"/>
      <c r="AB312" s="6"/>
      <c r="AC312" s="4"/>
      <c r="AD312" s="4"/>
    </row>
    <row r="313" spans="1:30">
      <c r="A313" s="4" t="str">
        <f t="shared" si="10"/>
        <v/>
      </c>
      <c r="B313" s="4"/>
      <c r="C313" s="4"/>
      <c r="D313" s="4"/>
      <c r="E313" s="4"/>
      <c r="F313" s="4"/>
      <c r="G313" s="6"/>
      <c r="H313" s="4"/>
      <c r="I313" s="4"/>
      <c r="J313" s="4"/>
      <c r="K313" s="4" t="str">
        <f t="shared" ca="1" si="9"/>
        <v>Sin fecha</v>
      </c>
      <c r="L313" s="8"/>
      <c r="M313" s="8"/>
      <c r="N313" s="4"/>
      <c r="O313" s="4"/>
      <c r="P313" s="4"/>
      <c r="Q313" s="4"/>
      <c r="R313" s="4"/>
      <c r="S313" s="4"/>
      <c r="T313" s="4"/>
      <c r="U313" s="4"/>
      <c r="V313" s="4"/>
      <c r="W313" s="4"/>
      <c r="X313" s="4"/>
      <c r="Y313" s="4"/>
      <c r="Z313" s="4"/>
      <c r="AA313" s="4"/>
      <c r="AB313" s="6"/>
      <c r="AC313" s="4"/>
      <c r="AD313" s="4"/>
    </row>
    <row r="314" spans="1:30">
      <c r="A314" s="4" t="str">
        <f t="shared" si="10"/>
        <v/>
      </c>
      <c r="B314" s="4"/>
      <c r="C314" s="4"/>
      <c r="D314" s="4"/>
      <c r="E314" s="4"/>
      <c r="F314" s="4"/>
      <c r="G314" s="6"/>
      <c r="H314" s="4"/>
      <c r="I314" s="4"/>
      <c r="J314" s="4"/>
      <c r="K314" s="4" t="str">
        <f t="shared" ca="1" si="9"/>
        <v>Sin fecha</v>
      </c>
      <c r="L314" s="8"/>
      <c r="M314" s="8"/>
      <c r="N314" s="4"/>
      <c r="O314" s="4"/>
      <c r="P314" s="4"/>
      <c r="Q314" s="4"/>
      <c r="R314" s="4"/>
      <c r="S314" s="4"/>
      <c r="T314" s="4"/>
      <c r="U314" s="4"/>
      <c r="V314" s="4"/>
      <c r="W314" s="4"/>
      <c r="X314" s="4"/>
      <c r="Y314" s="4"/>
      <c r="Z314" s="4"/>
      <c r="AA314" s="4"/>
      <c r="AB314" s="6"/>
      <c r="AC314" s="4"/>
      <c r="AD314" s="4"/>
    </row>
    <row r="315" spans="1:30">
      <c r="A315" s="4" t="str">
        <f t="shared" si="10"/>
        <v/>
      </c>
      <c r="B315" s="4"/>
      <c r="C315" s="4"/>
      <c r="D315" s="4"/>
      <c r="E315" s="4"/>
      <c r="F315" s="4"/>
      <c r="G315" s="6"/>
      <c r="H315" s="4"/>
      <c r="I315" s="4"/>
      <c r="J315" s="4"/>
      <c r="K315" s="4" t="str">
        <f t="shared" ca="1" si="9"/>
        <v>Sin fecha</v>
      </c>
      <c r="L315" s="8"/>
      <c r="M315" s="8"/>
      <c r="N315" s="4"/>
      <c r="O315" s="4"/>
      <c r="P315" s="4"/>
      <c r="Q315" s="4"/>
      <c r="R315" s="4"/>
      <c r="S315" s="4"/>
      <c r="T315" s="4"/>
      <c r="U315" s="4"/>
      <c r="V315" s="4"/>
      <c r="W315" s="4"/>
      <c r="X315" s="4"/>
      <c r="Y315" s="4"/>
      <c r="Z315" s="4"/>
      <c r="AA315" s="4"/>
      <c r="AB315" s="6"/>
      <c r="AC315" s="4"/>
      <c r="AD315" s="4"/>
    </row>
    <row r="316" spans="1:30">
      <c r="A316" s="4" t="str">
        <f t="shared" si="10"/>
        <v/>
      </c>
      <c r="B316" s="4"/>
      <c r="C316" s="4"/>
      <c r="D316" s="4"/>
      <c r="E316" s="4"/>
      <c r="F316" s="4"/>
      <c r="G316" s="6"/>
      <c r="H316" s="4"/>
      <c r="I316" s="4"/>
      <c r="J316" s="4"/>
      <c r="K316" s="4" t="str">
        <f t="shared" ca="1" si="9"/>
        <v>Sin fecha</v>
      </c>
      <c r="L316" s="8"/>
      <c r="M316" s="8"/>
      <c r="N316" s="4"/>
      <c r="O316" s="4"/>
      <c r="P316" s="4"/>
      <c r="Q316" s="4"/>
      <c r="R316" s="4"/>
      <c r="S316" s="4"/>
      <c r="T316" s="4"/>
      <c r="U316" s="4"/>
      <c r="V316" s="4"/>
      <c r="W316" s="4"/>
      <c r="X316" s="4"/>
      <c r="Y316" s="4"/>
      <c r="Z316" s="4"/>
      <c r="AA316" s="4"/>
      <c r="AB316" s="6"/>
      <c r="AC316" s="4"/>
      <c r="AD316" s="4"/>
    </row>
    <row r="317" spans="1:30">
      <c r="A317" s="4" t="str">
        <f t="shared" si="10"/>
        <v/>
      </c>
      <c r="B317" s="4"/>
      <c r="C317" s="4"/>
      <c r="D317" s="4"/>
      <c r="E317" s="4"/>
      <c r="F317" s="4"/>
      <c r="G317" s="6"/>
      <c r="H317" s="4"/>
      <c r="I317" s="4"/>
      <c r="J317" s="4"/>
      <c r="K317" s="4" t="str">
        <f t="shared" ca="1" si="9"/>
        <v>Sin fecha</v>
      </c>
      <c r="L317" s="8"/>
      <c r="M317" s="8"/>
      <c r="N317" s="4"/>
      <c r="O317" s="4"/>
      <c r="P317" s="4"/>
      <c r="Q317" s="4"/>
      <c r="R317" s="4"/>
      <c r="S317" s="4"/>
      <c r="T317" s="4"/>
      <c r="U317" s="4"/>
      <c r="V317" s="4"/>
      <c r="W317" s="4"/>
      <c r="X317" s="4"/>
      <c r="Y317" s="4"/>
      <c r="Z317" s="4"/>
      <c r="AA317" s="4"/>
      <c r="AB317" s="6"/>
      <c r="AC317" s="4"/>
      <c r="AD317" s="4"/>
    </row>
    <row r="318" spans="1:30">
      <c r="A318" s="4" t="str">
        <f t="shared" si="10"/>
        <v/>
      </c>
      <c r="B318" s="4"/>
      <c r="C318" s="4"/>
      <c r="D318" s="4"/>
      <c r="E318" s="4"/>
      <c r="F318" s="4"/>
      <c r="G318" s="6"/>
      <c r="H318" s="4"/>
      <c r="I318" s="4"/>
      <c r="J318" s="4"/>
      <c r="K318" s="4" t="str">
        <f t="shared" ca="1" si="9"/>
        <v>Sin fecha</v>
      </c>
      <c r="L318" s="8"/>
      <c r="M318" s="8"/>
      <c r="N318" s="4"/>
      <c r="O318" s="4"/>
      <c r="P318" s="4"/>
      <c r="Q318" s="4"/>
      <c r="R318" s="4"/>
      <c r="S318" s="4"/>
      <c r="T318" s="4"/>
      <c r="U318" s="4"/>
      <c r="V318" s="4"/>
      <c r="W318" s="4"/>
      <c r="X318" s="4"/>
      <c r="Y318" s="4"/>
      <c r="Z318" s="4"/>
      <c r="AA318" s="4"/>
      <c r="AB318" s="6"/>
      <c r="AC318" s="4"/>
      <c r="AD318" s="4"/>
    </row>
    <row r="319" spans="1:30">
      <c r="A319" s="4" t="str">
        <f t="shared" si="10"/>
        <v/>
      </c>
      <c r="B319" s="4"/>
      <c r="C319" s="4"/>
      <c r="D319" s="4"/>
      <c r="E319" s="4"/>
      <c r="F319" s="4"/>
      <c r="G319" s="6"/>
      <c r="H319" s="4"/>
      <c r="I319" s="4"/>
      <c r="J319" s="4"/>
      <c r="K319" s="4" t="str">
        <f t="shared" ca="1" si="9"/>
        <v>Sin fecha</v>
      </c>
      <c r="L319" s="8"/>
      <c r="M319" s="8"/>
      <c r="N319" s="4"/>
      <c r="O319" s="4"/>
      <c r="P319" s="4"/>
      <c r="Q319" s="4"/>
      <c r="R319" s="4"/>
      <c r="S319" s="4"/>
      <c r="T319" s="4"/>
      <c r="U319" s="4"/>
      <c r="V319" s="4"/>
      <c r="W319" s="4"/>
      <c r="X319" s="4"/>
      <c r="Y319" s="4"/>
      <c r="Z319" s="4"/>
      <c r="AA319" s="4"/>
      <c r="AB319" s="6"/>
      <c r="AC319" s="4"/>
      <c r="AD319" s="4"/>
    </row>
    <row r="320" spans="1:30">
      <c r="A320" s="4" t="str">
        <f t="shared" si="10"/>
        <v/>
      </c>
      <c r="B320" s="4"/>
      <c r="C320" s="4"/>
      <c r="D320" s="4"/>
      <c r="E320" s="4"/>
      <c r="F320" s="4"/>
      <c r="G320" s="6"/>
      <c r="H320" s="4"/>
      <c r="I320" s="4"/>
      <c r="J320" s="4"/>
      <c r="K320" s="4" t="str">
        <f t="shared" ref="K320:K383" ca="1" si="11">IF(J320="Cerrada","Cerrada",IF(J320="Suspendida","Suspendida",IF(G320="","Sin fecha",IF(G320&lt;TODAY(),"Vencida",IF(G320-TODAY()&lt;=30,"Próxima a vencer","Abierta")))))</f>
        <v>Sin fecha</v>
      </c>
      <c r="L320" s="8"/>
      <c r="M320" s="8"/>
      <c r="N320" s="4"/>
      <c r="O320" s="4"/>
      <c r="P320" s="4"/>
      <c r="Q320" s="4"/>
      <c r="R320" s="4"/>
      <c r="S320" s="4"/>
      <c r="T320" s="4"/>
      <c r="U320" s="4"/>
      <c r="V320" s="4"/>
      <c r="W320" s="4"/>
      <c r="X320" s="4"/>
      <c r="Y320" s="4"/>
      <c r="Z320" s="4"/>
      <c r="AA320" s="4"/>
      <c r="AB320" s="6"/>
      <c r="AC320" s="4"/>
      <c r="AD320" s="4"/>
    </row>
    <row r="321" spans="1:30">
      <c r="A321" s="4" t="str">
        <f t="shared" ref="A321:A384" si="12">IF(C321="","","OP-"&amp;TEXT(ROW()-1,"0000"))</f>
        <v/>
      </c>
      <c r="B321" s="4"/>
      <c r="C321" s="4"/>
      <c r="D321" s="4"/>
      <c r="E321" s="4"/>
      <c r="F321" s="4"/>
      <c r="G321" s="6"/>
      <c r="H321" s="4"/>
      <c r="I321" s="4"/>
      <c r="J321" s="4"/>
      <c r="K321" s="4" t="str">
        <f t="shared" ca="1" si="11"/>
        <v>Sin fecha</v>
      </c>
      <c r="L321" s="8"/>
      <c r="M321" s="8"/>
      <c r="N321" s="4"/>
      <c r="O321" s="4"/>
      <c r="P321" s="4"/>
      <c r="Q321" s="4"/>
      <c r="R321" s="4"/>
      <c r="S321" s="4"/>
      <c r="T321" s="4"/>
      <c r="U321" s="4"/>
      <c r="V321" s="4"/>
      <c r="W321" s="4"/>
      <c r="X321" s="4"/>
      <c r="Y321" s="4"/>
      <c r="Z321" s="4"/>
      <c r="AA321" s="4"/>
      <c r="AB321" s="6"/>
      <c r="AC321" s="4"/>
      <c r="AD321" s="4"/>
    </row>
    <row r="322" spans="1:30">
      <c r="A322" s="4" t="str">
        <f t="shared" si="12"/>
        <v/>
      </c>
      <c r="B322" s="4"/>
      <c r="C322" s="4"/>
      <c r="D322" s="4"/>
      <c r="E322" s="4"/>
      <c r="F322" s="4"/>
      <c r="G322" s="6"/>
      <c r="H322" s="4"/>
      <c r="I322" s="4"/>
      <c r="J322" s="4"/>
      <c r="K322" s="4" t="str">
        <f t="shared" ca="1" si="11"/>
        <v>Sin fecha</v>
      </c>
      <c r="L322" s="8"/>
      <c r="M322" s="8"/>
      <c r="N322" s="4"/>
      <c r="O322" s="4"/>
      <c r="P322" s="4"/>
      <c r="Q322" s="4"/>
      <c r="R322" s="4"/>
      <c r="S322" s="4"/>
      <c r="T322" s="4"/>
      <c r="U322" s="4"/>
      <c r="V322" s="4"/>
      <c r="W322" s="4"/>
      <c r="X322" s="4"/>
      <c r="Y322" s="4"/>
      <c r="Z322" s="4"/>
      <c r="AA322" s="4"/>
      <c r="AB322" s="6"/>
      <c r="AC322" s="4"/>
      <c r="AD322" s="4"/>
    </row>
    <row r="323" spans="1:30">
      <c r="A323" s="4" t="str">
        <f t="shared" si="12"/>
        <v/>
      </c>
      <c r="B323" s="4"/>
      <c r="C323" s="4"/>
      <c r="D323" s="4"/>
      <c r="E323" s="4"/>
      <c r="F323" s="4"/>
      <c r="G323" s="6"/>
      <c r="H323" s="4"/>
      <c r="I323" s="4"/>
      <c r="J323" s="4"/>
      <c r="K323" s="4" t="str">
        <f t="shared" ca="1" si="11"/>
        <v>Sin fecha</v>
      </c>
      <c r="L323" s="8"/>
      <c r="M323" s="8"/>
      <c r="N323" s="4"/>
      <c r="O323" s="4"/>
      <c r="P323" s="4"/>
      <c r="Q323" s="4"/>
      <c r="R323" s="4"/>
      <c r="S323" s="4"/>
      <c r="T323" s="4"/>
      <c r="U323" s="4"/>
      <c r="V323" s="4"/>
      <c r="W323" s="4"/>
      <c r="X323" s="4"/>
      <c r="Y323" s="4"/>
      <c r="Z323" s="4"/>
      <c r="AA323" s="4"/>
      <c r="AB323" s="6"/>
      <c r="AC323" s="4"/>
      <c r="AD323" s="4"/>
    </row>
    <row r="324" spans="1:30">
      <c r="A324" s="4" t="str">
        <f t="shared" si="12"/>
        <v/>
      </c>
      <c r="B324" s="4"/>
      <c r="C324" s="4"/>
      <c r="D324" s="4"/>
      <c r="E324" s="4"/>
      <c r="F324" s="4"/>
      <c r="G324" s="6"/>
      <c r="H324" s="4"/>
      <c r="I324" s="4"/>
      <c r="J324" s="4"/>
      <c r="K324" s="4" t="str">
        <f t="shared" ca="1" si="11"/>
        <v>Sin fecha</v>
      </c>
      <c r="L324" s="8"/>
      <c r="M324" s="8"/>
      <c r="N324" s="4"/>
      <c r="O324" s="4"/>
      <c r="P324" s="4"/>
      <c r="Q324" s="4"/>
      <c r="R324" s="4"/>
      <c r="S324" s="4"/>
      <c r="T324" s="4"/>
      <c r="U324" s="4"/>
      <c r="V324" s="4"/>
      <c r="W324" s="4"/>
      <c r="X324" s="4"/>
      <c r="Y324" s="4"/>
      <c r="Z324" s="4"/>
      <c r="AA324" s="4"/>
      <c r="AB324" s="6"/>
      <c r="AC324" s="4"/>
      <c r="AD324" s="4"/>
    </row>
    <row r="325" spans="1:30">
      <c r="A325" s="4" t="str">
        <f t="shared" si="12"/>
        <v/>
      </c>
      <c r="B325" s="4"/>
      <c r="C325" s="4"/>
      <c r="D325" s="4"/>
      <c r="E325" s="4"/>
      <c r="F325" s="4"/>
      <c r="G325" s="6"/>
      <c r="H325" s="4"/>
      <c r="I325" s="4"/>
      <c r="J325" s="4"/>
      <c r="K325" s="4" t="str">
        <f t="shared" ca="1" si="11"/>
        <v>Sin fecha</v>
      </c>
      <c r="L325" s="8"/>
      <c r="M325" s="8"/>
      <c r="N325" s="4"/>
      <c r="O325" s="4"/>
      <c r="P325" s="4"/>
      <c r="Q325" s="4"/>
      <c r="R325" s="4"/>
      <c r="S325" s="4"/>
      <c r="T325" s="4"/>
      <c r="U325" s="4"/>
      <c r="V325" s="4"/>
      <c r="W325" s="4"/>
      <c r="X325" s="4"/>
      <c r="Y325" s="4"/>
      <c r="Z325" s="4"/>
      <c r="AA325" s="4"/>
      <c r="AB325" s="6"/>
      <c r="AC325" s="4"/>
      <c r="AD325" s="4"/>
    </row>
    <row r="326" spans="1:30">
      <c r="A326" s="4" t="str">
        <f t="shared" si="12"/>
        <v/>
      </c>
      <c r="B326" s="4"/>
      <c r="C326" s="4"/>
      <c r="D326" s="4"/>
      <c r="E326" s="4"/>
      <c r="F326" s="4"/>
      <c r="G326" s="6"/>
      <c r="H326" s="4"/>
      <c r="I326" s="4"/>
      <c r="J326" s="4"/>
      <c r="K326" s="4" t="str">
        <f t="shared" ca="1" si="11"/>
        <v>Sin fecha</v>
      </c>
      <c r="L326" s="8"/>
      <c r="M326" s="8"/>
      <c r="N326" s="4"/>
      <c r="O326" s="4"/>
      <c r="P326" s="4"/>
      <c r="Q326" s="4"/>
      <c r="R326" s="4"/>
      <c r="S326" s="4"/>
      <c r="T326" s="4"/>
      <c r="U326" s="4"/>
      <c r="V326" s="4"/>
      <c r="W326" s="4"/>
      <c r="X326" s="4"/>
      <c r="Y326" s="4"/>
      <c r="Z326" s="4"/>
      <c r="AA326" s="4"/>
      <c r="AB326" s="6"/>
      <c r="AC326" s="4"/>
      <c r="AD326" s="4"/>
    </row>
    <row r="327" spans="1:30">
      <c r="A327" s="4" t="str">
        <f t="shared" si="12"/>
        <v/>
      </c>
      <c r="B327" s="4"/>
      <c r="C327" s="4"/>
      <c r="D327" s="4"/>
      <c r="E327" s="4"/>
      <c r="F327" s="4"/>
      <c r="G327" s="6"/>
      <c r="H327" s="4"/>
      <c r="I327" s="4"/>
      <c r="J327" s="4"/>
      <c r="K327" s="4" t="str">
        <f t="shared" ca="1" si="11"/>
        <v>Sin fecha</v>
      </c>
      <c r="L327" s="8"/>
      <c r="M327" s="8"/>
      <c r="N327" s="4"/>
      <c r="O327" s="4"/>
      <c r="P327" s="4"/>
      <c r="Q327" s="4"/>
      <c r="R327" s="4"/>
      <c r="S327" s="4"/>
      <c r="T327" s="4"/>
      <c r="U327" s="4"/>
      <c r="V327" s="4"/>
      <c r="W327" s="4"/>
      <c r="X327" s="4"/>
      <c r="Y327" s="4"/>
      <c r="Z327" s="4"/>
      <c r="AA327" s="4"/>
      <c r="AB327" s="6"/>
      <c r="AC327" s="4"/>
      <c r="AD327" s="4"/>
    </row>
    <row r="328" spans="1:30">
      <c r="A328" s="4" t="str">
        <f t="shared" si="12"/>
        <v/>
      </c>
      <c r="B328" s="4"/>
      <c r="C328" s="4"/>
      <c r="D328" s="4"/>
      <c r="E328" s="4"/>
      <c r="F328" s="4"/>
      <c r="G328" s="6"/>
      <c r="H328" s="4"/>
      <c r="I328" s="4"/>
      <c r="J328" s="4"/>
      <c r="K328" s="4" t="str">
        <f t="shared" ca="1" si="11"/>
        <v>Sin fecha</v>
      </c>
      <c r="L328" s="8"/>
      <c r="M328" s="8"/>
      <c r="N328" s="4"/>
      <c r="O328" s="4"/>
      <c r="P328" s="4"/>
      <c r="Q328" s="4"/>
      <c r="R328" s="4"/>
      <c r="S328" s="4"/>
      <c r="T328" s="4"/>
      <c r="U328" s="4"/>
      <c r="V328" s="4"/>
      <c r="W328" s="4"/>
      <c r="X328" s="4"/>
      <c r="Y328" s="4"/>
      <c r="Z328" s="4"/>
      <c r="AA328" s="4"/>
      <c r="AB328" s="6"/>
      <c r="AC328" s="4"/>
      <c r="AD328" s="4"/>
    </row>
    <row r="329" spans="1:30">
      <c r="A329" s="4" t="str">
        <f t="shared" si="12"/>
        <v/>
      </c>
      <c r="B329" s="4"/>
      <c r="C329" s="4"/>
      <c r="D329" s="4"/>
      <c r="E329" s="4"/>
      <c r="F329" s="4"/>
      <c r="G329" s="6"/>
      <c r="H329" s="4"/>
      <c r="I329" s="4"/>
      <c r="J329" s="4"/>
      <c r="K329" s="4" t="str">
        <f t="shared" ca="1" si="11"/>
        <v>Sin fecha</v>
      </c>
      <c r="L329" s="8"/>
      <c r="M329" s="8"/>
      <c r="N329" s="4"/>
      <c r="O329" s="4"/>
      <c r="P329" s="4"/>
      <c r="Q329" s="4"/>
      <c r="R329" s="4"/>
      <c r="S329" s="4"/>
      <c r="T329" s="4"/>
      <c r="U329" s="4"/>
      <c r="V329" s="4"/>
      <c r="W329" s="4"/>
      <c r="X329" s="4"/>
      <c r="Y329" s="4"/>
      <c r="Z329" s="4"/>
      <c r="AA329" s="4"/>
      <c r="AB329" s="6"/>
      <c r="AC329" s="4"/>
      <c r="AD329" s="4"/>
    </row>
    <row r="330" spans="1:30">
      <c r="A330" s="4" t="str">
        <f t="shared" si="12"/>
        <v/>
      </c>
      <c r="B330" s="4"/>
      <c r="C330" s="4"/>
      <c r="D330" s="4"/>
      <c r="E330" s="4"/>
      <c r="F330" s="4"/>
      <c r="G330" s="6"/>
      <c r="H330" s="4"/>
      <c r="I330" s="4"/>
      <c r="J330" s="4"/>
      <c r="K330" s="4" t="str">
        <f t="shared" ca="1" si="11"/>
        <v>Sin fecha</v>
      </c>
      <c r="L330" s="8"/>
      <c r="M330" s="8"/>
      <c r="N330" s="4"/>
      <c r="O330" s="4"/>
      <c r="P330" s="4"/>
      <c r="Q330" s="4"/>
      <c r="R330" s="4"/>
      <c r="S330" s="4"/>
      <c r="T330" s="4"/>
      <c r="U330" s="4"/>
      <c r="V330" s="4"/>
      <c r="W330" s="4"/>
      <c r="X330" s="4"/>
      <c r="Y330" s="4"/>
      <c r="Z330" s="4"/>
      <c r="AA330" s="4"/>
      <c r="AB330" s="6"/>
      <c r="AC330" s="4"/>
      <c r="AD330" s="4"/>
    </row>
    <row r="331" spans="1:30">
      <c r="A331" s="4" t="str">
        <f t="shared" si="12"/>
        <v/>
      </c>
      <c r="B331" s="4"/>
      <c r="C331" s="4"/>
      <c r="D331" s="4"/>
      <c r="E331" s="4"/>
      <c r="F331" s="4"/>
      <c r="G331" s="6"/>
      <c r="H331" s="4"/>
      <c r="I331" s="4"/>
      <c r="J331" s="4"/>
      <c r="K331" s="4" t="str">
        <f t="shared" ca="1" si="11"/>
        <v>Sin fecha</v>
      </c>
      <c r="L331" s="8"/>
      <c r="M331" s="8"/>
      <c r="N331" s="4"/>
      <c r="O331" s="4"/>
      <c r="P331" s="4"/>
      <c r="Q331" s="4"/>
      <c r="R331" s="4"/>
      <c r="S331" s="4"/>
      <c r="T331" s="4"/>
      <c r="U331" s="4"/>
      <c r="V331" s="4"/>
      <c r="W331" s="4"/>
      <c r="X331" s="4"/>
      <c r="Y331" s="4"/>
      <c r="Z331" s="4"/>
      <c r="AA331" s="4"/>
      <c r="AB331" s="6"/>
      <c r="AC331" s="4"/>
      <c r="AD331" s="4"/>
    </row>
    <row r="332" spans="1:30">
      <c r="A332" s="4" t="str">
        <f t="shared" si="12"/>
        <v/>
      </c>
      <c r="B332" s="4"/>
      <c r="C332" s="4"/>
      <c r="D332" s="4"/>
      <c r="E332" s="4"/>
      <c r="F332" s="4"/>
      <c r="G332" s="6"/>
      <c r="H332" s="4"/>
      <c r="I332" s="4"/>
      <c r="J332" s="4"/>
      <c r="K332" s="4" t="str">
        <f t="shared" ca="1" si="11"/>
        <v>Sin fecha</v>
      </c>
      <c r="L332" s="8"/>
      <c r="M332" s="8"/>
      <c r="N332" s="4"/>
      <c r="O332" s="4"/>
      <c r="P332" s="4"/>
      <c r="Q332" s="4"/>
      <c r="R332" s="4"/>
      <c r="S332" s="4"/>
      <c r="T332" s="4"/>
      <c r="U332" s="4"/>
      <c r="V332" s="4"/>
      <c r="W332" s="4"/>
      <c r="X332" s="4"/>
      <c r="Y332" s="4"/>
      <c r="Z332" s="4"/>
      <c r="AA332" s="4"/>
      <c r="AB332" s="6"/>
      <c r="AC332" s="4"/>
      <c r="AD332" s="4"/>
    </row>
    <row r="333" spans="1:30">
      <c r="A333" s="4" t="str">
        <f t="shared" si="12"/>
        <v/>
      </c>
      <c r="B333" s="4"/>
      <c r="C333" s="4"/>
      <c r="D333" s="4"/>
      <c r="E333" s="4"/>
      <c r="F333" s="4"/>
      <c r="G333" s="6"/>
      <c r="H333" s="4"/>
      <c r="I333" s="4"/>
      <c r="J333" s="4"/>
      <c r="K333" s="4" t="str">
        <f t="shared" ca="1" si="11"/>
        <v>Sin fecha</v>
      </c>
      <c r="L333" s="8"/>
      <c r="M333" s="8"/>
      <c r="N333" s="4"/>
      <c r="O333" s="4"/>
      <c r="P333" s="4"/>
      <c r="Q333" s="4"/>
      <c r="R333" s="4"/>
      <c r="S333" s="4"/>
      <c r="T333" s="4"/>
      <c r="U333" s="4"/>
      <c r="V333" s="4"/>
      <c r="W333" s="4"/>
      <c r="X333" s="4"/>
      <c r="Y333" s="4"/>
      <c r="Z333" s="4"/>
      <c r="AA333" s="4"/>
      <c r="AB333" s="6"/>
      <c r="AC333" s="4"/>
      <c r="AD333" s="4"/>
    </row>
    <row r="334" spans="1:30">
      <c r="A334" s="4" t="str">
        <f t="shared" si="12"/>
        <v/>
      </c>
      <c r="B334" s="4"/>
      <c r="C334" s="4"/>
      <c r="D334" s="4"/>
      <c r="E334" s="4"/>
      <c r="F334" s="4"/>
      <c r="G334" s="6"/>
      <c r="H334" s="4"/>
      <c r="I334" s="4"/>
      <c r="J334" s="4"/>
      <c r="K334" s="4" t="str">
        <f t="shared" ca="1" si="11"/>
        <v>Sin fecha</v>
      </c>
      <c r="L334" s="8"/>
      <c r="M334" s="8"/>
      <c r="N334" s="4"/>
      <c r="O334" s="4"/>
      <c r="P334" s="4"/>
      <c r="Q334" s="4"/>
      <c r="R334" s="4"/>
      <c r="S334" s="4"/>
      <c r="T334" s="4"/>
      <c r="U334" s="4"/>
      <c r="V334" s="4"/>
      <c r="W334" s="4"/>
      <c r="X334" s="4"/>
      <c r="Y334" s="4"/>
      <c r="Z334" s="4"/>
      <c r="AA334" s="4"/>
      <c r="AB334" s="6"/>
      <c r="AC334" s="4"/>
      <c r="AD334" s="4"/>
    </row>
    <row r="335" spans="1:30">
      <c r="A335" s="4" t="str">
        <f t="shared" si="12"/>
        <v/>
      </c>
      <c r="B335" s="4"/>
      <c r="C335" s="4"/>
      <c r="D335" s="4"/>
      <c r="E335" s="4"/>
      <c r="F335" s="4"/>
      <c r="G335" s="6"/>
      <c r="H335" s="4"/>
      <c r="I335" s="4"/>
      <c r="J335" s="4"/>
      <c r="K335" s="4" t="str">
        <f t="shared" ca="1" si="11"/>
        <v>Sin fecha</v>
      </c>
      <c r="L335" s="8"/>
      <c r="M335" s="8"/>
      <c r="N335" s="4"/>
      <c r="O335" s="4"/>
      <c r="P335" s="4"/>
      <c r="Q335" s="4"/>
      <c r="R335" s="4"/>
      <c r="S335" s="4"/>
      <c r="T335" s="4"/>
      <c r="U335" s="4"/>
      <c r="V335" s="4"/>
      <c r="W335" s="4"/>
      <c r="X335" s="4"/>
      <c r="Y335" s="4"/>
      <c r="Z335" s="4"/>
      <c r="AA335" s="4"/>
      <c r="AB335" s="6"/>
      <c r="AC335" s="4"/>
      <c r="AD335" s="4"/>
    </row>
    <row r="336" spans="1:30">
      <c r="A336" s="4" t="str">
        <f t="shared" si="12"/>
        <v/>
      </c>
      <c r="B336" s="4"/>
      <c r="C336" s="4"/>
      <c r="D336" s="4"/>
      <c r="E336" s="4"/>
      <c r="F336" s="4"/>
      <c r="G336" s="6"/>
      <c r="H336" s="4"/>
      <c r="I336" s="4"/>
      <c r="J336" s="4"/>
      <c r="K336" s="4" t="str">
        <f t="shared" ca="1" si="11"/>
        <v>Sin fecha</v>
      </c>
      <c r="L336" s="8"/>
      <c r="M336" s="8"/>
      <c r="N336" s="4"/>
      <c r="O336" s="4"/>
      <c r="P336" s="4"/>
      <c r="Q336" s="4"/>
      <c r="R336" s="4"/>
      <c r="S336" s="4"/>
      <c r="T336" s="4"/>
      <c r="U336" s="4"/>
      <c r="V336" s="4"/>
      <c r="W336" s="4"/>
      <c r="X336" s="4"/>
      <c r="Y336" s="4"/>
      <c r="Z336" s="4"/>
      <c r="AA336" s="4"/>
      <c r="AB336" s="6"/>
      <c r="AC336" s="4"/>
      <c r="AD336" s="4"/>
    </row>
    <row r="337" spans="1:30">
      <c r="A337" s="4" t="str">
        <f t="shared" si="12"/>
        <v/>
      </c>
      <c r="B337" s="4"/>
      <c r="C337" s="4"/>
      <c r="D337" s="4"/>
      <c r="E337" s="4"/>
      <c r="F337" s="4"/>
      <c r="G337" s="6"/>
      <c r="H337" s="4"/>
      <c r="I337" s="4"/>
      <c r="J337" s="4"/>
      <c r="K337" s="4" t="str">
        <f t="shared" ca="1" si="11"/>
        <v>Sin fecha</v>
      </c>
      <c r="L337" s="8"/>
      <c r="M337" s="8"/>
      <c r="N337" s="4"/>
      <c r="O337" s="4"/>
      <c r="P337" s="4"/>
      <c r="Q337" s="4"/>
      <c r="R337" s="4"/>
      <c r="S337" s="4"/>
      <c r="T337" s="4"/>
      <c r="U337" s="4"/>
      <c r="V337" s="4"/>
      <c r="W337" s="4"/>
      <c r="X337" s="4"/>
      <c r="Y337" s="4"/>
      <c r="Z337" s="4"/>
      <c r="AA337" s="4"/>
      <c r="AB337" s="6"/>
      <c r="AC337" s="4"/>
      <c r="AD337" s="4"/>
    </row>
    <row r="338" spans="1:30">
      <c r="A338" s="4" t="str">
        <f t="shared" si="12"/>
        <v/>
      </c>
      <c r="B338" s="4"/>
      <c r="C338" s="4"/>
      <c r="D338" s="4"/>
      <c r="E338" s="4"/>
      <c r="F338" s="4"/>
      <c r="G338" s="6"/>
      <c r="H338" s="4"/>
      <c r="I338" s="4"/>
      <c r="J338" s="4"/>
      <c r="K338" s="4" t="str">
        <f t="shared" ca="1" si="11"/>
        <v>Sin fecha</v>
      </c>
      <c r="L338" s="8"/>
      <c r="M338" s="8"/>
      <c r="N338" s="4"/>
      <c r="O338" s="4"/>
      <c r="P338" s="4"/>
      <c r="Q338" s="4"/>
      <c r="R338" s="4"/>
      <c r="S338" s="4"/>
      <c r="T338" s="4"/>
      <c r="U338" s="4"/>
      <c r="V338" s="4"/>
      <c r="W338" s="4"/>
      <c r="X338" s="4"/>
      <c r="Y338" s="4"/>
      <c r="Z338" s="4"/>
      <c r="AA338" s="4"/>
      <c r="AB338" s="6"/>
      <c r="AC338" s="4"/>
      <c r="AD338" s="4"/>
    </row>
    <row r="339" spans="1:30">
      <c r="A339" s="4" t="str">
        <f t="shared" si="12"/>
        <v/>
      </c>
      <c r="B339" s="4"/>
      <c r="C339" s="4"/>
      <c r="D339" s="4"/>
      <c r="E339" s="4"/>
      <c r="F339" s="4"/>
      <c r="G339" s="6"/>
      <c r="H339" s="4"/>
      <c r="I339" s="4"/>
      <c r="J339" s="4"/>
      <c r="K339" s="4" t="str">
        <f t="shared" ca="1" si="11"/>
        <v>Sin fecha</v>
      </c>
      <c r="L339" s="8"/>
      <c r="M339" s="8"/>
      <c r="N339" s="4"/>
      <c r="O339" s="4"/>
      <c r="P339" s="4"/>
      <c r="Q339" s="4"/>
      <c r="R339" s="4"/>
      <c r="S339" s="4"/>
      <c r="T339" s="4"/>
      <c r="U339" s="4"/>
      <c r="V339" s="4"/>
      <c r="W339" s="4"/>
      <c r="X339" s="4"/>
      <c r="Y339" s="4"/>
      <c r="Z339" s="4"/>
      <c r="AA339" s="4"/>
      <c r="AB339" s="6"/>
      <c r="AC339" s="4"/>
      <c r="AD339" s="4"/>
    </row>
    <row r="340" spans="1:30">
      <c r="A340" s="4" t="str">
        <f t="shared" si="12"/>
        <v/>
      </c>
      <c r="B340" s="4"/>
      <c r="C340" s="4"/>
      <c r="D340" s="4"/>
      <c r="E340" s="4"/>
      <c r="F340" s="4"/>
      <c r="G340" s="6"/>
      <c r="H340" s="4"/>
      <c r="I340" s="4"/>
      <c r="J340" s="4"/>
      <c r="K340" s="4" t="str">
        <f t="shared" ca="1" si="11"/>
        <v>Sin fecha</v>
      </c>
      <c r="L340" s="8"/>
      <c r="M340" s="8"/>
      <c r="N340" s="4"/>
      <c r="O340" s="4"/>
      <c r="P340" s="4"/>
      <c r="Q340" s="4"/>
      <c r="R340" s="4"/>
      <c r="S340" s="4"/>
      <c r="T340" s="4"/>
      <c r="U340" s="4"/>
      <c r="V340" s="4"/>
      <c r="W340" s="4"/>
      <c r="X340" s="4"/>
      <c r="Y340" s="4"/>
      <c r="Z340" s="4"/>
      <c r="AA340" s="4"/>
      <c r="AB340" s="6"/>
      <c r="AC340" s="4"/>
      <c r="AD340" s="4"/>
    </row>
    <row r="341" spans="1:30">
      <c r="A341" s="4" t="str">
        <f t="shared" si="12"/>
        <v/>
      </c>
      <c r="B341" s="4"/>
      <c r="C341" s="4"/>
      <c r="D341" s="4"/>
      <c r="E341" s="4"/>
      <c r="F341" s="4"/>
      <c r="G341" s="6"/>
      <c r="H341" s="4"/>
      <c r="I341" s="4"/>
      <c r="J341" s="4"/>
      <c r="K341" s="4" t="str">
        <f t="shared" ca="1" si="11"/>
        <v>Sin fecha</v>
      </c>
      <c r="L341" s="8"/>
      <c r="M341" s="8"/>
      <c r="N341" s="4"/>
      <c r="O341" s="4"/>
      <c r="P341" s="4"/>
      <c r="Q341" s="4"/>
      <c r="R341" s="4"/>
      <c r="S341" s="4"/>
      <c r="T341" s="4"/>
      <c r="U341" s="4"/>
      <c r="V341" s="4"/>
      <c r="W341" s="4"/>
      <c r="X341" s="4"/>
      <c r="Y341" s="4"/>
      <c r="Z341" s="4"/>
      <c r="AA341" s="4"/>
      <c r="AB341" s="6"/>
      <c r="AC341" s="4"/>
      <c r="AD341" s="4"/>
    </row>
    <row r="342" spans="1:30">
      <c r="A342" s="4" t="str">
        <f t="shared" si="12"/>
        <v/>
      </c>
      <c r="B342" s="4"/>
      <c r="C342" s="4"/>
      <c r="D342" s="4"/>
      <c r="E342" s="4"/>
      <c r="F342" s="4"/>
      <c r="G342" s="6"/>
      <c r="H342" s="4"/>
      <c r="I342" s="4"/>
      <c r="J342" s="4"/>
      <c r="K342" s="4" t="str">
        <f t="shared" ca="1" si="11"/>
        <v>Sin fecha</v>
      </c>
      <c r="L342" s="8"/>
      <c r="M342" s="8"/>
      <c r="N342" s="4"/>
      <c r="O342" s="4"/>
      <c r="P342" s="4"/>
      <c r="Q342" s="4"/>
      <c r="R342" s="4"/>
      <c r="S342" s="4"/>
      <c r="T342" s="4"/>
      <c r="U342" s="4"/>
      <c r="V342" s="4"/>
      <c r="W342" s="4"/>
      <c r="X342" s="4"/>
      <c r="Y342" s="4"/>
      <c r="Z342" s="4"/>
      <c r="AA342" s="4"/>
      <c r="AB342" s="6"/>
      <c r="AC342" s="4"/>
      <c r="AD342" s="4"/>
    </row>
    <row r="343" spans="1:30">
      <c r="A343" s="4" t="str">
        <f t="shared" si="12"/>
        <v/>
      </c>
      <c r="B343" s="4"/>
      <c r="C343" s="4"/>
      <c r="D343" s="4"/>
      <c r="E343" s="4"/>
      <c r="F343" s="4"/>
      <c r="G343" s="6"/>
      <c r="H343" s="4"/>
      <c r="I343" s="4"/>
      <c r="J343" s="4"/>
      <c r="K343" s="4" t="str">
        <f t="shared" ca="1" si="11"/>
        <v>Sin fecha</v>
      </c>
      <c r="L343" s="8"/>
      <c r="M343" s="8"/>
      <c r="N343" s="4"/>
      <c r="O343" s="4"/>
      <c r="P343" s="4"/>
      <c r="Q343" s="4"/>
      <c r="R343" s="4"/>
      <c r="S343" s="4"/>
      <c r="T343" s="4"/>
      <c r="U343" s="4"/>
      <c r="V343" s="4"/>
      <c r="W343" s="4"/>
      <c r="X343" s="4"/>
      <c r="Y343" s="4"/>
      <c r="Z343" s="4"/>
      <c r="AA343" s="4"/>
      <c r="AB343" s="6"/>
      <c r="AC343" s="4"/>
      <c r="AD343" s="4"/>
    </row>
    <row r="344" spans="1:30">
      <c r="A344" s="4" t="str">
        <f t="shared" si="12"/>
        <v/>
      </c>
      <c r="B344" s="4"/>
      <c r="C344" s="4"/>
      <c r="D344" s="4"/>
      <c r="E344" s="4"/>
      <c r="F344" s="4"/>
      <c r="G344" s="6"/>
      <c r="H344" s="4"/>
      <c r="I344" s="4"/>
      <c r="J344" s="4"/>
      <c r="K344" s="4" t="str">
        <f t="shared" ca="1" si="11"/>
        <v>Sin fecha</v>
      </c>
      <c r="L344" s="8"/>
      <c r="M344" s="8"/>
      <c r="N344" s="4"/>
      <c r="O344" s="4"/>
      <c r="P344" s="4"/>
      <c r="Q344" s="4"/>
      <c r="R344" s="4"/>
      <c r="S344" s="4"/>
      <c r="T344" s="4"/>
      <c r="U344" s="4"/>
      <c r="V344" s="4"/>
      <c r="W344" s="4"/>
      <c r="X344" s="4"/>
      <c r="Y344" s="4"/>
      <c r="Z344" s="4"/>
      <c r="AA344" s="4"/>
      <c r="AB344" s="6"/>
      <c r="AC344" s="4"/>
      <c r="AD344" s="4"/>
    </row>
    <row r="345" spans="1:30">
      <c r="A345" s="4" t="str">
        <f t="shared" si="12"/>
        <v/>
      </c>
      <c r="B345" s="4"/>
      <c r="C345" s="4"/>
      <c r="D345" s="4"/>
      <c r="E345" s="4"/>
      <c r="F345" s="4"/>
      <c r="G345" s="6"/>
      <c r="H345" s="4"/>
      <c r="I345" s="4"/>
      <c r="J345" s="4"/>
      <c r="K345" s="4" t="str">
        <f t="shared" ca="1" si="11"/>
        <v>Sin fecha</v>
      </c>
      <c r="L345" s="8"/>
      <c r="M345" s="8"/>
      <c r="N345" s="4"/>
      <c r="O345" s="4"/>
      <c r="P345" s="4"/>
      <c r="Q345" s="4"/>
      <c r="R345" s="4"/>
      <c r="S345" s="4"/>
      <c r="T345" s="4"/>
      <c r="U345" s="4"/>
      <c r="V345" s="4"/>
      <c r="W345" s="4"/>
      <c r="X345" s="4"/>
      <c r="Y345" s="4"/>
      <c r="Z345" s="4"/>
      <c r="AA345" s="4"/>
      <c r="AB345" s="6"/>
      <c r="AC345" s="4"/>
      <c r="AD345" s="4"/>
    </row>
    <row r="346" spans="1:30">
      <c r="A346" s="4" t="str">
        <f t="shared" si="12"/>
        <v/>
      </c>
      <c r="B346" s="4"/>
      <c r="C346" s="4"/>
      <c r="D346" s="4"/>
      <c r="E346" s="4"/>
      <c r="F346" s="4"/>
      <c r="G346" s="6"/>
      <c r="H346" s="4"/>
      <c r="I346" s="4"/>
      <c r="J346" s="4"/>
      <c r="K346" s="4" t="str">
        <f t="shared" ca="1" si="11"/>
        <v>Sin fecha</v>
      </c>
      <c r="L346" s="8"/>
      <c r="M346" s="8"/>
      <c r="N346" s="4"/>
      <c r="O346" s="4"/>
      <c r="P346" s="4"/>
      <c r="Q346" s="4"/>
      <c r="R346" s="4"/>
      <c r="S346" s="4"/>
      <c r="T346" s="4"/>
      <c r="U346" s="4"/>
      <c r="V346" s="4"/>
      <c r="W346" s="4"/>
      <c r="X346" s="4"/>
      <c r="Y346" s="4"/>
      <c r="Z346" s="4"/>
      <c r="AA346" s="4"/>
      <c r="AB346" s="6"/>
      <c r="AC346" s="4"/>
      <c r="AD346" s="4"/>
    </row>
    <row r="347" spans="1:30">
      <c r="A347" s="4" t="str">
        <f t="shared" si="12"/>
        <v/>
      </c>
      <c r="B347" s="4"/>
      <c r="C347" s="4"/>
      <c r="D347" s="4"/>
      <c r="E347" s="4"/>
      <c r="F347" s="4"/>
      <c r="G347" s="6"/>
      <c r="H347" s="4"/>
      <c r="I347" s="4"/>
      <c r="J347" s="4"/>
      <c r="K347" s="4" t="str">
        <f t="shared" ca="1" si="11"/>
        <v>Sin fecha</v>
      </c>
      <c r="L347" s="8"/>
      <c r="M347" s="8"/>
      <c r="N347" s="4"/>
      <c r="O347" s="4"/>
      <c r="P347" s="4"/>
      <c r="Q347" s="4"/>
      <c r="R347" s="4"/>
      <c r="S347" s="4"/>
      <c r="T347" s="4"/>
      <c r="U347" s="4"/>
      <c r="V347" s="4"/>
      <c r="W347" s="4"/>
      <c r="X347" s="4"/>
      <c r="Y347" s="4"/>
      <c r="Z347" s="4"/>
      <c r="AA347" s="4"/>
      <c r="AB347" s="6"/>
      <c r="AC347" s="4"/>
      <c r="AD347" s="4"/>
    </row>
    <row r="348" spans="1:30">
      <c r="A348" s="4" t="str">
        <f t="shared" si="12"/>
        <v/>
      </c>
      <c r="B348" s="4"/>
      <c r="C348" s="4"/>
      <c r="D348" s="4"/>
      <c r="E348" s="4"/>
      <c r="F348" s="4"/>
      <c r="G348" s="6"/>
      <c r="H348" s="4"/>
      <c r="I348" s="4"/>
      <c r="J348" s="4"/>
      <c r="K348" s="4" t="str">
        <f t="shared" ca="1" si="11"/>
        <v>Sin fecha</v>
      </c>
      <c r="L348" s="8"/>
      <c r="M348" s="8"/>
      <c r="N348" s="4"/>
      <c r="O348" s="4"/>
      <c r="P348" s="4"/>
      <c r="Q348" s="4"/>
      <c r="R348" s="4"/>
      <c r="S348" s="4"/>
      <c r="T348" s="4"/>
      <c r="U348" s="4"/>
      <c r="V348" s="4"/>
      <c r="W348" s="4"/>
      <c r="X348" s="4"/>
      <c r="Y348" s="4"/>
      <c r="Z348" s="4"/>
      <c r="AA348" s="4"/>
      <c r="AB348" s="6"/>
      <c r="AC348" s="4"/>
      <c r="AD348" s="4"/>
    </row>
    <row r="349" spans="1:30">
      <c r="A349" s="4" t="str">
        <f t="shared" si="12"/>
        <v/>
      </c>
      <c r="B349" s="4"/>
      <c r="C349" s="4"/>
      <c r="D349" s="4"/>
      <c r="E349" s="4"/>
      <c r="F349" s="4"/>
      <c r="G349" s="6"/>
      <c r="H349" s="4"/>
      <c r="I349" s="4"/>
      <c r="J349" s="4"/>
      <c r="K349" s="4" t="str">
        <f t="shared" ca="1" si="11"/>
        <v>Sin fecha</v>
      </c>
      <c r="L349" s="8"/>
      <c r="M349" s="8"/>
      <c r="N349" s="4"/>
      <c r="O349" s="4"/>
      <c r="P349" s="4"/>
      <c r="Q349" s="4"/>
      <c r="R349" s="4"/>
      <c r="S349" s="4"/>
      <c r="T349" s="4"/>
      <c r="U349" s="4"/>
      <c r="V349" s="4"/>
      <c r="W349" s="4"/>
      <c r="X349" s="4"/>
      <c r="Y349" s="4"/>
      <c r="Z349" s="4"/>
      <c r="AA349" s="4"/>
      <c r="AB349" s="6"/>
      <c r="AC349" s="4"/>
      <c r="AD349" s="4"/>
    </row>
    <row r="350" spans="1:30">
      <c r="A350" s="4" t="str">
        <f t="shared" si="12"/>
        <v/>
      </c>
      <c r="B350" s="4"/>
      <c r="C350" s="4"/>
      <c r="D350" s="4"/>
      <c r="E350" s="4"/>
      <c r="F350" s="4"/>
      <c r="G350" s="6"/>
      <c r="H350" s="4"/>
      <c r="I350" s="4"/>
      <c r="J350" s="4"/>
      <c r="K350" s="4" t="str">
        <f t="shared" ca="1" si="11"/>
        <v>Sin fecha</v>
      </c>
      <c r="L350" s="8"/>
      <c r="M350" s="8"/>
      <c r="N350" s="4"/>
      <c r="O350" s="4"/>
      <c r="P350" s="4"/>
      <c r="Q350" s="4"/>
      <c r="R350" s="4"/>
      <c r="S350" s="4"/>
      <c r="T350" s="4"/>
      <c r="U350" s="4"/>
      <c r="V350" s="4"/>
      <c r="W350" s="4"/>
      <c r="X350" s="4"/>
      <c r="Y350" s="4"/>
      <c r="Z350" s="4"/>
      <c r="AA350" s="4"/>
      <c r="AB350" s="6"/>
      <c r="AC350" s="4"/>
      <c r="AD350" s="4"/>
    </row>
    <row r="351" spans="1:30">
      <c r="A351" s="4" t="str">
        <f t="shared" si="12"/>
        <v/>
      </c>
      <c r="B351" s="4"/>
      <c r="C351" s="4"/>
      <c r="D351" s="4"/>
      <c r="E351" s="4"/>
      <c r="F351" s="4"/>
      <c r="G351" s="6"/>
      <c r="H351" s="4"/>
      <c r="I351" s="4"/>
      <c r="J351" s="4"/>
      <c r="K351" s="4" t="str">
        <f t="shared" ca="1" si="11"/>
        <v>Sin fecha</v>
      </c>
      <c r="L351" s="8"/>
      <c r="M351" s="8"/>
      <c r="N351" s="4"/>
      <c r="O351" s="4"/>
      <c r="P351" s="4"/>
      <c r="Q351" s="4"/>
      <c r="R351" s="4"/>
      <c r="S351" s="4"/>
      <c r="T351" s="4"/>
      <c r="U351" s="4"/>
      <c r="V351" s="4"/>
      <c r="W351" s="4"/>
      <c r="X351" s="4"/>
      <c r="Y351" s="4"/>
      <c r="Z351" s="4"/>
      <c r="AA351" s="4"/>
      <c r="AB351" s="6"/>
      <c r="AC351" s="4"/>
      <c r="AD351" s="4"/>
    </row>
    <row r="352" spans="1:30">
      <c r="A352" s="4" t="str">
        <f t="shared" si="12"/>
        <v/>
      </c>
      <c r="B352" s="4"/>
      <c r="C352" s="4"/>
      <c r="D352" s="4"/>
      <c r="E352" s="4"/>
      <c r="F352" s="4"/>
      <c r="G352" s="6"/>
      <c r="H352" s="4"/>
      <c r="I352" s="4"/>
      <c r="J352" s="4"/>
      <c r="K352" s="4" t="str">
        <f t="shared" ca="1" si="11"/>
        <v>Sin fecha</v>
      </c>
      <c r="L352" s="8"/>
      <c r="M352" s="8"/>
      <c r="N352" s="4"/>
      <c r="O352" s="4"/>
      <c r="P352" s="4"/>
      <c r="Q352" s="4"/>
      <c r="R352" s="4"/>
      <c r="S352" s="4"/>
      <c r="T352" s="4"/>
      <c r="U352" s="4"/>
      <c r="V352" s="4"/>
      <c r="W352" s="4"/>
      <c r="X352" s="4"/>
      <c r="Y352" s="4"/>
      <c r="Z352" s="4"/>
      <c r="AA352" s="4"/>
      <c r="AB352" s="6"/>
      <c r="AC352" s="4"/>
      <c r="AD352" s="4"/>
    </row>
    <row r="353" spans="1:30">
      <c r="A353" s="4" t="str">
        <f t="shared" si="12"/>
        <v/>
      </c>
      <c r="B353" s="4"/>
      <c r="C353" s="4"/>
      <c r="D353" s="4"/>
      <c r="E353" s="4"/>
      <c r="F353" s="4"/>
      <c r="G353" s="6"/>
      <c r="H353" s="4"/>
      <c r="I353" s="4"/>
      <c r="J353" s="4"/>
      <c r="K353" s="4" t="str">
        <f t="shared" ca="1" si="11"/>
        <v>Sin fecha</v>
      </c>
      <c r="L353" s="8"/>
      <c r="M353" s="8"/>
      <c r="N353" s="4"/>
      <c r="O353" s="4"/>
      <c r="P353" s="4"/>
      <c r="Q353" s="4"/>
      <c r="R353" s="4"/>
      <c r="S353" s="4"/>
      <c r="T353" s="4"/>
      <c r="U353" s="4"/>
      <c r="V353" s="4"/>
      <c r="W353" s="4"/>
      <c r="X353" s="4"/>
      <c r="Y353" s="4"/>
      <c r="Z353" s="4"/>
      <c r="AA353" s="4"/>
      <c r="AB353" s="6"/>
      <c r="AC353" s="4"/>
      <c r="AD353" s="4"/>
    </row>
    <row r="354" spans="1:30">
      <c r="A354" s="4" t="str">
        <f t="shared" si="12"/>
        <v/>
      </c>
      <c r="B354" s="4"/>
      <c r="C354" s="4"/>
      <c r="D354" s="4"/>
      <c r="E354" s="4"/>
      <c r="F354" s="4"/>
      <c r="G354" s="6"/>
      <c r="H354" s="4"/>
      <c r="I354" s="4"/>
      <c r="J354" s="4"/>
      <c r="K354" s="4" t="str">
        <f t="shared" ca="1" si="11"/>
        <v>Sin fecha</v>
      </c>
      <c r="L354" s="8"/>
      <c r="M354" s="8"/>
      <c r="N354" s="4"/>
      <c r="O354" s="4"/>
      <c r="P354" s="4"/>
      <c r="Q354" s="4"/>
      <c r="R354" s="4"/>
      <c r="S354" s="4"/>
      <c r="T354" s="4"/>
      <c r="U354" s="4"/>
      <c r="V354" s="4"/>
      <c r="W354" s="4"/>
      <c r="X354" s="4"/>
      <c r="Y354" s="4"/>
      <c r="Z354" s="4"/>
      <c r="AA354" s="4"/>
      <c r="AB354" s="6"/>
      <c r="AC354" s="4"/>
      <c r="AD354" s="4"/>
    </row>
    <row r="355" spans="1:30">
      <c r="A355" s="4" t="str">
        <f t="shared" si="12"/>
        <v/>
      </c>
      <c r="B355" s="4"/>
      <c r="C355" s="4"/>
      <c r="D355" s="4"/>
      <c r="E355" s="4"/>
      <c r="F355" s="4"/>
      <c r="G355" s="6"/>
      <c r="H355" s="4"/>
      <c r="I355" s="4"/>
      <c r="J355" s="4"/>
      <c r="K355" s="4" t="str">
        <f t="shared" ca="1" si="11"/>
        <v>Sin fecha</v>
      </c>
      <c r="L355" s="8"/>
      <c r="M355" s="8"/>
      <c r="N355" s="4"/>
      <c r="O355" s="4"/>
      <c r="P355" s="4"/>
      <c r="Q355" s="4"/>
      <c r="R355" s="4"/>
      <c r="S355" s="4"/>
      <c r="T355" s="4"/>
      <c r="U355" s="4"/>
      <c r="V355" s="4"/>
      <c r="W355" s="4"/>
      <c r="X355" s="4"/>
      <c r="Y355" s="4"/>
      <c r="Z355" s="4"/>
      <c r="AA355" s="4"/>
      <c r="AB355" s="6"/>
      <c r="AC355" s="4"/>
      <c r="AD355" s="4"/>
    </row>
    <row r="356" spans="1:30">
      <c r="A356" s="4" t="str">
        <f t="shared" si="12"/>
        <v/>
      </c>
      <c r="B356" s="4"/>
      <c r="C356" s="4"/>
      <c r="D356" s="4"/>
      <c r="E356" s="4"/>
      <c r="F356" s="4"/>
      <c r="G356" s="6"/>
      <c r="H356" s="4"/>
      <c r="I356" s="4"/>
      <c r="J356" s="4"/>
      <c r="K356" s="4" t="str">
        <f t="shared" ca="1" si="11"/>
        <v>Sin fecha</v>
      </c>
      <c r="L356" s="8"/>
      <c r="M356" s="8"/>
      <c r="N356" s="4"/>
      <c r="O356" s="4"/>
      <c r="P356" s="4"/>
      <c r="Q356" s="4"/>
      <c r="R356" s="4"/>
      <c r="S356" s="4"/>
      <c r="T356" s="4"/>
      <c r="U356" s="4"/>
      <c r="V356" s="4"/>
      <c r="W356" s="4"/>
      <c r="X356" s="4"/>
      <c r="Y356" s="4"/>
      <c r="Z356" s="4"/>
      <c r="AA356" s="4"/>
      <c r="AB356" s="6"/>
      <c r="AC356" s="4"/>
      <c r="AD356" s="4"/>
    </row>
    <row r="357" spans="1:30">
      <c r="A357" s="4" t="str">
        <f t="shared" si="12"/>
        <v/>
      </c>
      <c r="B357" s="4"/>
      <c r="C357" s="4"/>
      <c r="D357" s="4"/>
      <c r="E357" s="4"/>
      <c r="F357" s="4"/>
      <c r="G357" s="6"/>
      <c r="H357" s="4"/>
      <c r="I357" s="4"/>
      <c r="J357" s="4"/>
      <c r="K357" s="4" t="str">
        <f t="shared" ca="1" si="11"/>
        <v>Sin fecha</v>
      </c>
      <c r="L357" s="8"/>
      <c r="M357" s="8"/>
      <c r="N357" s="4"/>
      <c r="O357" s="4"/>
      <c r="P357" s="4"/>
      <c r="Q357" s="4"/>
      <c r="R357" s="4"/>
      <c r="S357" s="4"/>
      <c r="T357" s="4"/>
      <c r="U357" s="4"/>
      <c r="V357" s="4"/>
      <c r="W357" s="4"/>
      <c r="X357" s="4"/>
      <c r="Y357" s="4"/>
      <c r="Z357" s="4"/>
      <c r="AA357" s="4"/>
      <c r="AB357" s="6"/>
      <c r="AC357" s="4"/>
      <c r="AD357" s="4"/>
    </row>
    <row r="358" spans="1:30">
      <c r="A358" s="4" t="str">
        <f t="shared" si="12"/>
        <v/>
      </c>
      <c r="B358" s="4"/>
      <c r="C358" s="4"/>
      <c r="D358" s="4"/>
      <c r="E358" s="4"/>
      <c r="F358" s="4"/>
      <c r="G358" s="6"/>
      <c r="H358" s="4"/>
      <c r="I358" s="4"/>
      <c r="J358" s="4"/>
      <c r="K358" s="4" t="str">
        <f t="shared" ca="1" si="11"/>
        <v>Sin fecha</v>
      </c>
      <c r="L358" s="8"/>
      <c r="M358" s="8"/>
      <c r="N358" s="4"/>
      <c r="O358" s="4"/>
      <c r="P358" s="4"/>
      <c r="Q358" s="4"/>
      <c r="R358" s="4"/>
      <c r="S358" s="4"/>
      <c r="T358" s="4"/>
      <c r="U358" s="4"/>
      <c r="V358" s="4"/>
      <c r="W358" s="4"/>
      <c r="X358" s="4"/>
      <c r="Y358" s="4"/>
      <c r="Z358" s="4"/>
      <c r="AA358" s="4"/>
      <c r="AB358" s="6"/>
      <c r="AC358" s="4"/>
      <c r="AD358" s="4"/>
    </row>
    <row r="359" spans="1:30">
      <c r="A359" s="4" t="str">
        <f t="shared" si="12"/>
        <v/>
      </c>
      <c r="B359" s="4"/>
      <c r="C359" s="4"/>
      <c r="D359" s="4"/>
      <c r="E359" s="4"/>
      <c r="F359" s="4"/>
      <c r="G359" s="6"/>
      <c r="H359" s="4"/>
      <c r="I359" s="4"/>
      <c r="J359" s="4"/>
      <c r="K359" s="4" t="str">
        <f t="shared" ca="1" si="11"/>
        <v>Sin fecha</v>
      </c>
      <c r="L359" s="8"/>
      <c r="M359" s="8"/>
      <c r="N359" s="4"/>
      <c r="O359" s="4"/>
      <c r="P359" s="4"/>
      <c r="Q359" s="4"/>
      <c r="R359" s="4"/>
      <c r="S359" s="4"/>
      <c r="T359" s="4"/>
      <c r="U359" s="4"/>
      <c r="V359" s="4"/>
      <c r="W359" s="4"/>
      <c r="X359" s="4"/>
      <c r="Y359" s="4"/>
      <c r="Z359" s="4"/>
      <c r="AA359" s="4"/>
      <c r="AB359" s="6"/>
      <c r="AC359" s="4"/>
      <c r="AD359" s="4"/>
    </row>
    <row r="360" spans="1:30">
      <c r="A360" s="4" t="str">
        <f t="shared" si="12"/>
        <v/>
      </c>
      <c r="B360" s="4"/>
      <c r="C360" s="4"/>
      <c r="D360" s="4"/>
      <c r="E360" s="4"/>
      <c r="F360" s="4"/>
      <c r="G360" s="6"/>
      <c r="H360" s="4"/>
      <c r="I360" s="4"/>
      <c r="J360" s="4"/>
      <c r="K360" s="4" t="str">
        <f t="shared" ca="1" si="11"/>
        <v>Sin fecha</v>
      </c>
      <c r="L360" s="8"/>
      <c r="M360" s="8"/>
      <c r="N360" s="4"/>
      <c r="O360" s="4"/>
      <c r="P360" s="4"/>
      <c r="Q360" s="4"/>
      <c r="R360" s="4"/>
      <c r="S360" s="4"/>
      <c r="T360" s="4"/>
      <c r="U360" s="4"/>
      <c r="V360" s="4"/>
      <c r="W360" s="4"/>
      <c r="X360" s="4"/>
      <c r="Y360" s="4"/>
      <c r="Z360" s="4"/>
      <c r="AA360" s="4"/>
      <c r="AB360" s="6"/>
      <c r="AC360" s="4"/>
      <c r="AD360" s="4"/>
    </row>
    <row r="361" spans="1:30">
      <c r="A361" s="4" t="str">
        <f t="shared" si="12"/>
        <v/>
      </c>
      <c r="B361" s="4"/>
      <c r="C361" s="4"/>
      <c r="D361" s="4"/>
      <c r="E361" s="4"/>
      <c r="F361" s="4"/>
      <c r="G361" s="6"/>
      <c r="H361" s="4"/>
      <c r="I361" s="4"/>
      <c r="J361" s="4"/>
      <c r="K361" s="4" t="str">
        <f t="shared" ca="1" si="11"/>
        <v>Sin fecha</v>
      </c>
      <c r="L361" s="8"/>
      <c r="M361" s="8"/>
      <c r="N361" s="4"/>
      <c r="O361" s="4"/>
      <c r="P361" s="4"/>
      <c r="Q361" s="4"/>
      <c r="R361" s="4"/>
      <c r="S361" s="4"/>
      <c r="T361" s="4"/>
      <c r="U361" s="4"/>
      <c r="V361" s="4"/>
      <c r="W361" s="4"/>
      <c r="X361" s="4"/>
      <c r="Y361" s="4"/>
      <c r="Z361" s="4"/>
      <c r="AA361" s="4"/>
      <c r="AB361" s="6"/>
      <c r="AC361" s="4"/>
      <c r="AD361" s="4"/>
    </row>
    <row r="362" spans="1:30">
      <c r="A362" s="4" t="str">
        <f t="shared" si="12"/>
        <v/>
      </c>
      <c r="B362" s="4"/>
      <c r="C362" s="4"/>
      <c r="D362" s="4"/>
      <c r="E362" s="4"/>
      <c r="F362" s="4"/>
      <c r="G362" s="6"/>
      <c r="H362" s="4"/>
      <c r="I362" s="4"/>
      <c r="J362" s="4"/>
      <c r="K362" s="4" t="str">
        <f t="shared" ca="1" si="11"/>
        <v>Sin fecha</v>
      </c>
      <c r="L362" s="8"/>
      <c r="M362" s="8"/>
      <c r="N362" s="4"/>
      <c r="O362" s="4"/>
      <c r="P362" s="4"/>
      <c r="Q362" s="4"/>
      <c r="R362" s="4"/>
      <c r="S362" s="4"/>
      <c r="T362" s="4"/>
      <c r="U362" s="4"/>
      <c r="V362" s="4"/>
      <c r="W362" s="4"/>
      <c r="X362" s="4"/>
      <c r="Y362" s="4"/>
      <c r="Z362" s="4"/>
      <c r="AA362" s="4"/>
      <c r="AB362" s="6"/>
      <c r="AC362" s="4"/>
      <c r="AD362" s="4"/>
    </row>
    <row r="363" spans="1:30">
      <c r="A363" s="4" t="str">
        <f t="shared" si="12"/>
        <v/>
      </c>
      <c r="B363" s="4"/>
      <c r="C363" s="4"/>
      <c r="D363" s="4"/>
      <c r="E363" s="4"/>
      <c r="F363" s="4"/>
      <c r="G363" s="6"/>
      <c r="H363" s="4"/>
      <c r="I363" s="4"/>
      <c r="J363" s="4"/>
      <c r="K363" s="4" t="str">
        <f t="shared" ca="1" si="11"/>
        <v>Sin fecha</v>
      </c>
      <c r="L363" s="8"/>
      <c r="M363" s="8"/>
      <c r="N363" s="4"/>
      <c r="O363" s="4"/>
      <c r="P363" s="4"/>
      <c r="Q363" s="4"/>
      <c r="R363" s="4"/>
      <c r="S363" s="4"/>
      <c r="T363" s="4"/>
      <c r="U363" s="4"/>
      <c r="V363" s="4"/>
      <c r="W363" s="4"/>
      <c r="X363" s="4"/>
      <c r="Y363" s="4"/>
      <c r="Z363" s="4"/>
      <c r="AA363" s="4"/>
      <c r="AB363" s="6"/>
      <c r="AC363" s="4"/>
      <c r="AD363" s="4"/>
    </row>
    <row r="364" spans="1:30">
      <c r="A364" s="4" t="str">
        <f t="shared" si="12"/>
        <v/>
      </c>
      <c r="B364" s="4"/>
      <c r="C364" s="4"/>
      <c r="D364" s="4"/>
      <c r="E364" s="4"/>
      <c r="F364" s="4"/>
      <c r="G364" s="6"/>
      <c r="H364" s="4"/>
      <c r="I364" s="4"/>
      <c r="J364" s="4"/>
      <c r="K364" s="4" t="str">
        <f t="shared" ca="1" si="11"/>
        <v>Sin fecha</v>
      </c>
      <c r="L364" s="8"/>
      <c r="M364" s="8"/>
      <c r="N364" s="4"/>
      <c r="O364" s="4"/>
      <c r="P364" s="4"/>
      <c r="Q364" s="4"/>
      <c r="R364" s="4"/>
      <c r="S364" s="4"/>
      <c r="T364" s="4"/>
      <c r="U364" s="4"/>
      <c r="V364" s="4"/>
      <c r="W364" s="4"/>
      <c r="X364" s="4"/>
      <c r="Y364" s="4"/>
      <c r="Z364" s="4"/>
      <c r="AA364" s="4"/>
      <c r="AB364" s="6"/>
      <c r="AC364" s="4"/>
      <c r="AD364" s="4"/>
    </row>
    <row r="365" spans="1:30">
      <c r="A365" s="4" t="str">
        <f t="shared" si="12"/>
        <v/>
      </c>
      <c r="B365" s="4"/>
      <c r="C365" s="4"/>
      <c r="D365" s="4"/>
      <c r="E365" s="4"/>
      <c r="F365" s="4"/>
      <c r="G365" s="6"/>
      <c r="H365" s="4"/>
      <c r="I365" s="4"/>
      <c r="J365" s="4"/>
      <c r="K365" s="4" t="str">
        <f t="shared" ca="1" si="11"/>
        <v>Sin fecha</v>
      </c>
      <c r="L365" s="8"/>
      <c r="M365" s="8"/>
      <c r="N365" s="4"/>
      <c r="O365" s="4"/>
      <c r="P365" s="4"/>
      <c r="Q365" s="4"/>
      <c r="R365" s="4"/>
      <c r="S365" s="4"/>
      <c r="T365" s="4"/>
      <c r="U365" s="4"/>
      <c r="V365" s="4"/>
      <c r="W365" s="4"/>
      <c r="X365" s="4"/>
      <c r="Y365" s="4"/>
      <c r="Z365" s="4"/>
      <c r="AA365" s="4"/>
      <c r="AB365" s="6"/>
      <c r="AC365" s="4"/>
      <c r="AD365" s="4"/>
    </row>
    <row r="366" spans="1:30">
      <c r="A366" s="4" t="str">
        <f t="shared" si="12"/>
        <v/>
      </c>
      <c r="B366" s="4"/>
      <c r="C366" s="4"/>
      <c r="D366" s="4"/>
      <c r="E366" s="4"/>
      <c r="F366" s="4"/>
      <c r="G366" s="6"/>
      <c r="H366" s="4"/>
      <c r="I366" s="4"/>
      <c r="J366" s="4"/>
      <c r="K366" s="4" t="str">
        <f t="shared" ca="1" si="11"/>
        <v>Sin fecha</v>
      </c>
      <c r="L366" s="8"/>
      <c r="M366" s="8"/>
      <c r="N366" s="4"/>
      <c r="O366" s="4"/>
      <c r="P366" s="4"/>
      <c r="Q366" s="4"/>
      <c r="R366" s="4"/>
      <c r="S366" s="4"/>
      <c r="T366" s="4"/>
      <c r="U366" s="4"/>
      <c r="V366" s="4"/>
      <c r="W366" s="4"/>
      <c r="X366" s="4"/>
      <c r="Y366" s="4"/>
      <c r="Z366" s="4"/>
      <c r="AA366" s="4"/>
      <c r="AB366" s="6"/>
      <c r="AC366" s="4"/>
      <c r="AD366" s="4"/>
    </row>
    <row r="367" spans="1:30">
      <c r="A367" s="4" t="str">
        <f t="shared" si="12"/>
        <v/>
      </c>
      <c r="B367" s="4"/>
      <c r="C367" s="4"/>
      <c r="D367" s="4"/>
      <c r="E367" s="4"/>
      <c r="F367" s="4"/>
      <c r="G367" s="6"/>
      <c r="H367" s="4"/>
      <c r="I367" s="4"/>
      <c r="J367" s="4"/>
      <c r="K367" s="4" t="str">
        <f t="shared" ca="1" si="11"/>
        <v>Sin fecha</v>
      </c>
      <c r="L367" s="8"/>
      <c r="M367" s="8"/>
      <c r="N367" s="4"/>
      <c r="O367" s="4"/>
      <c r="P367" s="4"/>
      <c r="Q367" s="4"/>
      <c r="R367" s="4"/>
      <c r="S367" s="4"/>
      <c r="T367" s="4"/>
      <c r="U367" s="4"/>
      <c r="V367" s="4"/>
      <c r="W367" s="4"/>
      <c r="X367" s="4"/>
      <c r="Y367" s="4"/>
      <c r="Z367" s="4"/>
      <c r="AA367" s="4"/>
      <c r="AB367" s="6"/>
      <c r="AC367" s="4"/>
      <c r="AD367" s="4"/>
    </row>
    <row r="368" spans="1:30">
      <c r="A368" s="4" t="str">
        <f t="shared" si="12"/>
        <v/>
      </c>
      <c r="B368" s="4"/>
      <c r="C368" s="4"/>
      <c r="D368" s="4"/>
      <c r="E368" s="4"/>
      <c r="F368" s="4"/>
      <c r="G368" s="6"/>
      <c r="H368" s="4"/>
      <c r="I368" s="4"/>
      <c r="J368" s="4"/>
      <c r="K368" s="4" t="str">
        <f t="shared" ca="1" si="11"/>
        <v>Sin fecha</v>
      </c>
      <c r="L368" s="8"/>
      <c r="M368" s="8"/>
      <c r="N368" s="4"/>
      <c r="O368" s="4"/>
      <c r="P368" s="4"/>
      <c r="Q368" s="4"/>
      <c r="R368" s="4"/>
      <c r="S368" s="4"/>
      <c r="T368" s="4"/>
      <c r="U368" s="4"/>
      <c r="V368" s="4"/>
      <c r="W368" s="4"/>
      <c r="X368" s="4"/>
      <c r="Y368" s="4"/>
      <c r="Z368" s="4"/>
      <c r="AA368" s="4"/>
      <c r="AB368" s="6"/>
      <c r="AC368" s="4"/>
      <c r="AD368" s="4"/>
    </row>
    <row r="369" spans="1:30">
      <c r="A369" s="4" t="str">
        <f t="shared" si="12"/>
        <v/>
      </c>
      <c r="B369" s="4"/>
      <c r="C369" s="4"/>
      <c r="D369" s="4"/>
      <c r="E369" s="4"/>
      <c r="F369" s="4"/>
      <c r="G369" s="6"/>
      <c r="H369" s="4"/>
      <c r="I369" s="4"/>
      <c r="J369" s="4"/>
      <c r="K369" s="4" t="str">
        <f t="shared" ca="1" si="11"/>
        <v>Sin fecha</v>
      </c>
      <c r="L369" s="8"/>
      <c r="M369" s="8"/>
      <c r="N369" s="4"/>
      <c r="O369" s="4"/>
      <c r="P369" s="4"/>
      <c r="Q369" s="4"/>
      <c r="R369" s="4"/>
      <c r="S369" s="4"/>
      <c r="T369" s="4"/>
      <c r="U369" s="4"/>
      <c r="V369" s="4"/>
      <c r="W369" s="4"/>
      <c r="X369" s="4"/>
      <c r="Y369" s="4"/>
      <c r="Z369" s="4"/>
      <c r="AA369" s="4"/>
      <c r="AB369" s="6"/>
      <c r="AC369" s="4"/>
      <c r="AD369" s="4"/>
    </row>
    <row r="370" spans="1:30">
      <c r="A370" s="4" t="str">
        <f t="shared" si="12"/>
        <v/>
      </c>
      <c r="B370" s="4"/>
      <c r="C370" s="4"/>
      <c r="D370" s="4"/>
      <c r="E370" s="4"/>
      <c r="F370" s="4"/>
      <c r="G370" s="6"/>
      <c r="H370" s="4"/>
      <c r="I370" s="4"/>
      <c r="J370" s="4"/>
      <c r="K370" s="4" t="str">
        <f t="shared" ca="1" si="11"/>
        <v>Sin fecha</v>
      </c>
      <c r="L370" s="8"/>
      <c r="M370" s="8"/>
      <c r="N370" s="4"/>
      <c r="O370" s="4"/>
      <c r="P370" s="4"/>
      <c r="Q370" s="4"/>
      <c r="R370" s="4"/>
      <c r="S370" s="4"/>
      <c r="T370" s="4"/>
      <c r="U370" s="4"/>
      <c r="V370" s="4"/>
      <c r="W370" s="4"/>
      <c r="X370" s="4"/>
      <c r="Y370" s="4"/>
      <c r="Z370" s="4"/>
      <c r="AA370" s="4"/>
      <c r="AB370" s="6"/>
      <c r="AC370" s="4"/>
      <c r="AD370" s="4"/>
    </row>
    <row r="371" spans="1:30">
      <c r="A371" s="4" t="str">
        <f t="shared" si="12"/>
        <v/>
      </c>
      <c r="B371" s="4"/>
      <c r="C371" s="4"/>
      <c r="D371" s="4"/>
      <c r="E371" s="4"/>
      <c r="F371" s="4"/>
      <c r="G371" s="6"/>
      <c r="H371" s="4"/>
      <c r="I371" s="4"/>
      <c r="J371" s="4"/>
      <c r="K371" s="4" t="str">
        <f t="shared" ca="1" si="11"/>
        <v>Sin fecha</v>
      </c>
      <c r="L371" s="8"/>
      <c r="M371" s="8"/>
      <c r="N371" s="4"/>
      <c r="O371" s="4"/>
      <c r="P371" s="4"/>
      <c r="Q371" s="4"/>
      <c r="R371" s="4"/>
      <c r="S371" s="4"/>
      <c r="T371" s="4"/>
      <c r="U371" s="4"/>
      <c r="V371" s="4"/>
      <c r="W371" s="4"/>
      <c r="X371" s="4"/>
      <c r="Y371" s="4"/>
      <c r="Z371" s="4"/>
      <c r="AA371" s="4"/>
      <c r="AB371" s="6"/>
      <c r="AC371" s="4"/>
      <c r="AD371" s="4"/>
    </row>
    <row r="372" spans="1:30">
      <c r="A372" s="4" t="str">
        <f t="shared" si="12"/>
        <v/>
      </c>
      <c r="B372" s="4"/>
      <c r="C372" s="4"/>
      <c r="D372" s="4"/>
      <c r="E372" s="4"/>
      <c r="F372" s="4"/>
      <c r="G372" s="6"/>
      <c r="H372" s="4"/>
      <c r="I372" s="4"/>
      <c r="J372" s="4"/>
      <c r="K372" s="4" t="str">
        <f t="shared" ca="1" si="11"/>
        <v>Sin fecha</v>
      </c>
      <c r="L372" s="8"/>
      <c r="M372" s="8"/>
      <c r="N372" s="4"/>
      <c r="O372" s="4"/>
      <c r="P372" s="4"/>
      <c r="Q372" s="4"/>
      <c r="R372" s="4"/>
      <c r="S372" s="4"/>
      <c r="T372" s="4"/>
      <c r="U372" s="4"/>
      <c r="V372" s="4"/>
      <c r="W372" s="4"/>
      <c r="X372" s="4"/>
      <c r="Y372" s="4"/>
      <c r="Z372" s="4"/>
      <c r="AA372" s="4"/>
      <c r="AB372" s="6"/>
      <c r="AC372" s="4"/>
      <c r="AD372" s="4"/>
    </row>
    <row r="373" spans="1:30">
      <c r="A373" s="4" t="str">
        <f t="shared" si="12"/>
        <v/>
      </c>
      <c r="B373" s="4"/>
      <c r="C373" s="4"/>
      <c r="D373" s="4"/>
      <c r="E373" s="4"/>
      <c r="F373" s="4"/>
      <c r="G373" s="6"/>
      <c r="H373" s="4"/>
      <c r="I373" s="4"/>
      <c r="J373" s="4"/>
      <c r="K373" s="4" t="str">
        <f t="shared" ca="1" si="11"/>
        <v>Sin fecha</v>
      </c>
      <c r="L373" s="8"/>
      <c r="M373" s="8"/>
      <c r="N373" s="4"/>
      <c r="O373" s="4"/>
      <c r="P373" s="4"/>
      <c r="Q373" s="4"/>
      <c r="R373" s="4"/>
      <c r="S373" s="4"/>
      <c r="T373" s="4"/>
      <c r="U373" s="4"/>
      <c r="V373" s="4"/>
      <c r="W373" s="4"/>
      <c r="X373" s="4"/>
      <c r="Y373" s="4"/>
      <c r="Z373" s="4"/>
      <c r="AA373" s="4"/>
      <c r="AB373" s="6"/>
      <c r="AC373" s="4"/>
      <c r="AD373" s="4"/>
    </row>
    <row r="374" spans="1:30">
      <c r="A374" s="4" t="str">
        <f t="shared" si="12"/>
        <v/>
      </c>
      <c r="B374" s="4"/>
      <c r="C374" s="4"/>
      <c r="D374" s="4"/>
      <c r="E374" s="4"/>
      <c r="F374" s="4"/>
      <c r="G374" s="6"/>
      <c r="H374" s="4"/>
      <c r="I374" s="4"/>
      <c r="J374" s="4"/>
      <c r="K374" s="4" t="str">
        <f t="shared" ca="1" si="11"/>
        <v>Sin fecha</v>
      </c>
      <c r="L374" s="8"/>
      <c r="M374" s="8"/>
      <c r="N374" s="4"/>
      <c r="O374" s="4"/>
      <c r="P374" s="4"/>
      <c r="Q374" s="4"/>
      <c r="R374" s="4"/>
      <c r="S374" s="4"/>
      <c r="T374" s="4"/>
      <c r="U374" s="4"/>
      <c r="V374" s="4"/>
      <c r="W374" s="4"/>
      <c r="X374" s="4"/>
      <c r="Y374" s="4"/>
      <c r="Z374" s="4"/>
      <c r="AA374" s="4"/>
      <c r="AB374" s="6"/>
      <c r="AC374" s="4"/>
      <c r="AD374" s="4"/>
    </row>
    <row r="375" spans="1:30">
      <c r="A375" s="4" t="str">
        <f t="shared" si="12"/>
        <v/>
      </c>
      <c r="B375" s="4"/>
      <c r="C375" s="4"/>
      <c r="D375" s="4"/>
      <c r="E375" s="4"/>
      <c r="F375" s="4"/>
      <c r="G375" s="6"/>
      <c r="H375" s="4"/>
      <c r="I375" s="4"/>
      <c r="J375" s="4"/>
      <c r="K375" s="4" t="str">
        <f t="shared" ca="1" si="11"/>
        <v>Sin fecha</v>
      </c>
      <c r="L375" s="8"/>
      <c r="M375" s="8"/>
      <c r="N375" s="4"/>
      <c r="O375" s="4"/>
      <c r="P375" s="4"/>
      <c r="Q375" s="4"/>
      <c r="R375" s="4"/>
      <c r="S375" s="4"/>
      <c r="T375" s="4"/>
      <c r="U375" s="4"/>
      <c r="V375" s="4"/>
      <c r="W375" s="4"/>
      <c r="X375" s="4"/>
      <c r="Y375" s="4"/>
      <c r="Z375" s="4"/>
      <c r="AA375" s="4"/>
      <c r="AB375" s="6"/>
      <c r="AC375" s="4"/>
      <c r="AD375" s="4"/>
    </row>
    <row r="376" spans="1:30">
      <c r="A376" s="4" t="str">
        <f t="shared" si="12"/>
        <v/>
      </c>
      <c r="B376" s="4"/>
      <c r="C376" s="4"/>
      <c r="D376" s="4"/>
      <c r="E376" s="4"/>
      <c r="F376" s="4"/>
      <c r="G376" s="6"/>
      <c r="H376" s="4"/>
      <c r="I376" s="4"/>
      <c r="J376" s="4"/>
      <c r="K376" s="4" t="str">
        <f t="shared" ca="1" si="11"/>
        <v>Sin fecha</v>
      </c>
      <c r="L376" s="8"/>
      <c r="M376" s="8"/>
      <c r="N376" s="4"/>
      <c r="O376" s="4"/>
      <c r="P376" s="4"/>
      <c r="Q376" s="4"/>
      <c r="R376" s="4"/>
      <c r="S376" s="4"/>
      <c r="T376" s="4"/>
      <c r="U376" s="4"/>
      <c r="V376" s="4"/>
      <c r="W376" s="4"/>
      <c r="X376" s="4"/>
      <c r="Y376" s="4"/>
      <c r="Z376" s="4"/>
      <c r="AA376" s="4"/>
      <c r="AB376" s="6"/>
      <c r="AC376" s="4"/>
      <c r="AD376" s="4"/>
    </row>
    <row r="377" spans="1:30">
      <c r="A377" s="4" t="str">
        <f t="shared" si="12"/>
        <v/>
      </c>
      <c r="B377" s="4"/>
      <c r="C377" s="4"/>
      <c r="D377" s="4"/>
      <c r="E377" s="4"/>
      <c r="F377" s="4"/>
      <c r="G377" s="6"/>
      <c r="H377" s="4"/>
      <c r="I377" s="4"/>
      <c r="J377" s="4"/>
      <c r="K377" s="4" t="str">
        <f t="shared" ca="1" si="11"/>
        <v>Sin fecha</v>
      </c>
      <c r="L377" s="8"/>
      <c r="M377" s="8"/>
      <c r="N377" s="4"/>
      <c r="O377" s="4"/>
      <c r="P377" s="4"/>
      <c r="Q377" s="4"/>
      <c r="R377" s="4"/>
      <c r="S377" s="4"/>
      <c r="T377" s="4"/>
      <c r="U377" s="4"/>
      <c r="V377" s="4"/>
      <c r="W377" s="4"/>
      <c r="X377" s="4"/>
      <c r="Y377" s="4"/>
      <c r="Z377" s="4"/>
      <c r="AA377" s="4"/>
      <c r="AB377" s="6"/>
      <c r="AC377" s="4"/>
      <c r="AD377" s="4"/>
    </row>
    <row r="378" spans="1:30">
      <c r="A378" s="4" t="str">
        <f t="shared" si="12"/>
        <v/>
      </c>
      <c r="B378" s="4"/>
      <c r="C378" s="4"/>
      <c r="D378" s="4"/>
      <c r="E378" s="4"/>
      <c r="F378" s="4"/>
      <c r="G378" s="6"/>
      <c r="H378" s="4"/>
      <c r="I378" s="4"/>
      <c r="J378" s="4"/>
      <c r="K378" s="4" t="str">
        <f t="shared" ca="1" si="11"/>
        <v>Sin fecha</v>
      </c>
      <c r="L378" s="8"/>
      <c r="M378" s="8"/>
      <c r="N378" s="4"/>
      <c r="O378" s="4"/>
      <c r="P378" s="4"/>
      <c r="Q378" s="4"/>
      <c r="R378" s="4"/>
      <c r="S378" s="4"/>
      <c r="T378" s="4"/>
      <c r="U378" s="4"/>
      <c r="V378" s="4"/>
      <c r="W378" s="4"/>
      <c r="X378" s="4"/>
      <c r="Y378" s="4"/>
      <c r="Z378" s="4"/>
      <c r="AA378" s="4"/>
      <c r="AB378" s="6"/>
      <c r="AC378" s="4"/>
      <c r="AD378" s="4"/>
    </row>
    <row r="379" spans="1:30">
      <c r="A379" s="4" t="str">
        <f t="shared" si="12"/>
        <v/>
      </c>
      <c r="B379" s="4"/>
      <c r="C379" s="4"/>
      <c r="D379" s="4"/>
      <c r="E379" s="4"/>
      <c r="F379" s="4"/>
      <c r="G379" s="6"/>
      <c r="H379" s="4"/>
      <c r="I379" s="4"/>
      <c r="J379" s="4"/>
      <c r="K379" s="4" t="str">
        <f t="shared" ca="1" si="11"/>
        <v>Sin fecha</v>
      </c>
      <c r="L379" s="8"/>
      <c r="M379" s="8"/>
      <c r="N379" s="4"/>
      <c r="O379" s="4"/>
      <c r="P379" s="4"/>
      <c r="Q379" s="4"/>
      <c r="R379" s="4"/>
      <c r="S379" s="4"/>
      <c r="T379" s="4"/>
      <c r="U379" s="4"/>
      <c r="V379" s="4"/>
      <c r="W379" s="4"/>
      <c r="X379" s="4"/>
      <c r="Y379" s="4"/>
      <c r="Z379" s="4"/>
      <c r="AA379" s="4"/>
      <c r="AB379" s="6"/>
      <c r="AC379" s="4"/>
      <c r="AD379" s="4"/>
    </row>
    <row r="380" spans="1:30">
      <c r="A380" s="4" t="str">
        <f t="shared" si="12"/>
        <v/>
      </c>
      <c r="B380" s="4"/>
      <c r="C380" s="4"/>
      <c r="D380" s="4"/>
      <c r="E380" s="4"/>
      <c r="F380" s="4"/>
      <c r="G380" s="6"/>
      <c r="H380" s="4"/>
      <c r="I380" s="4"/>
      <c r="J380" s="4"/>
      <c r="K380" s="4" t="str">
        <f t="shared" ca="1" si="11"/>
        <v>Sin fecha</v>
      </c>
      <c r="L380" s="8"/>
      <c r="M380" s="8"/>
      <c r="N380" s="4"/>
      <c r="O380" s="4"/>
      <c r="P380" s="4"/>
      <c r="Q380" s="4"/>
      <c r="R380" s="4"/>
      <c r="S380" s="4"/>
      <c r="T380" s="4"/>
      <c r="U380" s="4"/>
      <c r="V380" s="4"/>
      <c r="W380" s="4"/>
      <c r="X380" s="4"/>
      <c r="Y380" s="4"/>
      <c r="Z380" s="4"/>
      <c r="AA380" s="4"/>
      <c r="AB380" s="6"/>
      <c r="AC380" s="4"/>
      <c r="AD380" s="4"/>
    </row>
    <row r="381" spans="1:30">
      <c r="A381" s="4" t="str">
        <f t="shared" si="12"/>
        <v/>
      </c>
      <c r="B381" s="4"/>
      <c r="C381" s="4"/>
      <c r="D381" s="4"/>
      <c r="E381" s="4"/>
      <c r="F381" s="4"/>
      <c r="G381" s="6"/>
      <c r="H381" s="4"/>
      <c r="I381" s="4"/>
      <c r="J381" s="4"/>
      <c r="K381" s="4" t="str">
        <f t="shared" ca="1" si="11"/>
        <v>Sin fecha</v>
      </c>
      <c r="L381" s="8"/>
      <c r="M381" s="8"/>
      <c r="N381" s="4"/>
      <c r="O381" s="4"/>
      <c r="P381" s="4"/>
      <c r="Q381" s="4"/>
      <c r="R381" s="4"/>
      <c r="S381" s="4"/>
      <c r="T381" s="4"/>
      <c r="U381" s="4"/>
      <c r="V381" s="4"/>
      <c r="W381" s="4"/>
      <c r="X381" s="4"/>
      <c r="Y381" s="4"/>
      <c r="Z381" s="4"/>
      <c r="AA381" s="4"/>
      <c r="AB381" s="6"/>
      <c r="AC381" s="4"/>
      <c r="AD381" s="4"/>
    </row>
    <row r="382" spans="1:30">
      <c r="A382" s="4" t="str">
        <f t="shared" si="12"/>
        <v/>
      </c>
      <c r="B382" s="4"/>
      <c r="C382" s="4"/>
      <c r="D382" s="4"/>
      <c r="E382" s="4"/>
      <c r="F382" s="4"/>
      <c r="G382" s="6"/>
      <c r="H382" s="4"/>
      <c r="I382" s="4"/>
      <c r="J382" s="4"/>
      <c r="K382" s="4" t="str">
        <f t="shared" ca="1" si="11"/>
        <v>Sin fecha</v>
      </c>
      <c r="L382" s="8"/>
      <c r="M382" s="8"/>
      <c r="N382" s="4"/>
      <c r="O382" s="4"/>
      <c r="P382" s="4"/>
      <c r="Q382" s="4"/>
      <c r="R382" s="4"/>
      <c r="S382" s="4"/>
      <c r="T382" s="4"/>
      <c r="U382" s="4"/>
      <c r="V382" s="4"/>
      <c r="W382" s="4"/>
      <c r="X382" s="4"/>
      <c r="Y382" s="4"/>
      <c r="Z382" s="4"/>
      <c r="AA382" s="4"/>
      <c r="AB382" s="6"/>
      <c r="AC382" s="4"/>
      <c r="AD382" s="4"/>
    </row>
    <row r="383" spans="1:30">
      <c r="A383" s="4" t="str">
        <f t="shared" si="12"/>
        <v/>
      </c>
      <c r="B383" s="4"/>
      <c r="C383" s="4"/>
      <c r="D383" s="4"/>
      <c r="E383" s="4"/>
      <c r="F383" s="4"/>
      <c r="G383" s="6"/>
      <c r="H383" s="4"/>
      <c r="I383" s="4"/>
      <c r="J383" s="4"/>
      <c r="K383" s="4" t="str">
        <f t="shared" ca="1" si="11"/>
        <v>Sin fecha</v>
      </c>
      <c r="L383" s="8"/>
      <c r="M383" s="8"/>
      <c r="N383" s="4"/>
      <c r="O383" s="4"/>
      <c r="P383" s="4"/>
      <c r="Q383" s="4"/>
      <c r="R383" s="4"/>
      <c r="S383" s="4"/>
      <c r="T383" s="4"/>
      <c r="U383" s="4"/>
      <c r="V383" s="4"/>
      <c r="W383" s="4"/>
      <c r="X383" s="4"/>
      <c r="Y383" s="4"/>
      <c r="Z383" s="4"/>
      <c r="AA383" s="4"/>
      <c r="AB383" s="6"/>
      <c r="AC383" s="4"/>
      <c r="AD383" s="4"/>
    </row>
    <row r="384" spans="1:30">
      <c r="A384" s="4" t="str">
        <f t="shared" si="12"/>
        <v/>
      </c>
      <c r="B384" s="4"/>
      <c r="C384" s="4"/>
      <c r="D384" s="4"/>
      <c r="E384" s="4"/>
      <c r="F384" s="4"/>
      <c r="G384" s="6"/>
      <c r="H384" s="4"/>
      <c r="I384" s="4"/>
      <c r="J384" s="4"/>
      <c r="K384" s="4" t="str">
        <f t="shared" ref="K384:K447" ca="1" si="13">IF(J384="Cerrada","Cerrada",IF(J384="Suspendida","Suspendida",IF(G384="","Sin fecha",IF(G384&lt;TODAY(),"Vencida",IF(G384-TODAY()&lt;=30,"Próxima a vencer","Abierta")))))</f>
        <v>Sin fecha</v>
      </c>
      <c r="L384" s="8"/>
      <c r="M384" s="8"/>
      <c r="N384" s="4"/>
      <c r="O384" s="4"/>
      <c r="P384" s="4"/>
      <c r="Q384" s="4"/>
      <c r="R384" s="4"/>
      <c r="S384" s="4"/>
      <c r="T384" s="4"/>
      <c r="U384" s="4"/>
      <c r="V384" s="4"/>
      <c r="W384" s="4"/>
      <c r="X384" s="4"/>
      <c r="Y384" s="4"/>
      <c r="Z384" s="4"/>
      <c r="AA384" s="4"/>
      <c r="AB384" s="6"/>
      <c r="AC384" s="4"/>
      <c r="AD384" s="4"/>
    </row>
    <row r="385" spans="1:30">
      <c r="A385" s="4" t="str">
        <f t="shared" ref="A385:A448" si="14">IF(C385="","","OP-"&amp;TEXT(ROW()-1,"0000"))</f>
        <v/>
      </c>
      <c r="B385" s="4"/>
      <c r="C385" s="4"/>
      <c r="D385" s="4"/>
      <c r="E385" s="4"/>
      <c r="F385" s="4"/>
      <c r="G385" s="6"/>
      <c r="H385" s="4"/>
      <c r="I385" s="4"/>
      <c r="J385" s="4"/>
      <c r="K385" s="4" t="str">
        <f t="shared" ca="1" si="13"/>
        <v>Sin fecha</v>
      </c>
      <c r="L385" s="8"/>
      <c r="M385" s="8"/>
      <c r="N385" s="4"/>
      <c r="O385" s="4"/>
      <c r="P385" s="4"/>
      <c r="Q385" s="4"/>
      <c r="R385" s="4"/>
      <c r="S385" s="4"/>
      <c r="T385" s="4"/>
      <c r="U385" s="4"/>
      <c r="V385" s="4"/>
      <c r="W385" s="4"/>
      <c r="X385" s="4"/>
      <c r="Y385" s="4"/>
      <c r="Z385" s="4"/>
      <c r="AA385" s="4"/>
      <c r="AB385" s="6"/>
      <c r="AC385" s="4"/>
      <c r="AD385" s="4"/>
    </row>
    <row r="386" spans="1:30">
      <c r="A386" s="4" t="str">
        <f t="shared" si="14"/>
        <v/>
      </c>
      <c r="B386" s="4"/>
      <c r="C386" s="4"/>
      <c r="D386" s="4"/>
      <c r="E386" s="4"/>
      <c r="F386" s="4"/>
      <c r="G386" s="6"/>
      <c r="H386" s="4"/>
      <c r="I386" s="4"/>
      <c r="J386" s="4"/>
      <c r="K386" s="4" t="str">
        <f t="shared" ca="1" si="13"/>
        <v>Sin fecha</v>
      </c>
      <c r="L386" s="8"/>
      <c r="M386" s="8"/>
      <c r="N386" s="4"/>
      <c r="O386" s="4"/>
      <c r="P386" s="4"/>
      <c r="Q386" s="4"/>
      <c r="R386" s="4"/>
      <c r="S386" s="4"/>
      <c r="T386" s="4"/>
      <c r="U386" s="4"/>
      <c r="V386" s="4"/>
      <c r="W386" s="4"/>
      <c r="X386" s="4"/>
      <c r="Y386" s="4"/>
      <c r="Z386" s="4"/>
      <c r="AA386" s="4"/>
      <c r="AB386" s="6"/>
      <c r="AC386" s="4"/>
      <c r="AD386" s="4"/>
    </row>
    <row r="387" spans="1:30">
      <c r="A387" s="4" t="str">
        <f t="shared" si="14"/>
        <v/>
      </c>
      <c r="B387" s="4"/>
      <c r="C387" s="4"/>
      <c r="D387" s="4"/>
      <c r="E387" s="4"/>
      <c r="F387" s="4"/>
      <c r="G387" s="6"/>
      <c r="H387" s="4"/>
      <c r="I387" s="4"/>
      <c r="J387" s="4"/>
      <c r="K387" s="4" t="str">
        <f t="shared" ca="1" si="13"/>
        <v>Sin fecha</v>
      </c>
      <c r="L387" s="8"/>
      <c r="M387" s="8"/>
      <c r="N387" s="4"/>
      <c r="O387" s="4"/>
      <c r="P387" s="4"/>
      <c r="Q387" s="4"/>
      <c r="R387" s="4"/>
      <c r="S387" s="4"/>
      <c r="T387" s="4"/>
      <c r="U387" s="4"/>
      <c r="V387" s="4"/>
      <c r="W387" s="4"/>
      <c r="X387" s="4"/>
      <c r="Y387" s="4"/>
      <c r="Z387" s="4"/>
      <c r="AA387" s="4"/>
      <c r="AB387" s="6"/>
      <c r="AC387" s="4"/>
      <c r="AD387" s="4"/>
    </row>
    <row r="388" spans="1:30">
      <c r="A388" s="4" t="str">
        <f t="shared" si="14"/>
        <v/>
      </c>
      <c r="B388" s="4"/>
      <c r="C388" s="4"/>
      <c r="D388" s="4"/>
      <c r="E388" s="4"/>
      <c r="F388" s="4"/>
      <c r="G388" s="6"/>
      <c r="H388" s="4"/>
      <c r="I388" s="4"/>
      <c r="J388" s="4"/>
      <c r="K388" s="4" t="str">
        <f t="shared" ca="1" si="13"/>
        <v>Sin fecha</v>
      </c>
      <c r="L388" s="8"/>
      <c r="M388" s="8"/>
      <c r="N388" s="4"/>
      <c r="O388" s="4"/>
      <c r="P388" s="4"/>
      <c r="Q388" s="4"/>
      <c r="R388" s="4"/>
      <c r="S388" s="4"/>
      <c r="T388" s="4"/>
      <c r="U388" s="4"/>
      <c r="V388" s="4"/>
      <c r="W388" s="4"/>
      <c r="X388" s="4"/>
      <c r="Y388" s="4"/>
      <c r="Z388" s="4"/>
      <c r="AA388" s="4"/>
      <c r="AB388" s="6"/>
      <c r="AC388" s="4"/>
      <c r="AD388" s="4"/>
    </row>
    <row r="389" spans="1:30">
      <c r="A389" s="4" t="str">
        <f t="shared" si="14"/>
        <v/>
      </c>
      <c r="B389" s="4"/>
      <c r="C389" s="4"/>
      <c r="D389" s="4"/>
      <c r="E389" s="4"/>
      <c r="F389" s="4"/>
      <c r="G389" s="6"/>
      <c r="H389" s="4"/>
      <c r="I389" s="4"/>
      <c r="J389" s="4"/>
      <c r="K389" s="4" t="str">
        <f t="shared" ca="1" si="13"/>
        <v>Sin fecha</v>
      </c>
      <c r="L389" s="8"/>
      <c r="M389" s="8"/>
      <c r="N389" s="4"/>
      <c r="O389" s="4"/>
      <c r="P389" s="4"/>
      <c r="Q389" s="4"/>
      <c r="R389" s="4"/>
      <c r="S389" s="4"/>
      <c r="T389" s="4"/>
      <c r="U389" s="4"/>
      <c r="V389" s="4"/>
      <c r="W389" s="4"/>
      <c r="X389" s="4"/>
      <c r="Y389" s="4"/>
      <c r="Z389" s="4"/>
      <c r="AA389" s="4"/>
      <c r="AB389" s="6"/>
      <c r="AC389" s="4"/>
      <c r="AD389" s="4"/>
    </row>
    <row r="390" spans="1:30">
      <c r="A390" s="4" t="str">
        <f t="shared" si="14"/>
        <v/>
      </c>
      <c r="B390" s="4"/>
      <c r="C390" s="4"/>
      <c r="D390" s="4"/>
      <c r="E390" s="4"/>
      <c r="F390" s="4"/>
      <c r="G390" s="6"/>
      <c r="H390" s="4"/>
      <c r="I390" s="4"/>
      <c r="J390" s="4"/>
      <c r="K390" s="4" t="str">
        <f t="shared" ca="1" si="13"/>
        <v>Sin fecha</v>
      </c>
      <c r="L390" s="8"/>
      <c r="M390" s="8"/>
      <c r="N390" s="4"/>
      <c r="O390" s="4"/>
      <c r="P390" s="4"/>
      <c r="Q390" s="4"/>
      <c r="R390" s="4"/>
      <c r="S390" s="4"/>
      <c r="T390" s="4"/>
      <c r="U390" s="4"/>
      <c r="V390" s="4"/>
      <c r="W390" s="4"/>
      <c r="X390" s="4"/>
      <c r="Y390" s="4"/>
      <c r="Z390" s="4"/>
      <c r="AA390" s="4"/>
      <c r="AB390" s="6"/>
      <c r="AC390" s="4"/>
      <c r="AD390" s="4"/>
    </row>
    <row r="391" spans="1:30">
      <c r="A391" s="4" t="str">
        <f t="shared" si="14"/>
        <v/>
      </c>
      <c r="B391" s="4"/>
      <c r="C391" s="4"/>
      <c r="D391" s="4"/>
      <c r="E391" s="4"/>
      <c r="F391" s="4"/>
      <c r="G391" s="6"/>
      <c r="H391" s="4"/>
      <c r="I391" s="4"/>
      <c r="J391" s="4"/>
      <c r="K391" s="4" t="str">
        <f t="shared" ca="1" si="13"/>
        <v>Sin fecha</v>
      </c>
      <c r="L391" s="8"/>
      <c r="M391" s="8"/>
      <c r="N391" s="4"/>
      <c r="O391" s="4"/>
      <c r="P391" s="4"/>
      <c r="Q391" s="4"/>
      <c r="R391" s="4"/>
      <c r="S391" s="4"/>
      <c r="T391" s="4"/>
      <c r="U391" s="4"/>
      <c r="V391" s="4"/>
      <c r="W391" s="4"/>
      <c r="X391" s="4"/>
      <c r="Y391" s="4"/>
      <c r="Z391" s="4"/>
      <c r="AA391" s="4"/>
      <c r="AB391" s="6"/>
      <c r="AC391" s="4"/>
      <c r="AD391" s="4"/>
    </row>
    <row r="392" spans="1:30">
      <c r="A392" s="4" t="str">
        <f t="shared" si="14"/>
        <v/>
      </c>
      <c r="B392" s="4"/>
      <c r="C392" s="4"/>
      <c r="D392" s="4"/>
      <c r="E392" s="4"/>
      <c r="F392" s="4"/>
      <c r="G392" s="6"/>
      <c r="H392" s="4"/>
      <c r="I392" s="4"/>
      <c r="J392" s="4"/>
      <c r="K392" s="4" t="str">
        <f t="shared" ca="1" si="13"/>
        <v>Sin fecha</v>
      </c>
      <c r="L392" s="8"/>
      <c r="M392" s="8"/>
      <c r="N392" s="4"/>
      <c r="O392" s="4"/>
      <c r="P392" s="4"/>
      <c r="Q392" s="4"/>
      <c r="R392" s="4"/>
      <c r="S392" s="4"/>
      <c r="T392" s="4"/>
      <c r="U392" s="4"/>
      <c r="V392" s="4"/>
      <c r="W392" s="4"/>
      <c r="X392" s="4"/>
      <c r="Y392" s="4"/>
      <c r="Z392" s="4"/>
      <c r="AA392" s="4"/>
      <c r="AB392" s="6"/>
      <c r="AC392" s="4"/>
      <c r="AD392" s="4"/>
    </row>
    <row r="393" spans="1:30">
      <c r="A393" s="4" t="str">
        <f t="shared" si="14"/>
        <v/>
      </c>
      <c r="B393" s="4"/>
      <c r="C393" s="4"/>
      <c r="D393" s="4"/>
      <c r="E393" s="4"/>
      <c r="F393" s="4"/>
      <c r="G393" s="6"/>
      <c r="H393" s="4"/>
      <c r="I393" s="4"/>
      <c r="J393" s="4"/>
      <c r="K393" s="4" t="str">
        <f t="shared" ca="1" si="13"/>
        <v>Sin fecha</v>
      </c>
      <c r="L393" s="8"/>
      <c r="M393" s="8"/>
      <c r="N393" s="4"/>
      <c r="O393" s="4"/>
      <c r="P393" s="4"/>
      <c r="Q393" s="4"/>
      <c r="R393" s="4"/>
      <c r="S393" s="4"/>
      <c r="T393" s="4"/>
      <c r="U393" s="4"/>
      <c r="V393" s="4"/>
      <c r="W393" s="4"/>
      <c r="X393" s="4"/>
      <c r="Y393" s="4"/>
      <c r="Z393" s="4"/>
      <c r="AA393" s="4"/>
      <c r="AB393" s="6"/>
      <c r="AC393" s="4"/>
      <c r="AD393" s="4"/>
    </row>
    <row r="394" spans="1:30">
      <c r="A394" s="4" t="str">
        <f t="shared" si="14"/>
        <v/>
      </c>
      <c r="B394" s="4"/>
      <c r="C394" s="4"/>
      <c r="D394" s="4"/>
      <c r="E394" s="4"/>
      <c r="F394" s="4"/>
      <c r="G394" s="6"/>
      <c r="H394" s="4"/>
      <c r="I394" s="4"/>
      <c r="J394" s="4"/>
      <c r="K394" s="4" t="str">
        <f t="shared" ca="1" si="13"/>
        <v>Sin fecha</v>
      </c>
      <c r="L394" s="8"/>
      <c r="M394" s="8"/>
      <c r="N394" s="4"/>
      <c r="O394" s="4"/>
      <c r="P394" s="4"/>
      <c r="Q394" s="4"/>
      <c r="R394" s="4"/>
      <c r="S394" s="4"/>
      <c r="T394" s="4"/>
      <c r="U394" s="4"/>
      <c r="V394" s="4"/>
      <c r="W394" s="4"/>
      <c r="X394" s="4"/>
      <c r="Y394" s="4"/>
      <c r="Z394" s="4"/>
      <c r="AA394" s="4"/>
      <c r="AB394" s="6"/>
      <c r="AC394" s="4"/>
      <c r="AD394" s="4"/>
    </row>
    <row r="395" spans="1:30">
      <c r="A395" s="4" t="str">
        <f t="shared" si="14"/>
        <v/>
      </c>
      <c r="B395" s="4"/>
      <c r="C395" s="4"/>
      <c r="D395" s="4"/>
      <c r="E395" s="4"/>
      <c r="F395" s="4"/>
      <c r="G395" s="6"/>
      <c r="H395" s="4"/>
      <c r="I395" s="4"/>
      <c r="J395" s="4"/>
      <c r="K395" s="4" t="str">
        <f t="shared" ca="1" si="13"/>
        <v>Sin fecha</v>
      </c>
      <c r="L395" s="8"/>
      <c r="M395" s="8"/>
      <c r="N395" s="4"/>
      <c r="O395" s="4"/>
      <c r="P395" s="4"/>
      <c r="Q395" s="4"/>
      <c r="R395" s="4"/>
      <c r="S395" s="4"/>
      <c r="T395" s="4"/>
      <c r="U395" s="4"/>
      <c r="V395" s="4"/>
      <c r="W395" s="4"/>
      <c r="X395" s="4"/>
      <c r="Y395" s="4"/>
      <c r="Z395" s="4"/>
      <c r="AA395" s="4"/>
      <c r="AB395" s="6"/>
      <c r="AC395" s="4"/>
      <c r="AD395" s="4"/>
    </row>
    <row r="396" spans="1:30">
      <c r="A396" s="4" t="str">
        <f t="shared" si="14"/>
        <v/>
      </c>
      <c r="B396" s="4"/>
      <c r="C396" s="4"/>
      <c r="D396" s="4"/>
      <c r="E396" s="4"/>
      <c r="F396" s="4"/>
      <c r="G396" s="6"/>
      <c r="H396" s="4"/>
      <c r="I396" s="4"/>
      <c r="J396" s="4"/>
      <c r="K396" s="4" t="str">
        <f t="shared" ca="1" si="13"/>
        <v>Sin fecha</v>
      </c>
      <c r="L396" s="8"/>
      <c r="M396" s="8"/>
      <c r="N396" s="4"/>
      <c r="O396" s="4"/>
      <c r="P396" s="4"/>
      <c r="Q396" s="4"/>
      <c r="R396" s="4"/>
      <c r="S396" s="4"/>
      <c r="T396" s="4"/>
      <c r="U396" s="4"/>
      <c r="V396" s="4"/>
      <c r="W396" s="4"/>
      <c r="X396" s="4"/>
      <c r="Y396" s="4"/>
      <c r="Z396" s="4"/>
      <c r="AA396" s="4"/>
      <c r="AB396" s="6"/>
      <c r="AC396" s="4"/>
      <c r="AD396" s="4"/>
    </row>
    <row r="397" spans="1:30">
      <c r="A397" s="4" t="str">
        <f t="shared" si="14"/>
        <v/>
      </c>
      <c r="B397" s="4"/>
      <c r="C397" s="4"/>
      <c r="D397" s="4"/>
      <c r="E397" s="4"/>
      <c r="F397" s="4"/>
      <c r="G397" s="6"/>
      <c r="H397" s="4"/>
      <c r="I397" s="4"/>
      <c r="J397" s="4"/>
      <c r="K397" s="4" t="str">
        <f t="shared" ca="1" si="13"/>
        <v>Sin fecha</v>
      </c>
      <c r="L397" s="8"/>
      <c r="M397" s="8"/>
      <c r="N397" s="4"/>
      <c r="O397" s="4"/>
      <c r="P397" s="4"/>
      <c r="Q397" s="4"/>
      <c r="R397" s="4"/>
      <c r="S397" s="4"/>
      <c r="T397" s="4"/>
      <c r="U397" s="4"/>
      <c r="V397" s="4"/>
      <c r="W397" s="4"/>
      <c r="X397" s="4"/>
      <c r="Y397" s="4"/>
      <c r="Z397" s="4"/>
      <c r="AA397" s="4"/>
      <c r="AB397" s="6"/>
      <c r="AC397" s="4"/>
      <c r="AD397" s="4"/>
    </row>
    <row r="398" spans="1:30">
      <c r="A398" s="4" t="str">
        <f t="shared" si="14"/>
        <v/>
      </c>
      <c r="B398" s="4"/>
      <c r="C398" s="4"/>
      <c r="D398" s="4"/>
      <c r="E398" s="4"/>
      <c r="F398" s="4"/>
      <c r="G398" s="6"/>
      <c r="H398" s="4"/>
      <c r="I398" s="4"/>
      <c r="J398" s="4"/>
      <c r="K398" s="4" t="str">
        <f t="shared" ca="1" si="13"/>
        <v>Sin fecha</v>
      </c>
      <c r="L398" s="8"/>
      <c r="M398" s="8"/>
      <c r="N398" s="4"/>
      <c r="O398" s="4"/>
      <c r="P398" s="4"/>
      <c r="Q398" s="4"/>
      <c r="R398" s="4"/>
      <c r="S398" s="4"/>
      <c r="T398" s="4"/>
      <c r="U398" s="4"/>
      <c r="V398" s="4"/>
      <c r="W398" s="4"/>
      <c r="X398" s="4"/>
      <c r="Y398" s="4"/>
      <c r="Z398" s="4"/>
      <c r="AA398" s="4"/>
      <c r="AB398" s="6"/>
      <c r="AC398" s="4"/>
      <c r="AD398" s="4"/>
    </row>
    <row r="399" spans="1:30">
      <c r="A399" s="4" t="str">
        <f t="shared" si="14"/>
        <v/>
      </c>
      <c r="B399" s="4"/>
      <c r="C399" s="4"/>
      <c r="D399" s="4"/>
      <c r="E399" s="4"/>
      <c r="F399" s="4"/>
      <c r="G399" s="6"/>
      <c r="H399" s="4"/>
      <c r="I399" s="4"/>
      <c r="J399" s="4"/>
      <c r="K399" s="4" t="str">
        <f t="shared" ca="1" si="13"/>
        <v>Sin fecha</v>
      </c>
      <c r="L399" s="8"/>
      <c r="M399" s="8"/>
      <c r="N399" s="4"/>
      <c r="O399" s="4"/>
      <c r="P399" s="4"/>
      <c r="Q399" s="4"/>
      <c r="R399" s="4"/>
      <c r="S399" s="4"/>
      <c r="T399" s="4"/>
      <c r="U399" s="4"/>
      <c r="V399" s="4"/>
      <c r="W399" s="4"/>
      <c r="X399" s="4"/>
      <c r="Y399" s="4"/>
      <c r="Z399" s="4"/>
      <c r="AA399" s="4"/>
      <c r="AB399" s="6"/>
      <c r="AC399" s="4"/>
      <c r="AD399" s="4"/>
    </row>
    <row r="400" spans="1:30">
      <c r="A400" s="4" t="str">
        <f t="shared" si="14"/>
        <v/>
      </c>
      <c r="B400" s="4"/>
      <c r="C400" s="4"/>
      <c r="D400" s="4"/>
      <c r="E400" s="4"/>
      <c r="F400" s="4"/>
      <c r="G400" s="6"/>
      <c r="H400" s="4"/>
      <c r="I400" s="4"/>
      <c r="J400" s="4"/>
      <c r="K400" s="4" t="str">
        <f t="shared" ca="1" si="13"/>
        <v>Sin fecha</v>
      </c>
      <c r="L400" s="8"/>
      <c r="M400" s="8"/>
      <c r="N400" s="4"/>
      <c r="O400" s="4"/>
      <c r="P400" s="4"/>
      <c r="Q400" s="4"/>
      <c r="R400" s="4"/>
      <c r="S400" s="4"/>
      <c r="T400" s="4"/>
      <c r="U400" s="4"/>
      <c r="V400" s="4"/>
      <c r="W400" s="4"/>
      <c r="X400" s="4"/>
      <c r="Y400" s="4"/>
      <c r="Z400" s="4"/>
      <c r="AA400" s="4"/>
      <c r="AB400" s="6"/>
      <c r="AC400" s="4"/>
      <c r="AD400" s="4"/>
    </row>
    <row r="401" spans="1:30">
      <c r="A401" s="4" t="str">
        <f t="shared" si="14"/>
        <v/>
      </c>
      <c r="B401" s="4"/>
      <c r="C401" s="4"/>
      <c r="D401" s="4"/>
      <c r="E401" s="4"/>
      <c r="F401" s="4"/>
      <c r="G401" s="6"/>
      <c r="H401" s="4"/>
      <c r="I401" s="4"/>
      <c r="J401" s="4"/>
      <c r="K401" s="4" t="str">
        <f t="shared" ca="1" si="13"/>
        <v>Sin fecha</v>
      </c>
      <c r="L401" s="8"/>
      <c r="M401" s="8"/>
      <c r="N401" s="4"/>
      <c r="O401" s="4"/>
      <c r="P401" s="4"/>
      <c r="Q401" s="4"/>
      <c r="R401" s="4"/>
      <c r="S401" s="4"/>
      <c r="T401" s="4"/>
      <c r="U401" s="4"/>
      <c r="V401" s="4"/>
      <c r="W401" s="4"/>
      <c r="X401" s="4"/>
      <c r="Y401" s="4"/>
      <c r="Z401" s="4"/>
      <c r="AA401" s="4"/>
      <c r="AB401" s="6"/>
      <c r="AC401" s="4"/>
      <c r="AD401" s="4"/>
    </row>
    <row r="402" spans="1:30">
      <c r="A402" s="4" t="str">
        <f t="shared" si="14"/>
        <v/>
      </c>
      <c r="B402" s="4"/>
      <c r="C402" s="4"/>
      <c r="D402" s="4"/>
      <c r="E402" s="4"/>
      <c r="F402" s="4"/>
      <c r="G402" s="6"/>
      <c r="H402" s="4"/>
      <c r="I402" s="4"/>
      <c r="J402" s="4"/>
      <c r="K402" s="4" t="str">
        <f t="shared" ca="1" si="13"/>
        <v>Sin fecha</v>
      </c>
      <c r="L402" s="8"/>
      <c r="M402" s="8"/>
      <c r="N402" s="4"/>
      <c r="O402" s="4"/>
      <c r="P402" s="4"/>
      <c r="Q402" s="4"/>
      <c r="R402" s="4"/>
      <c r="S402" s="4"/>
      <c r="T402" s="4"/>
      <c r="U402" s="4"/>
      <c r="V402" s="4"/>
      <c r="W402" s="4"/>
      <c r="X402" s="4"/>
      <c r="Y402" s="4"/>
      <c r="Z402" s="4"/>
      <c r="AA402" s="4"/>
      <c r="AB402" s="6"/>
      <c r="AC402" s="4"/>
      <c r="AD402" s="4"/>
    </row>
    <row r="403" spans="1:30">
      <c r="A403" s="4" t="str">
        <f t="shared" si="14"/>
        <v/>
      </c>
      <c r="B403" s="4"/>
      <c r="C403" s="4"/>
      <c r="D403" s="4"/>
      <c r="E403" s="4"/>
      <c r="F403" s="4"/>
      <c r="G403" s="6"/>
      <c r="H403" s="4"/>
      <c r="I403" s="4"/>
      <c r="J403" s="4"/>
      <c r="K403" s="4" t="str">
        <f t="shared" ca="1" si="13"/>
        <v>Sin fecha</v>
      </c>
      <c r="L403" s="8"/>
      <c r="M403" s="8"/>
      <c r="N403" s="4"/>
      <c r="O403" s="4"/>
      <c r="P403" s="4"/>
      <c r="Q403" s="4"/>
      <c r="R403" s="4"/>
      <c r="S403" s="4"/>
      <c r="T403" s="4"/>
      <c r="U403" s="4"/>
      <c r="V403" s="4"/>
      <c r="W403" s="4"/>
      <c r="X403" s="4"/>
      <c r="Y403" s="4"/>
      <c r="Z403" s="4"/>
      <c r="AA403" s="4"/>
      <c r="AB403" s="6"/>
      <c r="AC403" s="4"/>
      <c r="AD403" s="4"/>
    </row>
    <row r="404" spans="1:30">
      <c r="A404" s="4" t="str">
        <f t="shared" si="14"/>
        <v/>
      </c>
      <c r="B404" s="4"/>
      <c r="C404" s="4"/>
      <c r="D404" s="4"/>
      <c r="E404" s="4"/>
      <c r="F404" s="4"/>
      <c r="G404" s="6"/>
      <c r="H404" s="4"/>
      <c r="I404" s="4"/>
      <c r="J404" s="4"/>
      <c r="K404" s="4" t="str">
        <f t="shared" ca="1" si="13"/>
        <v>Sin fecha</v>
      </c>
      <c r="L404" s="8"/>
      <c r="M404" s="8"/>
      <c r="N404" s="4"/>
      <c r="O404" s="4"/>
      <c r="P404" s="4"/>
      <c r="Q404" s="4"/>
      <c r="R404" s="4"/>
      <c r="S404" s="4"/>
      <c r="T404" s="4"/>
      <c r="U404" s="4"/>
      <c r="V404" s="4"/>
      <c r="W404" s="4"/>
      <c r="X404" s="4"/>
      <c r="Y404" s="4"/>
      <c r="Z404" s="4"/>
      <c r="AA404" s="4"/>
      <c r="AB404" s="6"/>
      <c r="AC404" s="4"/>
      <c r="AD404" s="4"/>
    </row>
    <row r="405" spans="1:30">
      <c r="A405" s="4" t="str">
        <f t="shared" si="14"/>
        <v/>
      </c>
      <c r="B405" s="4"/>
      <c r="C405" s="4"/>
      <c r="D405" s="4"/>
      <c r="E405" s="4"/>
      <c r="F405" s="4"/>
      <c r="G405" s="6"/>
      <c r="H405" s="4"/>
      <c r="I405" s="4"/>
      <c r="J405" s="4"/>
      <c r="K405" s="4" t="str">
        <f t="shared" ca="1" si="13"/>
        <v>Sin fecha</v>
      </c>
      <c r="L405" s="8"/>
      <c r="M405" s="8"/>
      <c r="N405" s="4"/>
      <c r="O405" s="4"/>
      <c r="P405" s="4"/>
      <c r="Q405" s="4"/>
      <c r="R405" s="4"/>
      <c r="S405" s="4"/>
      <c r="T405" s="4"/>
      <c r="U405" s="4"/>
      <c r="V405" s="4"/>
      <c r="W405" s="4"/>
      <c r="X405" s="4"/>
      <c r="Y405" s="4"/>
      <c r="Z405" s="4"/>
      <c r="AA405" s="4"/>
      <c r="AB405" s="6"/>
      <c r="AC405" s="4"/>
      <c r="AD405" s="4"/>
    </row>
    <row r="406" spans="1:30">
      <c r="A406" s="4" t="str">
        <f t="shared" si="14"/>
        <v/>
      </c>
      <c r="B406" s="4"/>
      <c r="C406" s="4"/>
      <c r="D406" s="4"/>
      <c r="E406" s="4"/>
      <c r="F406" s="4"/>
      <c r="G406" s="6"/>
      <c r="H406" s="4"/>
      <c r="I406" s="4"/>
      <c r="J406" s="4"/>
      <c r="K406" s="4" t="str">
        <f t="shared" ca="1" si="13"/>
        <v>Sin fecha</v>
      </c>
      <c r="L406" s="8"/>
      <c r="M406" s="8"/>
      <c r="N406" s="4"/>
      <c r="O406" s="4"/>
      <c r="P406" s="4"/>
      <c r="Q406" s="4"/>
      <c r="R406" s="4"/>
      <c r="S406" s="4"/>
      <c r="T406" s="4"/>
      <c r="U406" s="4"/>
      <c r="V406" s="4"/>
      <c r="W406" s="4"/>
      <c r="X406" s="4"/>
      <c r="Y406" s="4"/>
      <c r="Z406" s="4"/>
      <c r="AA406" s="4"/>
      <c r="AB406" s="6"/>
      <c r="AC406" s="4"/>
      <c r="AD406" s="4"/>
    </row>
    <row r="407" spans="1:30">
      <c r="A407" s="4" t="str">
        <f t="shared" si="14"/>
        <v/>
      </c>
      <c r="B407" s="4"/>
      <c r="C407" s="4"/>
      <c r="D407" s="4"/>
      <c r="E407" s="4"/>
      <c r="F407" s="4"/>
      <c r="G407" s="6"/>
      <c r="H407" s="4"/>
      <c r="I407" s="4"/>
      <c r="J407" s="4"/>
      <c r="K407" s="4" t="str">
        <f t="shared" ca="1" si="13"/>
        <v>Sin fecha</v>
      </c>
      <c r="L407" s="8"/>
      <c r="M407" s="8"/>
      <c r="N407" s="4"/>
      <c r="O407" s="4"/>
      <c r="P407" s="4"/>
      <c r="Q407" s="4"/>
      <c r="R407" s="4"/>
      <c r="S407" s="4"/>
      <c r="T407" s="4"/>
      <c r="U407" s="4"/>
      <c r="V407" s="4"/>
      <c r="W407" s="4"/>
      <c r="X407" s="4"/>
      <c r="Y407" s="4"/>
      <c r="Z407" s="4"/>
      <c r="AA407" s="4"/>
      <c r="AB407" s="6"/>
      <c r="AC407" s="4"/>
      <c r="AD407" s="4"/>
    </row>
    <row r="408" spans="1:30">
      <c r="A408" s="4" t="str">
        <f t="shared" si="14"/>
        <v/>
      </c>
      <c r="B408" s="4"/>
      <c r="C408" s="4"/>
      <c r="D408" s="4"/>
      <c r="E408" s="4"/>
      <c r="F408" s="4"/>
      <c r="G408" s="6"/>
      <c r="H408" s="4"/>
      <c r="I408" s="4"/>
      <c r="J408" s="4"/>
      <c r="K408" s="4" t="str">
        <f t="shared" ca="1" si="13"/>
        <v>Sin fecha</v>
      </c>
      <c r="L408" s="8"/>
      <c r="M408" s="8"/>
      <c r="N408" s="4"/>
      <c r="O408" s="4"/>
      <c r="P408" s="4"/>
      <c r="Q408" s="4"/>
      <c r="R408" s="4"/>
      <c r="S408" s="4"/>
      <c r="T408" s="4"/>
      <c r="U408" s="4"/>
      <c r="V408" s="4"/>
      <c r="W408" s="4"/>
      <c r="X408" s="4"/>
      <c r="Y408" s="4"/>
      <c r="Z408" s="4"/>
      <c r="AA408" s="4"/>
      <c r="AB408" s="6"/>
      <c r="AC408" s="4"/>
      <c r="AD408" s="4"/>
    </row>
    <row r="409" spans="1:30">
      <c r="A409" s="4" t="str">
        <f t="shared" si="14"/>
        <v/>
      </c>
      <c r="B409" s="4"/>
      <c r="C409" s="4"/>
      <c r="D409" s="4"/>
      <c r="E409" s="4"/>
      <c r="F409" s="4"/>
      <c r="G409" s="6"/>
      <c r="H409" s="4"/>
      <c r="I409" s="4"/>
      <c r="J409" s="4"/>
      <c r="K409" s="4" t="str">
        <f t="shared" ca="1" si="13"/>
        <v>Sin fecha</v>
      </c>
      <c r="L409" s="8"/>
      <c r="M409" s="8"/>
      <c r="N409" s="4"/>
      <c r="O409" s="4"/>
      <c r="P409" s="4"/>
      <c r="Q409" s="4"/>
      <c r="R409" s="4"/>
      <c r="S409" s="4"/>
      <c r="T409" s="4"/>
      <c r="U409" s="4"/>
      <c r="V409" s="4"/>
      <c r="W409" s="4"/>
      <c r="X409" s="4"/>
      <c r="Y409" s="4"/>
      <c r="Z409" s="4"/>
      <c r="AA409" s="4"/>
      <c r="AB409" s="6"/>
      <c r="AC409" s="4"/>
      <c r="AD409" s="4"/>
    </row>
    <row r="410" spans="1:30">
      <c r="A410" s="4" t="str">
        <f t="shared" si="14"/>
        <v/>
      </c>
      <c r="B410" s="4"/>
      <c r="C410" s="4"/>
      <c r="D410" s="4"/>
      <c r="E410" s="4"/>
      <c r="F410" s="4"/>
      <c r="G410" s="6"/>
      <c r="H410" s="4"/>
      <c r="I410" s="4"/>
      <c r="J410" s="4"/>
      <c r="K410" s="4" t="str">
        <f t="shared" ca="1" si="13"/>
        <v>Sin fecha</v>
      </c>
      <c r="L410" s="8"/>
      <c r="M410" s="8"/>
      <c r="N410" s="4"/>
      <c r="O410" s="4"/>
      <c r="P410" s="4"/>
      <c r="Q410" s="4"/>
      <c r="R410" s="4"/>
      <c r="S410" s="4"/>
      <c r="T410" s="4"/>
      <c r="U410" s="4"/>
      <c r="V410" s="4"/>
      <c r="W410" s="4"/>
      <c r="X410" s="4"/>
      <c r="Y410" s="4"/>
      <c r="Z410" s="4"/>
      <c r="AA410" s="4"/>
      <c r="AB410" s="6"/>
      <c r="AC410" s="4"/>
      <c r="AD410" s="4"/>
    </row>
    <row r="411" spans="1:30">
      <c r="A411" s="4" t="str">
        <f t="shared" si="14"/>
        <v/>
      </c>
      <c r="B411" s="4"/>
      <c r="C411" s="4"/>
      <c r="D411" s="4"/>
      <c r="E411" s="4"/>
      <c r="F411" s="4"/>
      <c r="G411" s="6"/>
      <c r="H411" s="4"/>
      <c r="I411" s="4"/>
      <c r="J411" s="4"/>
      <c r="K411" s="4" t="str">
        <f t="shared" ca="1" si="13"/>
        <v>Sin fecha</v>
      </c>
      <c r="L411" s="8"/>
      <c r="M411" s="8"/>
      <c r="N411" s="4"/>
      <c r="O411" s="4"/>
      <c r="P411" s="4"/>
      <c r="Q411" s="4"/>
      <c r="R411" s="4"/>
      <c r="S411" s="4"/>
      <c r="T411" s="4"/>
      <c r="U411" s="4"/>
      <c r="V411" s="4"/>
      <c r="W411" s="4"/>
      <c r="X411" s="4"/>
      <c r="Y411" s="4"/>
      <c r="Z411" s="4"/>
      <c r="AA411" s="4"/>
      <c r="AB411" s="6"/>
      <c r="AC411" s="4"/>
      <c r="AD411" s="4"/>
    </row>
    <row r="412" spans="1:30">
      <c r="A412" s="4" t="str">
        <f t="shared" si="14"/>
        <v/>
      </c>
      <c r="B412" s="4"/>
      <c r="C412" s="4"/>
      <c r="D412" s="4"/>
      <c r="E412" s="4"/>
      <c r="F412" s="4"/>
      <c r="G412" s="6"/>
      <c r="H412" s="4"/>
      <c r="I412" s="4"/>
      <c r="J412" s="4"/>
      <c r="K412" s="4" t="str">
        <f t="shared" ca="1" si="13"/>
        <v>Sin fecha</v>
      </c>
      <c r="L412" s="8"/>
      <c r="M412" s="8"/>
      <c r="N412" s="4"/>
      <c r="O412" s="4"/>
      <c r="P412" s="4"/>
      <c r="Q412" s="4"/>
      <c r="R412" s="4"/>
      <c r="S412" s="4"/>
      <c r="T412" s="4"/>
      <c r="U412" s="4"/>
      <c r="V412" s="4"/>
      <c r="W412" s="4"/>
      <c r="X412" s="4"/>
      <c r="Y412" s="4"/>
      <c r="Z412" s="4"/>
      <c r="AA412" s="4"/>
      <c r="AB412" s="6"/>
      <c r="AC412" s="4"/>
      <c r="AD412" s="4"/>
    </row>
    <row r="413" spans="1:30">
      <c r="A413" s="4" t="str">
        <f t="shared" si="14"/>
        <v/>
      </c>
      <c r="B413" s="4"/>
      <c r="C413" s="4"/>
      <c r="D413" s="4"/>
      <c r="E413" s="4"/>
      <c r="F413" s="4"/>
      <c r="G413" s="6"/>
      <c r="H413" s="4"/>
      <c r="I413" s="4"/>
      <c r="J413" s="4"/>
      <c r="K413" s="4" t="str">
        <f t="shared" ca="1" si="13"/>
        <v>Sin fecha</v>
      </c>
      <c r="L413" s="8"/>
      <c r="M413" s="8"/>
      <c r="N413" s="4"/>
      <c r="O413" s="4"/>
      <c r="P413" s="4"/>
      <c r="Q413" s="4"/>
      <c r="R413" s="4"/>
      <c r="S413" s="4"/>
      <c r="T413" s="4"/>
      <c r="U413" s="4"/>
      <c r="V413" s="4"/>
      <c r="W413" s="4"/>
      <c r="X413" s="4"/>
      <c r="Y413" s="4"/>
      <c r="Z413" s="4"/>
      <c r="AA413" s="4"/>
      <c r="AB413" s="6"/>
      <c r="AC413" s="4"/>
      <c r="AD413" s="4"/>
    </row>
    <row r="414" spans="1:30">
      <c r="A414" s="4" t="str">
        <f t="shared" si="14"/>
        <v/>
      </c>
      <c r="B414" s="4"/>
      <c r="C414" s="4"/>
      <c r="D414" s="4"/>
      <c r="E414" s="4"/>
      <c r="F414" s="4"/>
      <c r="G414" s="6"/>
      <c r="H414" s="4"/>
      <c r="I414" s="4"/>
      <c r="J414" s="4"/>
      <c r="K414" s="4" t="str">
        <f t="shared" ca="1" si="13"/>
        <v>Sin fecha</v>
      </c>
      <c r="L414" s="8"/>
      <c r="M414" s="8"/>
      <c r="N414" s="4"/>
      <c r="O414" s="4"/>
      <c r="P414" s="4"/>
      <c r="Q414" s="4"/>
      <c r="R414" s="4"/>
      <c r="S414" s="4"/>
      <c r="T414" s="4"/>
      <c r="U414" s="4"/>
      <c r="V414" s="4"/>
      <c r="W414" s="4"/>
      <c r="X414" s="4"/>
      <c r="Y414" s="4"/>
      <c r="Z414" s="4"/>
      <c r="AA414" s="4"/>
      <c r="AB414" s="6"/>
      <c r="AC414" s="4"/>
      <c r="AD414" s="4"/>
    </row>
    <row r="415" spans="1:30">
      <c r="A415" s="4" t="str">
        <f t="shared" si="14"/>
        <v/>
      </c>
      <c r="B415" s="4"/>
      <c r="C415" s="4"/>
      <c r="D415" s="4"/>
      <c r="E415" s="4"/>
      <c r="F415" s="4"/>
      <c r="G415" s="6"/>
      <c r="H415" s="4"/>
      <c r="I415" s="4"/>
      <c r="J415" s="4"/>
      <c r="K415" s="4" t="str">
        <f t="shared" ca="1" si="13"/>
        <v>Sin fecha</v>
      </c>
      <c r="L415" s="8"/>
      <c r="M415" s="8"/>
      <c r="N415" s="4"/>
      <c r="O415" s="4"/>
      <c r="P415" s="4"/>
      <c r="Q415" s="4"/>
      <c r="R415" s="4"/>
      <c r="S415" s="4"/>
      <c r="T415" s="4"/>
      <c r="U415" s="4"/>
      <c r="V415" s="4"/>
      <c r="W415" s="4"/>
      <c r="X415" s="4"/>
      <c r="Y415" s="4"/>
      <c r="Z415" s="4"/>
      <c r="AA415" s="4"/>
      <c r="AB415" s="6"/>
      <c r="AC415" s="4"/>
      <c r="AD415" s="4"/>
    </row>
    <row r="416" spans="1:30">
      <c r="A416" s="4" t="str">
        <f t="shared" si="14"/>
        <v/>
      </c>
      <c r="B416" s="4"/>
      <c r="C416" s="4"/>
      <c r="D416" s="4"/>
      <c r="E416" s="4"/>
      <c r="F416" s="4"/>
      <c r="G416" s="6"/>
      <c r="H416" s="4"/>
      <c r="I416" s="4"/>
      <c r="J416" s="4"/>
      <c r="K416" s="4" t="str">
        <f t="shared" ca="1" si="13"/>
        <v>Sin fecha</v>
      </c>
      <c r="L416" s="8"/>
      <c r="M416" s="8"/>
      <c r="N416" s="4"/>
      <c r="O416" s="4"/>
      <c r="P416" s="4"/>
      <c r="Q416" s="4"/>
      <c r="R416" s="4"/>
      <c r="S416" s="4"/>
      <c r="T416" s="4"/>
      <c r="U416" s="4"/>
      <c r="V416" s="4"/>
      <c r="W416" s="4"/>
      <c r="X416" s="4"/>
      <c r="Y416" s="4"/>
      <c r="Z416" s="4"/>
      <c r="AA416" s="4"/>
      <c r="AB416" s="6"/>
      <c r="AC416" s="4"/>
      <c r="AD416" s="4"/>
    </row>
    <row r="417" spans="1:30">
      <c r="A417" s="4" t="str">
        <f t="shared" si="14"/>
        <v/>
      </c>
      <c r="B417" s="4"/>
      <c r="C417" s="4"/>
      <c r="D417" s="4"/>
      <c r="E417" s="4"/>
      <c r="F417" s="4"/>
      <c r="G417" s="6"/>
      <c r="H417" s="4"/>
      <c r="I417" s="4"/>
      <c r="J417" s="4"/>
      <c r="K417" s="4" t="str">
        <f t="shared" ca="1" si="13"/>
        <v>Sin fecha</v>
      </c>
      <c r="L417" s="8"/>
      <c r="M417" s="8"/>
      <c r="N417" s="4"/>
      <c r="O417" s="4"/>
      <c r="P417" s="4"/>
      <c r="Q417" s="4"/>
      <c r="R417" s="4"/>
      <c r="S417" s="4"/>
      <c r="T417" s="4"/>
      <c r="U417" s="4"/>
      <c r="V417" s="4"/>
      <c r="W417" s="4"/>
      <c r="X417" s="4"/>
      <c r="Y417" s="4"/>
      <c r="Z417" s="4"/>
      <c r="AA417" s="4"/>
      <c r="AB417" s="6"/>
      <c r="AC417" s="4"/>
      <c r="AD417" s="4"/>
    </row>
    <row r="418" spans="1:30">
      <c r="A418" s="4" t="str">
        <f t="shared" si="14"/>
        <v/>
      </c>
      <c r="B418" s="4"/>
      <c r="C418" s="4"/>
      <c r="D418" s="4"/>
      <c r="E418" s="4"/>
      <c r="F418" s="4"/>
      <c r="G418" s="6"/>
      <c r="H418" s="4"/>
      <c r="I418" s="4"/>
      <c r="J418" s="4"/>
      <c r="K418" s="4" t="str">
        <f t="shared" ca="1" si="13"/>
        <v>Sin fecha</v>
      </c>
      <c r="L418" s="8"/>
      <c r="M418" s="8"/>
      <c r="N418" s="4"/>
      <c r="O418" s="4"/>
      <c r="P418" s="4"/>
      <c r="Q418" s="4"/>
      <c r="R418" s="4"/>
      <c r="S418" s="4"/>
      <c r="T418" s="4"/>
      <c r="U418" s="4"/>
      <c r="V418" s="4"/>
      <c r="W418" s="4"/>
      <c r="X418" s="4"/>
      <c r="Y418" s="4"/>
      <c r="Z418" s="4"/>
      <c r="AA418" s="4"/>
      <c r="AB418" s="6"/>
      <c r="AC418" s="4"/>
      <c r="AD418" s="4"/>
    </row>
    <row r="419" spans="1:30">
      <c r="A419" s="4" t="str">
        <f t="shared" si="14"/>
        <v/>
      </c>
      <c r="B419" s="4"/>
      <c r="C419" s="4"/>
      <c r="D419" s="4"/>
      <c r="E419" s="4"/>
      <c r="F419" s="4"/>
      <c r="G419" s="6"/>
      <c r="H419" s="4"/>
      <c r="I419" s="4"/>
      <c r="J419" s="4"/>
      <c r="K419" s="4" t="str">
        <f t="shared" ca="1" si="13"/>
        <v>Sin fecha</v>
      </c>
      <c r="L419" s="8"/>
      <c r="M419" s="8"/>
      <c r="N419" s="4"/>
      <c r="O419" s="4"/>
      <c r="P419" s="4"/>
      <c r="Q419" s="4"/>
      <c r="R419" s="4"/>
      <c r="S419" s="4"/>
      <c r="T419" s="4"/>
      <c r="U419" s="4"/>
      <c r="V419" s="4"/>
      <c r="W419" s="4"/>
      <c r="X419" s="4"/>
      <c r="Y419" s="4"/>
      <c r="Z419" s="4"/>
      <c r="AA419" s="4"/>
      <c r="AB419" s="6"/>
      <c r="AC419" s="4"/>
      <c r="AD419" s="4"/>
    </row>
    <row r="420" spans="1:30">
      <c r="A420" s="4" t="str">
        <f t="shared" si="14"/>
        <v/>
      </c>
      <c r="B420" s="4"/>
      <c r="C420" s="4"/>
      <c r="D420" s="4"/>
      <c r="E420" s="4"/>
      <c r="F420" s="4"/>
      <c r="G420" s="6"/>
      <c r="H420" s="4"/>
      <c r="I420" s="4"/>
      <c r="J420" s="4"/>
      <c r="K420" s="4" t="str">
        <f t="shared" ca="1" si="13"/>
        <v>Sin fecha</v>
      </c>
      <c r="L420" s="8"/>
      <c r="M420" s="8"/>
      <c r="N420" s="4"/>
      <c r="O420" s="4"/>
      <c r="P420" s="4"/>
      <c r="Q420" s="4"/>
      <c r="R420" s="4"/>
      <c r="S420" s="4"/>
      <c r="T420" s="4"/>
      <c r="U420" s="4"/>
      <c r="V420" s="4"/>
      <c r="W420" s="4"/>
      <c r="X420" s="4"/>
      <c r="Y420" s="4"/>
      <c r="Z420" s="4"/>
      <c r="AA420" s="4"/>
      <c r="AB420" s="6"/>
      <c r="AC420" s="4"/>
      <c r="AD420" s="4"/>
    </row>
    <row r="421" spans="1:30">
      <c r="A421" s="4" t="str">
        <f t="shared" si="14"/>
        <v/>
      </c>
      <c r="B421" s="4"/>
      <c r="C421" s="4"/>
      <c r="D421" s="4"/>
      <c r="E421" s="4"/>
      <c r="F421" s="4"/>
      <c r="G421" s="6"/>
      <c r="H421" s="4"/>
      <c r="I421" s="4"/>
      <c r="J421" s="4"/>
      <c r="K421" s="4" t="str">
        <f t="shared" ca="1" si="13"/>
        <v>Sin fecha</v>
      </c>
      <c r="L421" s="8"/>
      <c r="M421" s="8"/>
      <c r="N421" s="4"/>
      <c r="O421" s="4"/>
      <c r="P421" s="4"/>
      <c r="Q421" s="4"/>
      <c r="R421" s="4"/>
      <c r="S421" s="4"/>
      <c r="T421" s="4"/>
      <c r="U421" s="4"/>
      <c r="V421" s="4"/>
      <c r="W421" s="4"/>
      <c r="X421" s="4"/>
      <c r="Y421" s="4"/>
      <c r="Z421" s="4"/>
      <c r="AA421" s="4"/>
      <c r="AB421" s="6"/>
      <c r="AC421" s="4"/>
      <c r="AD421" s="4"/>
    </row>
    <row r="422" spans="1:30">
      <c r="A422" s="4" t="str">
        <f t="shared" si="14"/>
        <v/>
      </c>
      <c r="B422" s="4"/>
      <c r="C422" s="4"/>
      <c r="D422" s="4"/>
      <c r="E422" s="4"/>
      <c r="F422" s="4"/>
      <c r="G422" s="6"/>
      <c r="H422" s="4"/>
      <c r="I422" s="4"/>
      <c r="J422" s="4"/>
      <c r="K422" s="4" t="str">
        <f t="shared" ca="1" si="13"/>
        <v>Sin fecha</v>
      </c>
      <c r="L422" s="8"/>
      <c r="M422" s="8"/>
      <c r="N422" s="4"/>
      <c r="O422" s="4"/>
      <c r="P422" s="4"/>
      <c r="Q422" s="4"/>
      <c r="R422" s="4"/>
      <c r="S422" s="4"/>
      <c r="T422" s="4"/>
      <c r="U422" s="4"/>
      <c r="V422" s="4"/>
      <c r="W422" s="4"/>
      <c r="X422" s="4"/>
      <c r="Y422" s="4"/>
      <c r="Z422" s="4"/>
      <c r="AA422" s="4"/>
      <c r="AB422" s="6"/>
      <c r="AC422" s="4"/>
      <c r="AD422" s="4"/>
    </row>
    <row r="423" spans="1:30">
      <c r="A423" s="4" t="str">
        <f t="shared" si="14"/>
        <v/>
      </c>
      <c r="B423" s="4"/>
      <c r="C423" s="4"/>
      <c r="D423" s="4"/>
      <c r="E423" s="4"/>
      <c r="F423" s="4"/>
      <c r="G423" s="6"/>
      <c r="H423" s="4"/>
      <c r="I423" s="4"/>
      <c r="J423" s="4"/>
      <c r="K423" s="4" t="str">
        <f t="shared" ca="1" si="13"/>
        <v>Sin fecha</v>
      </c>
      <c r="L423" s="8"/>
      <c r="M423" s="8"/>
      <c r="N423" s="4"/>
      <c r="O423" s="4"/>
      <c r="P423" s="4"/>
      <c r="Q423" s="4"/>
      <c r="R423" s="4"/>
      <c r="S423" s="4"/>
      <c r="T423" s="4"/>
      <c r="U423" s="4"/>
      <c r="V423" s="4"/>
      <c r="W423" s="4"/>
      <c r="X423" s="4"/>
      <c r="Y423" s="4"/>
      <c r="Z423" s="4"/>
      <c r="AA423" s="4"/>
      <c r="AB423" s="6"/>
      <c r="AC423" s="4"/>
      <c r="AD423" s="4"/>
    </row>
    <row r="424" spans="1:30">
      <c r="A424" s="4" t="str">
        <f t="shared" si="14"/>
        <v/>
      </c>
      <c r="B424" s="4"/>
      <c r="C424" s="4"/>
      <c r="D424" s="4"/>
      <c r="E424" s="4"/>
      <c r="F424" s="4"/>
      <c r="G424" s="6"/>
      <c r="H424" s="4"/>
      <c r="I424" s="4"/>
      <c r="J424" s="4"/>
      <c r="K424" s="4" t="str">
        <f t="shared" ca="1" si="13"/>
        <v>Sin fecha</v>
      </c>
      <c r="L424" s="8"/>
      <c r="M424" s="8"/>
      <c r="N424" s="4"/>
      <c r="O424" s="4"/>
      <c r="P424" s="4"/>
      <c r="Q424" s="4"/>
      <c r="R424" s="4"/>
      <c r="S424" s="4"/>
      <c r="T424" s="4"/>
      <c r="U424" s="4"/>
      <c r="V424" s="4"/>
      <c r="W424" s="4"/>
      <c r="X424" s="4"/>
      <c r="Y424" s="4"/>
      <c r="Z424" s="4"/>
      <c r="AA424" s="4"/>
      <c r="AB424" s="6"/>
      <c r="AC424" s="4"/>
      <c r="AD424" s="4"/>
    </row>
    <row r="425" spans="1:30">
      <c r="A425" s="4" t="str">
        <f t="shared" si="14"/>
        <v/>
      </c>
      <c r="B425" s="4"/>
      <c r="C425" s="4"/>
      <c r="D425" s="4"/>
      <c r="E425" s="4"/>
      <c r="F425" s="4"/>
      <c r="G425" s="6"/>
      <c r="H425" s="4"/>
      <c r="I425" s="4"/>
      <c r="J425" s="4"/>
      <c r="K425" s="4" t="str">
        <f t="shared" ca="1" si="13"/>
        <v>Sin fecha</v>
      </c>
      <c r="L425" s="8"/>
      <c r="M425" s="8"/>
      <c r="N425" s="4"/>
      <c r="O425" s="4"/>
      <c r="P425" s="4"/>
      <c r="Q425" s="4"/>
      <c r="R425" s="4"/>
      <c r="S425" s="4"/>
      <c r="T425" s="4"/>
      <c r="U425" s="4"/>
      <c r="V425" s="4"/>
      <c r="W425" s="4"/>
      <c r="X425" s="4"/>
      <c r="Y425" s="4"/>
      <c r="Z425" s="4"/>
      <c r="AA425" s="4"/>
      <c r="AB425" s="6"/>
      <c r="AC425" s="4"/>
      <c r="AD425" s="4"/>
    </row>
    <row r="426" spans="1:30">
      <c r="A426" s="4" t="str">
        <f t="shared" si="14"/>
        <v/>
      </c>
      <c r="B426" s="4"/>
      <c r="C426" s="4"/>
      <c r="D426" s="4"/>
      <c r="E426" s="4"/>
      <c r="F426" s="4"/>
      <c r="G426" s="6"/>
      <c r="H426" s="4"/>
      <c r="I426" s="4"/>
      <c r="J426" s="4"/>
      <c r="K426" s="4" t="str">
        <f t="shared" ca="1" si="13"/>
        <v>Sin fecha</v>
      </c>
      <c r="L426" s="8"/>
      <c r="M426" s="8"/>
      <c r="N426" s="4"/>
      <c r="O426" s="4"/>
      <c r="P426" s="4"/>
      <c r="Q426" s="4"/>
      <c r="R426" s="4"/>
      <c r="S426" s="4"/>
      <c r="T426" s="4"/>
      <c r="U426" s="4"/>
      <c r="V426" s="4"/>
      <c r="W426" s="4"/>
      <c r="X426" s="4"/>
      <c r="Y426" s="4"/>
      <c r="Z426" s="4"/>
      <c r="AA426" s="4"/>
      <c r="AB426" s="6"/>
      <c r="AC426" s="4"/>
      <c r="AD426" s="4"/>
    </row>
    <row r="427" spans="1:30">
      <c r="A427" s="4" t="str">
        <f t="shared" si="14"/>
        <v/>
      </c>
      <c r="B427" s="4"/>
      <c r="C427" s="4"/>
      <c r="D427" s="4"/>
      <c r="E427" s="4"/>
      <c r="F427" s="4"/>
      <c r="G427" s="6"/>
      <c r="H427" s="4"/>
      <c r="I427" s="4"/>
      <c r="J427" s="4"/>
      <c r="K427" s="4" t="str">
        <f t="shared" ca="1" si="13"/>
        <v>Sin fecha</v>
      </c>
      <c r="L427" s="8"/>
      <c r="M427" s="8"/>
      <c r="N427" s="4"/>
      <c r="O427" s="4"/>
      <c r="P427" s="4"/>
      <c r="Q427" s="4"/>
      <c r="R427" s="4"/>
      <c r="S427" s="4"/>
      <c r="T427" s="4"/>
      <c r="U427" s="4"/>
      <c r="V427" s="4"/>
      <c r="W427" s="4"/>
      <c r="X427" s="4"/>
      <c r="Y427" s="4"/>
      <c r="Z427" s="4"/>
      <c r="AA427" s="4"/>
      <c r="AB427" s="6"/>
      <c r="AC427" s="4"/>
      <c r="AD427" s="4"/>
    </row>
    <row r="428" spans="1:30">
      <c r="A428" s="4" t="str">
        <f t="shared" si="14"/>
        <v/>
      </c>
      <c r="B428" s="4"/>
      <c r="C428" s="4"/>
      <c r="D428" s="4"/>
      <c r="E428" s="4"/>
      <c r="F428" s="4"/>
      <c r="G428" s="6"/>
      <c r="H428" s="4"/>
      <c r="I428" s="4"/>
      <c r="J428" s="4"/>
      <c r="K428" s="4" t="str">
        <f t="shared" ca="1" si="13"/>
        <v>Sin fecha</v>
      </c>
      <c r="L428" s="8"/>
      <c r="M428" s="8"/>
      <c r="N428" s="4"/>
      <c r="O428" s="4"/>
      <c r="P428" s="4"/>
      <c r="Q428" s="4"/>
      <c r="R428" s="4"/>
      <c r="S428" s="4"/>
      <c r="T428" s="4"/>
      <c r="U428" s="4"/>
      <c r="V428" s="4"/>
      <c r="W428" s="4"/>
      <c r="X428" s="4"/>
      <c r="Y428" s="4"/>
      <c r="Z428" s="4"/>
      <c r="AA428" s="4"/>
      <c r="AB428" s="6"/>
      <c r="AC428" s="4"/>
      <c r="AD428" s="4"/>
    </row>
    <row r="429" spans="1:30">
      <c r="A429" s="4" t="str">
        <f t="shared" si="14"/>
        <v/>
      </c>
      <c r="B429" s="4"/>
      <c r="C429" s="4"/>
      <c r="D429" s="4"/>
      <c r="E429" s="4"/>
      <c r="F429" s="4"/>
      <c r="G429" s="6"/>
      <c r="H429" s="4"/>
      <c r="I429" s="4"/>
      <c r="J429" s="4"/>
      <c r="K429" s="4" t="str">
        <f t="shared" ca="1" si="13"/>
        <v>Sin fecha</v>
      </c>
      <c r="L429" s="8"/>
      <c r="M429" s="8"/>
      <c r="N429" s="4"/>
      <c r="O429" s="4"/>
      <c r="P429" s="4"/>
      <c r="Q429" s="4"/>
      <c r="R429" s="4"/>
      <c r="S429" s="4"/>
      <c r="T429" s="4"/>
      <c r="U429" s="4"/>
      <c r="V429" s="4"/>
      <c r="W429" s="4"/>
      <c r="X429" s="4"/>
      <c r="Y429" s="4"/>
      <c r="Z429" s="4"/>
      <c r="AA429" s="4"/>
      <c r="AB429" s="6"/>
      <c r="AC429" s="4"/>
      <c r="AD429" s="4"/>
    </row>
    <row r="430" spans="1:30">
      <c r="A430" s="4" t="str">
        <f t="shared" si="14"/>
        <v/>
      </c>
      <c r="B430" s="4"/>
      <c r="C430" s="4"/>
      <c r="D430" s="4"/>
      <c r="E430" s="4"/>
      <c r="F430" s="4"/>
      <c r="G430" s="6"/>
      <c r="H430" s="4"/>
      <c r="I430" s="4"/>
      <c r="J430" s="4"/>
      <c r="K430" s="4" t="str">
        <f t="shared" ca="1" si="13"/>
        <v>Sin fecha</v>
      </c>
      <c r="L430" s="8"/>
      <c r="M430" s="8"/>
      <c r="N430" s="4"/>
      <c r="O430" s="4"/>
      <c r="P430" s="4"/>
      <c r="Q430" s="4"/>
      <c r="R430" s="4"/>
      <c r="S430" s="4"/>
      <c r="T430" s="4"/>
      <c r="U430" s="4"/>
      <c r="V430" s="4"/>
      <c r="W430" s="4"/>
      <c r="X430" s="4"/>
      <c r="Y430" s="4"/>
      <c r="Z430" s="4"/>
      <c r="AA430" s="4"/>
      <c r="AB430" s="6"/>
      <c r="AC430" s="4"/>
      <c r="AD430" s="4"/>
    </row>
    <row r="431" spans="1:30">
      <c r="A431" s="4" t="str">
        <f t="shared" si="14"/>
        <v/>
      </c>
      <c r="B431" s="4"/>
      <c r="C431" s="4"/>
      <c r="D431" s="4"/>
      <c r="E431" s="4"/>
      <c r="F431" s="4"/>
      <c r="G431" s="6"/>
      <c r="H431" s="4"/>
      <c r="I431" s="4"/>
      <c r="J431" s="4"/>
      <c r="K431" s="4" t="str">
        <f t="shared" ca="1" si="13"/>
        <v>Sin fecha</v>
      </c>
      <c r="L431" s="8"/>
      <c r="M431" s="8"/>
      <c r="N431" s="4"/>
      <c r="O431" s="4"/>
      <c r="P431" s="4"/>
      <c r="Q431" s="4"/>
      <c r="R431" s="4"/>
      <c r="S431" s="4"/>
      <c r="T431" s="4"/>
      <c r="U431" s="4"/>
      <c r="V431" s="4"/>
      <c r="W431" s="4"/>
      <c r="X431" s="4"/>
      <c r="Y431" s="4"/>
      <c r="Z431" s="4"/>
      <c r="AA431" s="4"/>
      <c r="AB431" s="6"/>
      <c r="AC431" s="4"/>
      <c r="AD431" s="4"/>
    </row>
    <row r="432" spans="1:30">
      <c r="A432" s="4" t="str">
        <f t="shared" si="14"/>
        <v/>
      </c>
      <c r="B432" s="4"/>
      <c r="C432" s="4"/>
      <c r="D432" s="4"/>
      <c r="E432" s="4"/>
      <c r="F432" s="4"/>
      <c r="G432" s="6"/>
      <c r="H432" s="4"/>
      <c r="I432" s="4"/>
      <c r="J432" s="4"/>
      <c r="K432" s="4" t="str">
        <f t="shared" ca="1" si="13"/>
        <v>Sin fecha</v>
      </c>
      <c r="L432" s="8"/>
      <c r="M432" s="8"/>
      <c r="N432" s="4"/>
      <c r="O432" s="4"/>
      <c r="P432" s="4"/>
      <c r="Q432" s="4"/>
      <c r="R432" s="4"/>
      <c r="S432" s="4"/>
      <c r="T432" s="4"/>
      <c r="U432" s="4"/>
      <c r="V432" s="4"/>
      <c r="W432" s="4"/>
      <c r="X432" s="4"/>
      <c r="Y432" s="4"/>
      <c r="Z432" s="4"/>
      <c r="AA432" s="4"/>
      <c r="AB432" s="6"/>
      <c r="AC432" s="4"/>
      <c r="AD432" s="4"/>
    </row>
    <row r="433" spans="1:30">
      <c r="A433" s="4" t="str">
        <f t="shared" si="14"/>
        <v/>
      </c>
      <c r="B433" s="4"/>
      <c r="C433" s="4"/>
      <c r="D433" s="4"/>
      <c r="E433" s="4"/>
      <c r="F433" s="4"/>
      <c r="G433" s="6"/>
      <c r="H433" s="4"/>
      <c r="I433" s="4"/>
      <c r="J433" s="4"/>
      <c r="K433" s="4" t="str">
        <f t="shared" ca="1" si="13"/>
        <v>Sin fecha</v>
      </c>
      <c r="L433" s="8"/>
      <c r="M433" s="8"/>
      <c r="N433" s="4"/>
      <c r="O433" s="4"/>
      <c r="P433" s="4"/>
      <c r="Q433" s="4"/>
      <c r="R433" s="4"/>
      <c r="S433" s="4"/>
      <c r="T433" s="4"/>
      <c r="U433" s="4"/>
      <c r="V433" s="4"/>
      <c r="W433" s="4"/>
      <c r="X433" s="4"/>
      <c r="Y433" s="4"/>
      <c r="Z433" s="4"/>
      <c r="AA433" s="4"/>
      <c r="AB433" s="6"/>
      <c r="AC433" s="4"/>
      <c r="AD433" s="4"/>
    </row>
    <row r="434" spans="1:30">
      <c r="A434" s="4" t="str">
        <f t="shared" si="14"/>
        <v/>
      </c>
      <c r="B434" s="4"/>
      <c r="C434" s="4"/>
      <c r="D434" s="4"/>
      <c r="E434" s="4"/>
      <c r="F434" s="4"/>
      <c r="G434" s="6"/>
      <c r="H434" s="4"/>
      <c r="I434" s="4"/>
      <c r="J434" s="4"/>
      <c r="K434" s="4" t="str">
        <f t="shared" ca="1" si="13"/>
        <v>Sin fecha</v>
      </c>
      <c r="L434" s="8"/>
      <c r="M434" s="8"/>
      <c r="N434" s="4"/>
      <c r="O434" s="4"/>
      <c r="P434" s="4"/>
      <c r="Q434" s="4"/>
      <c r="R434" s="4"/>
      <c r="S434" s="4"/>
      <c r="T434" s="4"/>
      <c r="U434" s="4"/>
      <c r="V434" s="4"/>
      <c r="W434" s="4"/>
      <c r="X434" s="4"/>
      <c r="Y434" s="4"/>
      <c r="Z434" s="4"/>
      <c r="AA434" s="4"/>
      <c r="AB434" s="6"/>
      <c r="AC434" s="4"/>
      <c r="AD434" s="4"/>
    </row>
    <row r="435" spans="1:30">
      <c r="A435" s="4" t="str">
        <f t="shared" si="14"/>
        <v/>
      </c>
      <c r="B435" s="4"/>
      <c r="C435" s="4"/>
      <c r="D435" s="4"/>
      <c r="E435" s="4"/>
      <c r="F435" s="4"/>
      <c r="G435" s="6"/>
      <c r="H435" s="4"/>
      <c r="I435" s="4"/>
      <c r="J435" s="4"/>
      <c r="K435" s="4" t="str">
        <f t="shared" ca="1" si="13"/>
        <v>Sin fecha</v>
      </c>
      <c r="L435" s="8"/>
      <c r="M435" s="8"/>
      <c r="N435" s="4"/>
      <c r="O435" s="4"/>
      <c r="P435" s="4"/>
      <c r="Q435" s="4"/>
      <c r="R435" s="4"/>
      <c r="S435" s="4"/>
      <c r="T435" s="4"/>
      <c r="U435" s="4"/>
      <c r="V435" s="4"/>
      <c r="W435" s="4"/>
      <c r="X435" s="4"/>
      <c r="Y435" s="4"/>
      <c r="Z435" s="4"/>
      <c r="AA435" s="4"/>
      <c r="AB435" s="6"/>
      <c r="AC435" s="4"/>
      <c r="AD435" s="4"/>
    </row>
    <row r="436" spans="1:30">
      <c r="A436" s="4" t="str">
        <f t="shared" si="14"/>
        <v/>
      </c>
      <c r="B436" s="4"/>
      <c r="C436" s="4"/>
      <c r="D436" s="4"/>
      <c r="E436" s="4"/>
      <c r="F436" s="4"/>
      <c r="G436" s="6"/>
      <c r="H436" s="4"/>
      <c r="I436" s="4"/>
      <c r="J436" s="4"/>
      <c r="K436" s="4" t="str">
        <f t="shared" ca="1" si="13"/>
        <v>Sin fecha</v>
      </c>
      <c r="L436" s="8"/>
      <c r="M436" s="8"/>
      <c r="N436" s="4"/>
      <c r="O436" s="4"/>
      <c r="P436" s="4"/>
      <c r="Q436" s="4"/>
      <c r="R436" s="4"/>
      <c r="S436" s="4"/>
      <c r="T436" s="4"/>
      <c r="U436" s="4"/>
      <c r="V436" s="4"/>
      <c r="W436" s="4"/>
      <c r="X436" s="4"/>
      <c r="Y436" s="4"/>
      <c r="Z436" s="4"/>
      <c r="AA436" s="4"/>
      <c r="AB436" s="6"/>
      <c r="AC436" s="4"/>
      <c r="AD436" s="4"/>
    </row>
    <row r="437" spans="1:30">
      <c r="A437" s="4" t="str">
        <f t="shared" si="14"/>
        <v/>
      </c>
      <c r="B437" s="4"/>
      <c r="C437" s="4"/>
      <c r="D437" s="4"/>
      <c r="E437" s="4"/>
      <c r="F437" s="4"/>
      <c r="G437" s="6"/>
      <c r="H437" s="4"/>
      <c r="I437" s="4"/>
      <c r="J437" s="4"/>
      <c r="K437" s="4" t="str">
        <f t="shared" ca="1" si="13"/>
        <v>Sin fecha</v>
      </c>
      <c r="L437" s="8"/>
      <c r="M437" s="8"/>
      <c r="N437" s="4"/>
      <c r="O437" s="4"/>
      <c r="P437" s="4"/>
      <c r="Q437" s="4"/>
      <c r="R437" s="4"/>
      <c r="S437" s="4"/>
      <c r="T437" s="4"/>
      <c r="U437" s="4"/>
      <c r="V437" s="4"/>
      <c r="W437" s="4"/>
      <c r="X437" s="4"/>
      <c r="Y437" s="4"/>
      <c r="Z437" s="4"/>
      <c r="AA437" s="4"/>
      <c r="AB437" s="6"/>
      <c r="AC437" s="4"/>
      <c r="AD437" s="4"/>
    </row>
    <row r="438" spans="1:30">
      <c r="A438" s="4" t="str">
        <f t="shared" si="14"/>
        <v/>
      </c>
      <c r="B438" s="4"/>
      <c r="C438" s="4"/>
      <c r="D438" s="4"/>
      <c r="E438" s="4"/>
      <c r="F438" s="4"/>
      <c r="G438" s="6"/>
      <c r="H438" s="4"/>
      <c r="I438" s="4"/>
      <c r="J438" s="4"/>
      <c r="K438" s="4" t="str">
        <f t="shared" ca="1" si="13"/>
        <v>Sin fecha</v>
      </c>
      <c r="L438" s="8"/>
      <c r="M438" s="8"/>
      <c r="N438" s="4"/>
      <c r="O438" s="4"/>
      <c r="P438" s="4"/>
      <c r="Q438" s="4"/>
      <c r="R438" s="4"/>
      <c r="S438" s="4"/>
      <c r="T438" s="4"/>
      <c r="U438" s="4"/>
      <c r="V438" s="4"/>
      <c r="W438" s="4"/>
      <c r="X438" s="4"/>
      <c r="Y438" s="4"/>
      <c r="Z438" s="4"/>
      <c r="AA438" s="4"/>
      <c r="AB438" s="6"/>
      <c r="AC438" s="4"/>
      <c r="AD438" s="4"/>
    </row>
    <row r="439" spans="1:30">
      <c r="A439" s="4" t="str">
        <f t="shared" si="14"/>
        <v/>
      </c>
      <c r="B439" s="4"/>
      <c r="C439" s="4"/>
      <c r="D439" s="4"/>
      <c r="E439" s="4"/>
      <c r="F439" s="4"/>
      <c r="G439" s="6"/>
      <c r="H439" s="4"/>
      <c r="I439" s="4"/>
      <c r="J439" s="4"/>
      <c r="K439" s="4" t="str">
        <f t="shared" ca="1" si="13"/>
        <v>Sin fecha</v>
      </c>
      <c r="L439" s="8"/>
      <c r="M439" s="8"/>
      <c r="N439" s="4"/>
      <c r="O439" s="4"/>
      <c r="P439" s="4"/>
      <c r="Q439" s="4"/>
      <c r="R439" s="4"/>
      <c r="S439" s="4"/>
      <c r="T439" s="4"/>
      <c r="U439" s="4"/>
      <c r="V439" s="4"/>
      <c r="W439" s="4"/>
      <c r="X439" s="4"/>
      <c r="Y439" s="4"/>
      <c r="Z439" s="4"/>
      <c r="AA439" s="4"/>
      <c r="AB439" s="6"/>
      <c r="AC439" s="4"/>
      <c r="AD439" s="4"/>
    </row>
    <row r="440" spans="1:30">
      <c r="A440" s="4" t="str">
        <f t="shared" si="14"/>
        <v/>
      </c>
      <c r="B440" s="4"/>
      <c r="C440" s="4"/>
      <c r="D440" s="4"/>
      <c r="E440" s="4"/>
      <c r="F440" s="4"/>
      <c r="G440" s="6"/>
      <c r="H440" s="4"/>
      <c r="I440" s="4"/>
      <c r="J440" s="4"/>
      <c r="K440" s="4" t="str">
        <f t="shared" ca="1" si="13"/>
        <v>Sin fecha</v>
      </c>
      <c r="L440" s="8"/>
      <c r="M440" s="8"/>
      <c r="N440" s="4"/>
      <c r="O440" s="4"/>
      <c r="P440" s="4"/>
      <c r="Q440" s="4"/>
      <c r="R440" s="4"/>
      <c r="S440" s="4"/>
      <c r="T440" s="4"/>
      <c r="U440" s="4"/>
      <c r="V440" s="4"/>
      <c r="W440" s="4"/>
      <c r="X440" s="4"/>
      <c r="Y440" s="4"/>
      <c r="Z440" s="4"/>
      <c r="AA440" s="4"/>
      <c r="AB440" s="6"/>
      <c r="AC440" s="4"/>
      <c r="AD440" s="4"/>
    </row>
    <row r="441" spans="1:30">
      <c r="A441" s="4" t="str">
        <f t="shared" si="14"/>
        <v/>
      </c>
      <c r="B441" s="4"/>
      <c r="C441" s="4"/>
      <c r="D441" s="4"/>
      <c r="E441" s="4"/>
      <c r="F441" s="4"/>
      <c r="G441" s="6"/>
      <c r="H441" s="4"/>
      <c r="I441" s="4"/>
      <c r="J441" s="4"/>
      <c r="K441" s="4" t="str">
        <f t="shared" ca="1" si="13"/>
        <v>Sin fecha</v>
      </c>
      <c r="L441" s="8"/>
      <c r="M441" s="8"/>
      <c r="N441" s="4"/>
      <c r="O441" s="4"/>
      <c r="P441" s="4"/>
      <c r="Q441" s="4"/>
      <c r="R441" s="4"/>
      <c r="S441" s="4"/>
      <c r="T441" s="4"/>
      <c r="U441" s="4"/>
      <c r="V441" s="4"/>
      <c r="W441" s="4"/>
      <c r="X441" s="4"/>
      <c r="Y441" s="4"/>
      <c r="Z441" s="4"/>
      <c r="AA441" s="4"/>
      <c r="AB441" s="6"/>
      <c r="AC441" s="4"/>
      <c r="AD441" s="4"/>
    </row>
    <row r="442" spans="1:30">
      <c r="A442" s="4" t="str">
        <f t="shared" si="14"/>
        <v/>
      </c>
      <c r="B442" s="4"/>
      <c r="C442" s="4"/>
      <c r="D442" s="4"/>
      <c r="E442" s="4"/>
      <c r="F442" s="4"/>
      <c r="G442" s="6"/>
      <c r="H442" s="4"/>
      <c r="I442" s="4"/>
      <c r="J442" s="4"/>
      <c r="K442" s="4" t="str">
        <f t="shared" ca="1" si="13"/>
        <v>Sin fecha</v>
      </c>
      <c r="L442" s="8"/>
      <c r="M442" s="8"/>
      <c r="N442" s="4"/>
      <c r="O442" s="4"/>
      <c r="P442" s="4"/>
      <c r="Q442" s="4"/>
      <c r="R442" s="4"/>
      <c r="S442" s="4"/>
      <c r="T442" s="4"/>
      <c r="U442" s="4"/>
      <c r="V442" s="4"/>
      <c r="W442" s="4"/>
      <c r="X442" s="4"/>
      <c r="Y442" s="4"/>
      <c r="Z442" s="4"/>
      <c r="AA442" s="4"/>
      <c r="AB442" s="6"/>
      <c r="AC442" s="4"/>
      <c r="AD442" s="4"/>
    </row>
    <row r="443" spans="1:30">
      <c r="A443" s="4" t="str">
        <f t="shared" si="14"/>
        <v/>
      </c>
      <c r="B443" s="4"/>
      <c r="C443" s="4"/>
      <c r="D443" s="4"/>
      <c r="E443" s="4"/>
      <c r="F443" s="4"/>
      <c r="G443" s="6"/>
      <c r="H443" s="4"/>
      <c r="I443" s="4"/>
      <c r="J443" s="4"/>
      <c r="K443" s="4" t="str">
        <f t="shared" ca="1" si="13"/>
        <v>Sin fecha</v>
      </c>
      <c r="L443" s="8"/>
      <c r="M443" s="8"/>
      <c r="N443" s="4"/>
      <c r="O443" s="4"/>
      <c r="P443" s="4"/>
      <c r="Q443" s="4"/>
      <c r="R443" s="4"/>
      <c r="S443" s="4"/>
      <c r="T443" s="4"/>
      <c r="U443" s="4"/>
      <c r="V443" s="4"/>
      <c r="W443" s="4"/>
      <c r="X443" s="4"/>
      <c r="Y443" s="4"/>
      <c r="Z443" s="4"/>
      <c r="AA443" s="4"/>
      <c r="AB443" s="6"/>
      <c r="AC443" s="4"/>
      <c r="AD443" s="4"/>
    </row>
    <row r="444" spans="1:30">
      <c r="A444" s="4" t="str">
        <f t="shared" si="14"/>
        <v/>
      </c>
      <c r="B444" s="4"/>
      <c r="C444" s="4"/>
      <c r="D444" s="4"/>
      <c r="E444" s="4"/>
      <c r="F444" s="4"/>
      <c r="G444" s="6"/>
      <c r="H444" s="4"/>
      <c r="I444" s="4"/>
      <c r="J444" s="4"/>
      <c r="K444" s="4" t="str">
        <f t="shared" ca="1" si="13"/>
        <v>Sin fecha</v>
      </c>
      <c r="L444" s="8"/>
      <c r="M444" s="8"/>
      <c r="N444" s="4"/>
      <c r="O444" s="4"/>
      <c r="P444" s="4"/>
      <c r="Q444" s="4"/>
      <c r="R444" s="4"/>
      <c r="S444" s="4"/>
      <c r="T444" s="4"/>
      <c r="U444" s="4"/>
      <c r="V444" s="4"/>
      <c r="W444" s="4"/>
      <c r="X444" s="4"/>
      <c r="Y444" s="4"/>
      <c r="Z444" s="4"/>
      <c r="AA444" s="4"/>
      <c r="AB444" s="6"/>
      <c r="AC444" s="4"/>
      <c r="AD444" s="4"/>
    </row>
    <row r="445" spans="1:30">
      <c r="A445" s="4" t="str">
        <f t="shared" si="14"/>
        <v/>
      </c>
      <c r="B445" s="4"/>
      <c r="C445" s="4"/>
      <c r="D445" s="4"/>
      <c r="E445" s="4"/>
      <c r="F445" s="4"/>
      <c r="G445" s="6"/>
      <c r="H445" s="4"/>
      <c r="I445" s="4"/>
      <c r="J445" s="4"/>
      <c r="K445" s="4" t="str">
        <f t="shared" ca="1" si="13"/>
        <v>Sin fecha</v>
      </c>
      <c r="L445" s="8"/>
      <c r="M445" s="8"/>
      <c r="N445" s="4"/>
      <c r="O445" s="4"/>
      <c r="P445" s="4"/>
      <c r="Q445" s="4"/>
      <c r="R445" s="4"/>
      <c r="S445" s="4"/>
      <c r="T445" s="4"/>
      <c r="U445" s="4"/>
      <c r="V445" s="4"/>
      <c r="W445" s="4"/>
      <c r="X445" s="4"/>
      <c r="Y445" s="4"/>
      <c r="Z445" s="4"/>
      <c r="AA445" s="4"/>
      <c r="AB445" s="6"/>
      <c r="AC445" s="4"/>
      <c r="AD445" s="4"/>
    </row>
    <row r="446" spans="1:30">
      <c r="A446" s="4" t="str">
        <f t="shared" si="14"/>
        <v/>
      </c>
      <c r="B446" s="4"/>
      <c r="C446" s="4"/>
      <c r="D446" s="4"/>
      <c r="E446" s="4"/>
      <c r="F446" s="4"/>
      <c r="G446" s="6"/>
      <c r="H446" s="4"/>
      <c r="I446" s="4"/>
      <c r="J446" s="4"/>
      <c r="K446" s="4" t="str">
        <f t="shared" ca="1" si="13"/>
        <v>Sin fecha</v>
      </c>
      <c r="L446" s="8"/>
      <c r="M446" s="8"/>
      <c r="N446" s="4"/>
      <c r="O446" s="4"/>
      <c r="P446" s="4"/>
      <c r="Q446" s="4"/>
      <c r="R446" s="4"/>
      <c r="S446" s="4"/>
      <c r="T446" s="4"/>
      <c r="U446" s="4"/>
      <c r="V446" s="4"/>
      <c r="W446" s="4"/>
      <c r="X446" s="4"/>
      <c r="Y446" s="4"/>
      <c r="Z446" s="4"/>
      <c r="AA446" s="4"/>
      <c r="AB446" s="6"/>
      <c r="AC446" s="4"/>
      <c r="AD446" s="4"/>
    </row>
    <row r="447" spans="1:30">
      <c r="A447" s="4" t="str">
        <f t="shared" si="14"/>
        <v/>
      </c>
      <c r="B447" s="4"/>
      <c r="C447" s="4"/>
      <c r="D447" s="4"/>
      <c r="E447" s="4"/>
      <c r="F447" s="4"/>
      <c r="G447" s="6"/>
      <c r="H447" s="4"/>
      <c r="I447" s="4"/>
      <c r="J447" s="4"/>
      <c r="K447" s="4" t="str">
        <f t="shared" ca="1" si="13"/>
        <v>Sin fecha</v>
      </c>
      <c r="L447" s="8"/>
      <c r="M447" s="8"/>
      <c r="N447" s="4"/>
      <c r="O447" s="4"/>
      <c r="P447" s="4"/>
      <c r="Q447" s="4"/>
      <c r="R447" s="4"/>
      <c r="S447" s="4"/>
      <c r="T447" s="4"/>
      <c r="U447" s="4"/>
      <c r="V447" s="4"/>
      <c r="W447" s="4"/>
      <c r="X447" s="4"/>
      <c r="Y447" s="4"/>
      <c r="Z447" s="4"/>
      <c r="AA447" s="4"/>
      <c r="AB447" s="6"/>
      <c r="AC447" s="4"/>
      <c r="AD447" s="4"/>
    </row>
    <row r="448" spans="1:30">
      <c r="A448" s="4" t="str">
        <f t="shared" si="14"/>
        <v/>
      </c>
      <c r="B448" s="4"/>
      <c r="C448" s="4"/>
      <c r="D448" s="4"/>
      <c r="E448" s="4"/>
      <c r="F448" s="4"/>
      <c r="G448" s="6"/>
      <c r="H448" s="4"/>
      <c r="I448" s="4"/>
      <c r="J448" s="4"/>
      <c r="K448" s="4" t="str">
        <f t="shared" ref="K448:K499" ca="1" si="15">IF(J448="Cerrada","Cerrada",IF(J448="Suspendida","Suspendida",IF(G448="","Sin fecha",IF(G448&lt;TODAY(),"Vencida",IF(G448-TODAY()&lt;=30,"Próxima a vencer","Abierta")))))</f>
        <v>Sin fecha</v>
      </c>
      <c r="L448" s="8"/>
      <c r="M448" s="8"/>
      <c r="N448" s="4"/>
      <c r="O448" s="4"/>
      <c r="P448" s="4"/>
      <c r="Q448" s="4"/>
      <c r="R448" s="4"/>
      <c r="S448" s="4"/>
      <c r="T448" s="4"/>
      <c r="U448" s="4"/>
      <c r="V448" s="4"/>
      <c r="W448" s="4"/>
      <c r="X448" s="4"/>
      <c r="Y448" s="4"/>
      <c r="Z448" s="4"/>
      <c r="AA448" s="4"/>
      <c r="AB448" s="6"/>
      <c r="AC448" s="4"/>
      <c r="AD448" s="4"/>
    </row>
    <row r="449" spans="1:30">
      <c r="A449" s="4" t="str">
        <f t="shared" ref="A449:A499" si="16">IF(C449="","","OP-"&amp;TEXT(ROW()-1,"0000"))</f>
        <v/>
      </c>
      <c r="B449" s="4"/>
      <c r="C449" s="4"/>
      <c r="D449" s="4"/>
      <c r="E449" s="4"/>
      <c r="F449" s="4"/>
      <c r="G449" s="6"/>
      <c r="H449" s="4"/>
      <c r="I449" s="4"/>
      <c r="J449" s="4"/>
      <c r="K449" s="4" t="str">
        <f t="shared" ca="1" si="15"/>
        <v>Sin fecha</v>
      </c>
      <c r="L449" s="8"/>
      <c r="M449" s="8"/>
      <c r="N449" s="4"/>
      <c r="O449" s="4"/>
      <c r="P449" s="4"/>
      <c r="Q449" s="4"/>
      <c r="R449" s="4"/>
      <c r="S449" s="4"/>
      <c r="T449" s="4"/>
      <c r="U449" s="4"/>
      <c r="V449" s="4"/>
      <c r="W449" s="4"/>
      <c r="X449" s="4"/>
      <c r="Y449" s="4"/>
      <c r="Z449" s="4"/>
      <c r="AA449" s="4"/>
      <c r="AB449" s="6"/>
      <c r="AC449" s="4"/>
      <c r="AD449" s="4"/>
    </row>
    <row r="450" spans="1:30">
      <c r="A450" s="4" t="str">
        <f t="shared" si="16"/>
        <v/>
      </c>
      <c r="B450" s="4"/>
      <c r="C450" s="4"/>
      <c r="D450" s="4"/>
      <c r="E450" s="4"/>
      <c r="F450" s="4"/>
      <c r="G450" s="6"/>
      <c r="H450" s="4"/>
      <c r="I450" s="4"/>
      <c r="J450" s="4"/>
      <c r="K450" s="4" t="str">
        <f t="shared" ca="1" si="15"/>
        <v>Sin fecha</v>
      </c>
      <c r="L450" s="8"/>
      <c r="M450" s="8"/>
      <c r="N450" s="4"/>
      <c r="O450" s="4"/>
      <c r="P450" s="4"/>
      <c r="Q450" s="4"/>
      <c r="R450" s="4"/>
      <c r="S450" s="4"/>
      <c r="T450" s="4"/>
      <c r="U450" s="4"/>
      <c r="V450" s="4"/>
      <c r="W450" s="4"/>
      <c r="X450" s="4"/>
      <c r="Y450" s="4"/>
      <c r="Z450" s="4"/>
      <c r="AA450" s="4"/>
      <c r="AB450" s="6"/>
      <c r="AC450" s="4"/>
      <c r="AD450" s="4"/>
    </row>
    <row r="451" spans="1:30">
      <c r="A451" s="4" t="str">
        <f t="shared" si="16"/>
        <v/>
      </c>
      <c r="B451" s="4"/>
      <c r="C451" s="4"/>
      <c r="D451" s="4"/>
      <c r="E451" s="4"/>
      <c r="F451" s="4"/>
      <c r="G451" s="6"/>
      <c r="H451" s="4"/>
      <c r="I451" s="4"/>
      <c r="J451" s="4"/>
      <c r="K451" s="4" t="str">
        <f t="shared" ca="1" si="15"/>
        <v>Sin fecha</v>
      </c>
      <c r="L451" s="8"/>
      <c r="M451" s="8"/>
      <c r="N451" s="4"/>
      <c r="O451" s="4"/>
      <c r="P451" s="4"/>
      <c r="Q451" s="4"/>
      <c r="R451" s="4"/>
      <c r="S451" s="4"/>
      <c r="T451" s="4"/>
      <c r="U451" s="4"/>
      <c r="V451" s="4"/>
      <c r="W451" s="4"/>
      <c r="X451" s="4"/>
      <c r="Y451" s="4"/>
      <c r="Z451" s="4"/>
      <c r="AA451" s="4"/>
      <c r="AB451" s="6"/>
      <c r="AC451" s="4"/>
      <c r="AD451" s="4"/>
    </row>
    <row r="452" spans="1:30">
      <c r="A452" s="4" t="str">
        <f t="shared" si="16"/>
        <v/>
      </c>
      <c r="B452" s="4"/>
      <c r="C452" s="4"/>
      <c r="D452" s="4"/>
      <c r="E452" s="4"/>
      <c r="F452" s="4"/>
      <c r="G452" s="6"/>
      <c r="H452" s="4"/>
      <c r="I452" s="4"/>
      <c r="J452" s="4"/>
      <c r="K452" s="4" t="str">
        <f t="shared" ca="1" si="15"/>
        <v>Sin fecha</v>
      </c>
      <c r="L452" s="8"/>
      <c r="M452" s="8"/>
      <c r="N452" s="4"/>
      <c r="O452" s="4"/>
      <c r="P452" s="4"/>
      <c r="Q452" s="4"/>
      <c r="R452" s="4"/>
      <c r="S452" s="4"/>
      <c r="T452" s="4"/>
      <c r="U452" s="4"/>
      <c r="V452" s="4"/>
      <c r="W452" s="4"/>
      <c r="X452" s="4"/>
      <c r="Y452" s="4"/>
      <c r="Z452" s="4"/>
      <c r="AA452" s="4"/>
      <c r="AB452" s="6"/>
      <c r="AC452" s="4"/>
      <c r="AD452" s="4"/>
    </row>
    <row r="453" spans="1:30">
      <c r="A453" s="4" t="str">
        <f t="shared" si="16"/>
        <v/>
      </c>
      <c r="B453" s="4"/>
      <c r="C453" s="4"/>
      <c r="D453" s="4"/>
      <c r="E453" s="4"/>
      <c r="F453" s="4"/>
      <c r="G453" s="6"/>
      <c r="H453" s="4"/>
      <c r="I453" s="4"/>
      <c r="J453" s="4"/>
      <c r="K453" s="4" t="str">
        <f t="shared" ca="1" si="15"/>
        <v>Sin fecha</v>
      </c>
      <c r="L453" s="8"/>
      <c r="M453" s="8"/>
      <c r="N453" s="4"/>
      <c r="O453" s="4"/>
      <c r="P453" s="4"/>
      <c r="Q453" s="4"/>
      <c r="R453" s="4"/>
      <c r="S453" s="4"/>
      <c r="T453" s="4"/>
      <c r="U453" s="4"/>
      <c r="V453" s="4"/>
      <c r="W453" s="4"/>
      <c r="X453" s="4"/>
      <c r="Y453" s="4"/>
      <c r="Z453" s="4"/>
      <c r="AA453" s="4"/>
      <c r="AB453" s="6"/>
      <c r="AC453" s="4"/>
      <c r="AD453" s="4"/>
    </row>
    <row r="454" spans="1:30">
      <c r="A454" s="4" t="str">
        <f t="shared" si="16"/>
        <v/>
      </c>
      <c r="B454" s="4"/>
      <c r="C454" s="4"/>
      <c r="D454" s="4"/>
      <c r="E454" s="4"/>
      <c r="F454" s="4"/>
      <c r="G454" s="6"/>
      <c r="H454" s="4"/>
      <c r="I454" s="4"/>
      <c r="J454" s="4"/>
      <c r="K454" s="4" t="str">
        <f t="shared" ca="1" si="15"/>
        <v>Sin fecha</v>
      </c>
      <c r="L454" s="8"/>
      <c r="M454" s="8"/>
      <c r="N454" s="4"/>
      <c r="O454" s="4"/>
      <c r="P454" s="4"/>
      <c r="Q454" s="4"/>
      <c r="R454" s="4"/>
      <c r="S454" s="4"/>
      <c r="T454" s="4"/>
      <c r="U454" s="4"/>
      <c r="V454" s="4"/>
      <c r="W454" s="4"/>
      <c r="X454" s="4"/>
      <c r="Y454" s="4"/>
      <c r="Z454" s="4"/>
      <c r="AA454" s="4"/>
      <c r="AB454" s="6"/>
      <c r="AC454" s="4"/>
      <c r="AD454" s="4"/>
    </row>
    <row r="455" spans="1:30">
      <c r="A455" s="4" t="str">
        <f t="shared" si="16"/>
        <v/>
      </c>
      <c r="B455" s="4"/>
      <c r="C455" s="4"/>
      <c r="D455" s="4"/>
      <c r="E455" s="4"/>
      <c r="F455" s="4"/>
      <c r="G455" s="6"/>
      <c r="H455" s="4"/>
      <c r="I455" s="4"/>
      <c r="J455" s="4"/>
      <c r="K455" s="4" t="str">
        <f t="shared" ca="1" si="15"/>
        <v>Sin fecha</v>
      </c>
      <c r="L455" s="8"/>
      <c r="M455" s="8"/>
      <c r="N455" s="4"/>
      <c r="O455" s="4"/>
      <c r="P455" s="4"/>
      <c r="Q455" s="4"/>
      <c r="R455" s="4"/>
      <c r="S455" s="4"/>
      <c r="T455" s="4"/>
      <c r="U455" s="4"/>
      <c r="V455" s="4"/>
      <c r="W455" s="4"/>
      <c r="X455" s="4"/>
      <c r="Y455" s="4"/>
      <c r="Z455" s="4"/>
      <c r="AA455" s="4"/>
      <c r="AB455" s="6"/>
      <c r="AC455" s="4"/>
      <c r="AD455" s="4"/>
    </row>
    <row r="456" spans="1:30">
      <c r="A456" s="4" t="str">
        <f t="shared" si="16"/>
        <v/>
      </c>
      <c r="B456" s="4"/>
      <c r="C456" s="4"/>
      <c r="D456" s="4"/>
      <c r="E456" s="4"/>
      <c r="F456" s="4"/>
      <c r="G456" s="6"/>
      <c r="H456" s="4"/>
      <c r="I456" s="4"/>
      <c r="J456" s="4"/>
      <c r="K456" s="4" t="str">
        <f t="shared" ca="1" si="15"/>
        <v>Sin fecha</v>
      </c>
      <c r="L456" s="8"/>
      <c r="M456" s="8"/>
      <c r="N456" s="4"/>
      <c r="O456" s="4"/>
      <c r="P456" s="4"/>
      <c r="Q456" s="4"/>
      <c r="R456" s="4"/>
      <c r="S456" s="4"/>
      <c r="T456" s="4"/>
      <c r="U456" s="4"/>
      <c r="V456" s="4"/>
      <c r="W456" s="4"/>
      <c r="X456" s="4"/>
      <c r="Y456" s="4"/>
      <c r="Z456" s="4"/>
      <c r="AA456" s="4"/>
      <c r="AB456" s="6"/>
      <c r="AC456" s="4"/>
      <c r="AD456" s="4"/>
    </row>
    <row r="457" spans="1:30">
      <c r="A457" s="4" t="str">
        <f t="shared" si="16"/>
        <v/>
      </c>
      <c r="B457" s="4"/>
      <c r="C457" s="4"/>
      <c r="D457" s="4"/>
      <c r="E457" s="4"/>
      <c r="F457" s="4"/>
      <c r="G457" s="6"/>
      <c r="H457" s="4"/>
      <c r="I457" s="4"/>
      <c r="J457" s="4"/>
      <c r="K457" s="4" t="str">
        <f t="shared" ca="1" si="15"/>
        <v>Sin fecha</v>
      </c>
      <c r="L457" s="8"/>
      <c r="M457" s="8"/>
      <c r="N457" s="4"/>
      <c r="O457" s="4"/>
      <c r="P457" s="4"/>
      <c r="Q457" s="4"/>
      <c r="R457" s="4"/>
      <c r="S457" s="4"/>
      <c r="T457" s="4"/>
      <c r="U457" s="4"/>
      <c r="V457" s="4"/>
      <c r="W457" s="4"/>
      <c r="X457" s="4"/>
      <c r="Y457" s="4"/>
      <c r="Z457" s="4"/>
      <c r="AA457" s="4"/>
      <c r="AB457" s="6"/>
      <c r="AC457" s="4"/>
      <c r="AD457" s="4"/>
    </row>
    <row r="458" spans="1:30">
      <c r="A458" s="4" t="str">
        <f t="shared" si="16"/>
        <v/>
      </c>
      <c r="B458" s="4"/>
      <c r="C458" s="4"/>
      <c r="D458" s="4"/>
      <c r="E458" s="4"/>
      <c r="F458" s="4"/>
      <c r="G458" s="6"/>
      <c r="H458" s="4"/>
      <c r="I458" s="4"/>
      <c r="J458" s="4"/>
      <c r="K458" s="4" t="str">
        <f t="shared" ca="1" si="15"/>
        <v>Sin fecha</v>
      </c>
      <c r="L458" s="8"/>
      <c r="M458" s="8"/>
      <c r="N458" s="4"/>
      <c r="O458" s="4"/>
      <c r="P458" s="4"/>
      <c r="Q458" s="4"/>
      <c r="R458" s="4"/>
      <c r="S458" s="4"/>
      <c r="T458" s="4"/>
      <c r="U458" s="4"/>
      <c r="V458" s="4"/>
      <c r="W458" s="4"/>
      <c r="X458" s="4"/>
      <c r="Y458" s="4"/>
      <c r="Z458" s="4"/>
      <c r="AA458" s="4"/>
      <c r="AB458" s="6"/>
      <c r="AC458" s="4"/>
      <c r="AD458" s="4"/>
    </row>
    <row r="459" spans="1:30">
      <c r="A459" s="4" t="str">
        <f t="shared" si="16"/>
        <v/>
      </c>
      <c r="B459" s="4"/>
      <c r="C459" s="4"/>
      <c r="D459" s="4"/>
      <c r="E459" s="4"/>
      <c r="F459" s="4"/>
      <c r="G459" s="6"/>
      <c r="H459" s="4"/>
      <c r="I459" s="4"/>
      <c r="J459" s="4"/>
      <c r="K459" s="4" t="str">
        <f t="shared" ca="1" si="15"/>
        <v>Sin fecha</v>
      </c>
      <c r="L459" s="8"/>
      <c r="M459" s="8"/>
      <c r="N459" s="4"/>
      <c r="O459" s="4"/>
      <c r="P459" s="4"/>
      <c r="Q459" s="4"/>
      <c r="R459" s="4"/>
      <c r="S459" s="4"/>
      <c r="T459" s="4"/>
      <c r="U459" s="4"/>
      <c r="V459" s="4"/>
      <c r="W459" s="4"/>
      <c r="X459" s="4"/>
      <c r="Y459" s="4"/>
      <c r="Z459" s="4"/>
      <c r="AA459" s="4"/>
      <c r="AB459" s="6"/>
      <c r="AC459" s="4"/>
      <c r="AD459" s="4"/>
    </row>
    <row r="460" spans="1:30">
      <c r="A460" s="4" t="str">
        <f t="shared" si="16"/>
        <v/>
      </c>
      <c r="B460" s="4"/>
      <c r="C460" s="4"/>
      <c r="D460" s="4"/>
      <c r="E460" s="4"/>
      <c r="F460" s="4"/>
      <c r="G460" s="6"/>
      <c r="H460" s="4"/>
      <c r="I460" s="4"/>
      <c r="J460" s="4"/>
      <c r="K460" s="4" t="str">
        <f t="shared" ca="1" si="15"/>
        <v>Sin fecha</v>
      </c>
      <c r="L460" s="8"/>
      <c r="M460" s="8"/>
      <c r="N460" s="4"/>
      <c r="O460" s="4"/>
      <c r="P460" s="4"/>
      <c r="Q460" s="4"/>
      <c r="R460" s="4"/>
      <c r="S460" s="4"/>
      <c r="T460" s="4"/>
      <c r="U460" s="4"/>
      <c r="V460" s="4"/>
      <c r="W460" s="4"/>
      <c r="X460" s="4"/>
      <c r="Y460" s="4"/>
      <c r="Z460" s="4"/>
      <c r="AA460" s="4"/>
      <c r="AB460" s="6"/>
      <c r="AC460" s="4"/>
      <c r="AD460" s="4"/>
    </row>
    <row r="461" spans="1:30">
      <c r="A461" s="4" t="str">
        <f t="shared" si="16"/>
        <v/>
      </c>
      <c r="B461" s="4"/>
      <c r="C461" s="4"/>
      <c r="D461" s="4"/>
      <c r="E461" s="4"/>
      <c r="F461" s="4"/>
      <c r="G461" s="6"/>
      <c r="H461" s="4"/>
      <c r="I461" s="4"/>
      <c r="J461" s="4"/>
      <c r="K461" s="4" t="str">
        <f t="shared" ca="1" si="15"/>
        <v>Sin fecha</v>
      </c>
      <c r="L461" s="8"/>
      <c r="M461" s="8"/>
      <c r="N461" s="4"/>
      <c r="O461" s="4"/>
      <c r="P461" s="4"/>
      <c r="Q461" s="4"/>
      <c r="R461" s="4"/>
      <c r="S461" s="4"/>
      <c r="T461" s="4"/>
      <c r="U461" s="4"/>
      <c r="V461" s="4"/>
      <c r="W461" s="4"/>
      <c r="X461" s="4"/>
      <c r="Y461" s="4"/>
      <c r="Z461" s="4"/>
      <c r="AA461" s="4"/>
      <c r="AB461" s="6"/>
      <c r="AC461" s="4"/>
      <c r="AD461" s="4"/>
    </row>
    <row r="462" spans="1:30">
      <c r="A462" s="4" t="str">
        <f t="shared" si="16"/>
        <v/>
      </c>
      <c r="B462" s="4"/>
      <c r="C462" s="4"/>
      <c r="D462" s="4"/>
      <c r="E462" s="4"/>
      <c r="F462" s="4"/>
      <c r="G462" s="6"/>
      <c r="H462" s="4"/>
      <c r="I462" s="4"/>
      <c r="J462" s="4"/>
      <c r="K462" s="4" t="str">
        <f t="shared" ca="1" si="15"/>
        <v>Sin fecha</v>
      </c>
      <c r="L462" s="8"/>
      <c r="M462" s="8"/>
      <c r="N462" s="4"/>
      <c r="O462" s="4"/>
      <c r="P462" s="4"/>
      <c r="Q462" s="4"/>
      <c r="R462" s="4"/>
      <c r="S462" s="4"/>
      <c r="T462" s="4"/>
      <c r="U462" s="4"/>
      <c r="V462" s="4"/>
      <c r="W462" s="4"/>
      <c r="X462" s="4"/>
      <c r="Y462" s="4"/>
      <c r="Z462" s="4"/>
      <c r="AA462" s="4"/>
      <c r="AB462" s="6"/>
      <c r="AC462" s="4"/>
      <c r="AD462" s="4"/>
    </row>
    <row r="463" spans="1:30">
      <c r="A463" s="4" t="str">
        <f t="shared" si="16"/>
        <v/>
      </c>
      <c r="B463" s="4"/>
      <c r="C463" s="4"/>
      <c r="D463" s="4"/>
      <c r="E463" s="4"/>
      <c r="F463" s="4"/>
      <c r="G463" s="6"/>
      <c r="H463" s="4"/>
      <c r="I463" s="4"/>
      <c r="J463" s="4"/>
      <c r="K463" s="4" t="str">
        <f t="shared" ca="1" si="15"/>
        <v>Sin fecha</v>
      </c>
      <c r="L463" s="8"/>
      <c r="M463" s="8"/>
      <c r="N463" s="4"/>
      <c r="O463" s="4"/>
      <c r="P463" s="4"/>
      <c r="Q463" s="4"/>
      <c r="R463" s="4"/>
      <c r="S463" s="4"/>
      <c r="T463" s="4"/>
      <c r="U463" s="4"/>
      <c r="V463" s="4"/>
      <c r="W463" s="4"/>
      <c r="X463" s="4"/>
      <c r="Y463" s="4"/>
      <c r="Z463" s="4"/>
      <c r="AA463" s="4"/>
      <c r="AB463" s="6"/>
      <c r="AC463" s="4"/>
      <c r="AD463" s="4"/>
    </row>
    <row r="464" spans="1:30">
      <c r="A464" s="4" t="str">
        <f t="shared" si="16"/>
        <v/>
      </c>
      <c r="B464" s="4"/>
      <c r="C464" s="4"/>
      <c r="D464" s="4"/>
      <c r="E464" s="4"/>
      <c r="F464" s="4"/>
      <c r="G464" s="6"/>
      <c r="H464" s="4"/>
      <c r="I464" s="4"/>
      <c r="J464" s="4"/>
      <c r="K464" s="4" t="str">
        <f t="shared" ca="1" si="15"/>
        <v>Sin fecha</v>
      </c>
      <c r="L464" s="8"/>
      <c r="M464" s="8"/>
      <c r="N464" s="4"/>
      <c r="O464" s="4"/>
      <c r="P464" s="4"/>
      <c r="Q464" s="4"/>
      <c r="R464" s="4"/>
      <c r="S464" s="4"/>
      <c r="T464" s="4"/>
      <c r="U464" s="4"/>
      <c r="V464" s="4"/>
      <c r="W464" s="4"/>
      <c r="X464" s="4"/>
      <c r="Y464" s="4"/>
      <c r="Z464" s="4"/>
      <c r="AA464" s="4"/>
      <c r="AB464" s="6"/>
      <c r="AC464" s="4"/>
      <c r="AD464" s="4"/>
    </row>
    <row r="465" spans="1:30">
      <c r="A465" s="4" t="str">
        <f t="shared" si="16"/>
        <v/>
      </c>
      <c r="B465" s="4"/>
      <c r="C465" s="4"/>
      <c r="D465" s="4"/>
      <c r="E465" s="4"/>
      <c r="F465" s="4"/>
      <c r="G465" s="6"/>
      <c r="H465" s="4"/>
      <c r="I465" s="4"/>
      <c r="J465" s="4"/>
      <c r="K465" s="4" t="str">
        <f t="shared" ca="1" si="15"/>
        <v>Sin fecha</v>
      </c>
      <c r="L465" s="8"/>
      <c r="M465" s="8"/>
      <c r="N465" s="4"/>
      <c r="O465" s="4"/>
      <c r="P465" s="4"/>
      <c r="Q465" s="4"/>
      <c r="R465" s="4"/>
      <c r="S465" s="4"/>
      <c r="T465" s="4"/>
      <c r="U465" s="4"/>
      <c r="V465" s="4"/>
      <c r="W465" s="4"/>
      <c r="X465" s="4"/>
      <c r="Y465" s="4"/>
      <c r="Z465" s="4"/>
      <c r="AA465" s="4"/>
      <c r="AB465" s="6"/>
      <c r="AC465" s="4"/>
      <c r="AD465" s="4"/>
    </row>
    <row r="466" spans="1:30">
      <c r="A466" s="4" t="str">
        <f t="shared" si="16"/>
        <v/>
      </c>
      <c r="B466" s="4"/>
      <c r="C466" s="4"/>
      <c r="D466" s="4"/>
      <c r="E466" s="4"/>
      <c r="F466" s="4"/>
      <c r="G466" s="6"/>
      <c r="H466" s="4"/>
      <c r="I466" s="4"/>
      <c r="J466" s="4"/>
      <c r="K466" s="4" t="str">
        <f t="shared" ca="1" si="15"/>
        <v>Sin fecha</v>
      </c>
      <c r="L466" s="8"/>
      <c r="M466" s="8"/>
      <c r="N466" s="4"/>
      <c r="O466" s="4"/>
      <c r="P466" s="4"/>
      <c r="Q466" s="4"/>
      <c r="R466" s="4"/>
      <c r="S466" s="4"/>
      <c r="T466" s="4"/>
      <c r="U466" s="4"/>
      <c r="V466" s="4"/>
      <c r="W466" s="4"/>
      <c r="X466" s="4"/>
      <c r="Y466" s="4"/>
      <c r="Z466" s="4"/>
      <c r="AA466" s="4"/>
      <c r="AB466" s="6"/>
      <c r="AC466" s="4"/>
      <c r="AD466" s="4"/>
    </row>
    <row r="467" spans="1:30">
      <c r="A467" s="4" t="str">
        <f t="shared" si="16"/>
        <v/>
      </c>
      <c r="B467" s="4"/>
      <c r="C467" s="4"/>
      <c r="D467" s="4"/>
      <c r="E467" s="4"/>
      <c r="F467" s="4"/>
      <c r="G467" s="6"/>
      <c r="H467" s="4"/>
      <c r="I467" s="4"/>
      <c r="J467" s="4"/>
      <c r="K467" s="4" t="str">
        <f t="shared" ca="1" si="15"/>
        <v>Sin fecha</v>
      </c>
      <c r="L467" s="8"/>
      <c r="M467" s="8"/>
      <c r="N467" s="4"/>
      <c r="O467" s="4"/>
      <c r="P467" s="4"/>
      <c r="Q467" s="4"/>
      <c r="R467" s="4"/>
      <c r="S467" s="4"/>
      <c r="T467" s="4"/>
      <c r="U467" s="4"/>
      <c r="V467" s="4"/>
      <c r="W467" s="4"/>
      <c r="X467" s="4"/>
      <c r="Y467" s="4"/>
      <c r="Z467" s="4"/>
      <c r="AA467" s="4"/>
      <c r="AB467" s="6"/>
      <c r="AC467" s="4"/>
      <c r="AD467" s="4"/>
    </row>
    <row r="468" spans="1:30">
      <c r="A468" s="4" t="str">
        <f t="shared" si="16"/>
        <v/>
      </c>
      <c r="B468" s="4"/>
      <c r="C468" s="4"/>
      <c r="D468" s="4"/>
      <c r="E468" s="4"/>
      <c r="F468" s="4"/>
      <c r="G468" s="6"/>
      <c r="H468" s="4"/>
      <c r="I468" s="4"/>
      <c r="J468" s="4"/>
      <c r="K468" s="4" t="str">
        <f t="shared" ca="1" si="15"/>
        <v>Sin fecha</v>
      </c>
      <c r="L468" s="8"/>
      <c r="M468" s="8"/>
      <c r="N468" s="4"/>
      <c r="O468" s="4"/>
      <c r="P468" s="4"/>
      <c r="Q468" s="4"/>
      <c r="R468" s="4"/>
      <c r="S468" s="4"/>
      <c r="T468" s="4"/>
      <c r="U468" s="4"/>
      <c r="V468" s="4"/>
      <c r="W468" s="4"/>
      <c r="X468" s="4"/>
      <c r="Y468" s="4"/>
      <c r="Z468" s="4"/>
      <c r="AA468" s="4"/>
      <c r="AB468" s="6"/>
      <c r="AC468" s="4"/>
      <c r="AD468" s="4"/>
    </row>
    <row r="469" spans="1:30">
      <c r="A469" s="4" t="str">
        <f t="shared" si="16"/>
        <v/>
      </c>
      <c r="B469" s="4"/>
      <c r="C469" s="4"/>
      <c r="D469" s="4"/>
      <c r="E469" s="4"/>
      <c r="F469" s="4"/>
      <c r="G469" s="6"/>
      <c r="H469" s="4"/>
      <c r="I469" s="4"/>
      <c r="J469" s="4"/>
      <c r="K469" s="4" t="str">
        <f t="shared" ca="1" si="15"/>
        <v>Sin fecha</v>
      </c>
      <c r="L469" s="8"/>
      <c r="M469" s="8"/>
      <c r="N469" s="4"/>
      <c r="O469" s="4"/>
      <c r="P469" s="4"/>
      <c r="Q469" s="4"/>
      <c r="R469" s="4"/>
      <c r="S469" s="4"/>
      <c r="T469" s="4"/>
      <c r="U469" s="4"/>
      <c r="V469" s="4"/>
      <c r="W469" s="4"/>
      <c r="X469" s="4"/>
      <c r="Y469" s="4"/>
      <c r="Z469" s="4"/>
      <c r="AA469" s="4"/>
      <c r="AB469" s="6"/>
      <c r="AC469" s="4"/>
      <c r="AD469" s="4"/>
    </row>
    <row r="470" spans="1:30">
      <c r="A470" s="4" t="str">
        <f t="shared" si="16"/>
        <v/>
      </c>
      <c r="B470" s="4"/>
      <c r="C470" s="4"/>
      <c r="D470" s="4"/>
      <c r="E470" s="4"/>
      <c r="F470" s="4"/>
      <c r="G470" s="6"/>
      <c r="H470" s="4"/>
      <c r="I470" s="4"/>
      <c r="J470" s="4"/>
      <c r="K470" s="4" t="str">
        <f t="shared" ca="1" si="15"/>
        <v>Sin fecha</v>
      </c>
      <c r="L470" s="8"/>
      <c r="M470" s="8"/>
      <c r="N470" s="4"/>
      <c r="O470" s="4"/>
      <c r="P470" s="4"/>
      <c r="Q470" s="4"/>
      <c r="R470" s="4"/>
      <c r="S470" s="4"/>
      <c r="T470" s="4"/>
      <c r="U470" s="4"/>
      <c r="V470" s="4"/>
      <c r="W470" s="4"/>
      <c r="X470" s="4"/>
      <c r="Y470" s="4"/>
      <c r="Z470" s="4"/>
      <c r="AA470" s="4"/>
      <c r="AB470" s="6"/>
      <c r="AC470" s="4"/>
      <c r="AD470" s="4"/>
    </row>
    <row r="471" spans="1:30">
      <c r="A471" s="4" t="str">
        <f t="shared" si="16"/>
        <v/>
      </c>
      <c r="B471" s="4"/>
      <c r="C471" s="4"/>
      <c r="D471" s="4"/>
      <c r="E471" s="4"/>
      <c r="F471" s="4"/>
      <c r="G471" s="6"/>
      <c r="H471" s="4"/>
      <c r="I471" s="4"/>
      <c r="J471" s="4"/>
      <c r="K471" s="4" t="str">
        <f t="shared" ca="1" si="15"/>
        <v>Sin fecha</v>
      </c>
      <c r="L471" s="8"/>
      <c r="M471" s="8"/>
      <c r="N471" s="4"/>
      <c r="O471" s="4"/>
      <c r="P471" s="4"/>
      <c r="Q471" s="4"/>
      <c r="R471" s="4"/>
      <c r="S471" s="4"/>
      <c r="T471" s="4"/>
      <c r="U471" s="4"/>
      <c r="V471" s="4"/>
      <c r="W471" s="4"/>
      <c r="X471" s="4"/>
      <c r="Y471" s="4"/>
      <c r="Z471" s="4"/>
      <c r="AA471" s="4"/>
      <c r="AB471" s="6"/>
      <c r="AC471" s="4"/>
      <c r="AD471" s="4"/>
    </row>
    <row r="472" spans="1:30">
      <c r="A472" s="4" t="str">
        <f t="shared" si="16"/>
        <v/>
      </c>
      <c r="B472" s="4"/>
      <c r="C472" s="4"/>
      <c r="D472" s="4"/>
      <c r="E472" s="4"/>
      <c r="F472" s="4"/>
      <c r="G472" s="6"/>
      <c r="H472" s="4"/>
      <c r="I472" s="4"/>
      <c r="J472" s="4"/>
      <c r="K472" s="4" t="str">
        <f t="shared" ca="1" si="15"/>
        <v>Sin fecha</v>
      </c>
      <c r="L472" s="8"/>
      <c r="M472" s="8"/>
      <c r="N472" s="4"/>
      <c r="O472" s="4"/>
      <c r="P472" s="4"/>
      <c r="Q472" s="4"/>
      <c r="R472" s="4"/>
      <c r="S472" s="4"/>
      <c r="T472" s="4"/>
      <c r="U472" s="4"/>
      <c r="V472" s="4"/>
      <c r="W472" s="4"/>
      <c r="X472" s="4"/>
      <c r="Y472" s="4"/>
      <c r="Z472" s="4"/>
      <c r="AA472" s="4"/>
      <c r="AB472" s="6"/>
      <c r="AC472" s="4"/>
      <c r="AD472" s="4"/>
    </row>
    <row r="473" spans="1:30">
      <c r="A473" s="4" t="str">
        <f t="shared" si="16"/>
        <v/>
      </c>
      <c r="B473" s="4"/>
      <c r="C473" s="4"/>
      <c r="D473" s="4"/>
      <c r="E473" s="4"/>
      <c r="F473" s="4"/>
      <c r="G473" s="6"/>
      <c r="H473" s="4"/>
      <c r="I473" s="4"/>
      <c r="J473" s="4"/>
      <c r="K473" s="4" t="str">
        <f t="shared" ca="1" si="15"/>
        <v>Sin fecha</v>
      </c>
      <c r="L473" s="8"/>
      <c r="M473" s="8"/>
      <c r="N473" s="4"/>
      <c r="O473" s="4"/>
      <c r="P473" s="4"/>
      <c r="Q473" s="4"/>
      <c r="R473" s="4"/>
      <c r="S473" s="4"/>
      <c r="T473" s="4"/>
      <c r="U473" s="4"/>
      <c r="V473" s="4"/>
      <c r="W473" s="4"/>
      <c r="X473" s="4"/>
      <c r="Y473" s="4"/>
      <c r="Z473" s="4"/>
      <c r="AA473" s="4"/>
      <c r="AB473" s="6"/>
      <c r="AC473" s="4"/>
      <c r="AD473" s="4"/>
    </row>
    <row r="474" spans="1:30">
      <c r="A474" s="4" t="str">
        <f t="shared" si="16"/>
        <v/>
      </c>
      <c r="B474" s="4"/>
      <c r="C474" s="4"/>
      <c r="D474" s="4"/>
      <c r="E474" s="4"/>
      <c r="F474" s="4"/>
      <c r="G474" s="6"/>
      <c r="H474" s="4"/>
      <c r="I474" s="4"/>
      <c r="J474" s="4"/>
      <c r="K474" s="4" t="str">
        <f t="shared" ca="1" si="15"/>
        <v>Sin fecha</v>
      </c>
      <c r="L474" s="8"/>
      <c r="M474" s="8"/>
      <c r="N474" s="4"/>
      <c r="O474" s="4"/>
      <c r="P474" s="4"/>
      <c r="Q474" s="4"/>
      <c r="R474" s="4"/>
      <c r="S474" s="4"/>
      <c r="T474" s="4"/>
      <c r="U474" s="4"/>
      <c r="V474" s="4"/>
      <c r="W474" s="4"/>
      <c r="X474" s="4"/>
      <c r="Y474" s="4"/>
      <c r="Z474" s="4"/>
      <c r="AA474" s="4"/>
      <c r="AB474" s="6"/>
      <c r="AC474" s="4"/>
      <c r="AD474" s="4"/>
    </row>
    <row r="475" spans="1:30">
      <c r="A475" s="4" t="str">
        <f t="shared" si="16"/>
        <v/>
      </c>
      <c r="B475" s="4"/>
      <c r="C475" s="4"/>
      <c r="D475" s="4"/>
      <c r="E475" s="4"/>
      <c r="F475" s="4"/>
      <c r="G475" s="6"/>
      <c r="H475" s="4"/>
      <c r="I475" s="4"/>
      <c r="J475" s="4"/>
      <c r="K475" s="4" t="str">
        <f t="shared" ca="1" si="15"/>
        <v>Sin fecha</v>
      </c>
      <c r="L475" s="8"/>
      <c r="M475" s="8"/>
      <c r="N475" s="4"/>
      <c r="O475" s="4"/>
      <c r="P475" s="4"/>
      <c r="Q475" s="4"/>
      <c r="R475" s="4"/>
      <c r="S475" s="4"/>
      <c r="T475" s="4"/>
      <c r="U475" s="4"/>
      <c r="V475" s="4"/>
      <c r="W475" s="4"/>
      <c r="X475" s="4"/>
      <c r="Y475" s="4"/>
      <c r="Z475" s="4"/>
      <c r="AA475" s="4"/>
      <c r="AB475" s="6"/>
      <c r="AC475" s="4"/>
      <c r="AD475" s="4"/>
    </row>
    <row r="476" spans="1:30">
      <c r="A476" s="4" t="str">
        <f t="shared" si="16"/>
        <v/>
      </c>
      <c r="B476" s="4"/>
      <c r="C476" s="4"/>
      <c r="D476" s="4"/>
      <c r="E476" s="4"/>
      <c r="F476" s="4"/>
      <c r="G476" s="6"/>
      <c r="H476" s="4"/>
      <c r="I476" s="4"/>
      <c r="J476" s="4"/>
      <c r="K476" s="4" t="str">
        <f t="shared" ca="1" si="15"/>
        <v>Sin fecha</v>
      </c>
      <c r="L476" s="8"/>
      <c r="M476" s="8"/>
      <c r="N476" s="4"/>
      <c r="O476" s="4"/>
      <c r="P476" s="4"/>
      <c r="Q476" s="4"/>
      <c r="R476" s="4"/>
      <c r="S476" s="4"/>
      <c r="T476" s="4"/>
      <c r="U476" s="4"/>
      <c r="V476" s="4"/>
      <c r="W476" s="4"/>
      <c r="X476" s="4"/>
      <c r="Y476" s="4"/>
      <c r="Z476" s="4"/>
      <c r="AA476" s="4"/>
      <c r="AB476" s="6"/>
      <c r="AC476" s="4"/>
      <c r="AD476" s="4"/>
    </row>
    <row r="477" spans="1:30">
      <c r="A477" s="4" t="str">
        <f t="shared" si="16"/>
        <v/>
      </c>
      <c r="B477" s="4"/>
      <c r="C477" s="4"/>
      <c r="D477" s="4"/>
      <c r="E477" s="4"/>
      <c r="F477" s="4"/>
      <c r="G477" s="6"/>
      <c r="H477" s="4"/>
      <c r="I477" s="4"/>
      <c r="J477" s="4"/>
      <c r="K477" s="4" t="str">
        <f t="shared" ca="1" si="15"/>
        <v>Sin fecha</v>
      </c>
      <c r="L477" s="8"/>
      <c r="M477" s="8"/>
      <c r="N477" s="4"/>
      <c r="O477" s="4"/>
      <c r="P477" s="4"/>
      <c r="Q477" s="4"/>
      <c r="R477" s="4"/>
      <c r="S477" s="4"/>
      <c r="T477" s="4"/>
      <c r="U477" s="4"/>
      <c r="V477" s="4"/>
      <c r="W477" s="4"/>
      <c r="X477" s="4"/>
      <c r="Y477" s="4"/>
      <c r="Z477" s="4"/>
      <c r="AA477" s="4"/>
      <c r="AB477" s="6"/>
      <c r="AC477" s="4"/>
      <c r="AD477" s="4"/>
    </row>
    <row r="478" spans="1:30">
      <c r="A478" s="4" t="str">
        <f t="shared" si="16"/>
        <v/>
      </c>
      <c r="B478" s="4"/>
      <c r="C478" s="4"/>
      <c r="D478" s="4"/>
      <c r="E478" s="4"/>
      <c r="F478" s="4"/>
      <c r="G478" s="6"/>
      <c r="H478" s="4"/>
      <c r="I478" s="4"/>
      <c r="J478" s="4"/>
      <c r="K478" s="4" t="str">
        <f t="shared" ca="1" si="15"/>
        <v>Sin fecha</v>
      </c>
      <c r="L478" s="8"/>
      <c r="M478" s="8"/>
      <c r="N478" s="4"/>
      <c r="O478" s="4"/>
      <c r="P478" s="4"/>
      <c r="Q478" s="4"/>
      <c r="R478" s="4"/>
      <c r="S478" s="4"/>
      <c r="T478" s="4"/>
      <c r="U478" s="4"/>
      <c r="V478" s="4"/>
      <c r="W478" s="4"/>
      <c r="X478" s="4"/>
      <c r="Y478" s="4"/>
      <c r="Z478" s="4"/>
      <c r="AA478" s="4"/>
      <c r="AB478" s="6"/>
      <c r="AC478" s="4"/>
      <c r="AD478" s="4"/>
    </row>
    <row r="479" spans="1:30">
      <c r="A479" s="4" t="str">
        <f t="shared" si="16"/>
        <v/>
      </c>
      <c r="B479" s="4"/>
      <c r="C479" s="4"/>
      <c r="D479" s="4"/>
      <c r="E479" s="4"/>
      <c r="F479" s="4"/>
      <c r="G479" s="6"/>
      <c r="H479" s="4"/>
      <c r="I479" s="4"/>
      <c r="J479" s="4"/>
      <c r="K479" s="4" t="str">
        <f t="shared" ca="1" si="15"/>
        <v>Sin fecha</v>
      </c>
      <c r="L479" s="8"/>
      <c r="M479" s="8"/>
      <c r="N479" s="4"/>
      <c r="O479" s="4"/>
      <c r="P479" s="4"/>
      <c r="Q479" s="4"/>
      <c r="R479" s="4"/>
      <c r="S479" s="4"/>
      <c r="T479" s="4"/>
      <c r="U479" s="4"/>
      <c r="V479" s="4"/>
      <c r="W479" s="4"/>
      <c r="X479" s="4"/>
      <c r="Y479" s="4"/>
      <c r="Z479" s="4"/>
      <c r="AA479" s="4"/>
      <c r="AB479" s="6"/>
      <c r="AC479" s="4"/>
      <c r="AD479" s="4"/>
    </row>
    <row r="480" spans="1:30">
      <c r="A480" s="4" t="str">
        <f t="shared" si="16"/>
        <v/>
      </c>
      <c r="B480" s="4"/>
      <c r="C480" s="4"/>
      <c r="D480" s="4"/>
      <c r="E480" s="4"/>
      <c r="F480" s="4"/>
      <c r="G480" s="6"/>
      <c r="H480" s="4"/>
      <c r="I480" s="4"/>
      <c r="J480" s="4"/>
      <c r="K480" s="4" t="str">
        <f t="shared" ca="1" si="15"/>
        <v>Sin fecha</v>
      </c>
      <c r="L480" s="8"/>
      <c r="M480" s="8"/>
      <c r="N480" s="4"/>
      <c r="O480" s="4"/>
      <c r="P480" s="4"/>
      <c r="Q480" s="4"/>
      <c r="R480" s="4"/>
      <c r="S480" s="4"/>
      <c r="T480" s="4"/>
      <c r="U480" s="4"/>
      <c r="V480" s="4"/>
      <c r="W480" s="4"/>
      <c r="X480" s="4"/>
      <c r="Y480" s="4"/>
      <c r="Z480" s="4"/>
      <c r="AA480" s="4"/>
      <c r="AB480" s="6"/>
      <c r="AC480" s="4"/>
      <c r="AD480" s="4"/>
    </row>
    <row r="481" spans="1:30">
      <c r="A481" s="4" t="str">
        <f t="shared" si="16"/>
        <v/>
      </c>
      <c r="B481" s="4"/>
      <c r="C481" s="4"/>
      <c r="D481" s="4"/>
      <c r="E481" s="4"/>
      <c r="F481" s="4"/>
      <c r="G481" s="6"/>
      <c r="H481" s="4"/>
      <c r="I481" s="4"/>
      <c r="J481" s="4"/>
      <c r="K481" s="4" t="str">
        <f t="shared" ca="1" si="15"/>
        <v>Sin fecha</v>
      </c>
      <c r="L481" s="8"/>
      <c r="M481" s="8"/>
      <c r="N481" s="4"/>
      <c r="O481" s="4"/>
      <c r="P481" s="4"/>
      <c r="Q481" s="4"/>
      <c r="R481" s="4"/>
      <c r="S481" s="4"/>
      <c r="T481" s="4"/>
      <c r="U481" s="4"/>
      <c r="V481" s="4"/>
      <c r="W481" s="4"/>
      <c r="X481" s="4"/>
      <c r="Y481" s="4"/>
      <c r="Z481" s="4"/>
      <c r="AA481" s="4"/>
      <c r="AB481" s="6"/>
      <c r="AC481" s="4"/>
      <c r="AD481" s="4"/>
    </row>
    <row r="482" spans="1:30">
      <c r="A482" s="4" t="str">
        <f t="shared" si="16"/>
        <v/>
      </c>
      <c r="B482" s="4"/>
      <c r="C482" s="4"/>
      <c r="D482" s="4"/>
      <c r="E482" s="4"/>
      <c r="F482" s="4"/>
      <c r="G482" s="6"/>
      <c r="H482" s="4"/>
      <c r="I482" s="4"/>
      <c r="J482" s="4"/>
      <c r="K482" s="4" t="str">
        <f t="shared" ca="1" si="15"/>
        <v>Sin fecha</v>
      </c>
      <c r="L482" s="8"/>
      <c r="M482" s="8"/>
      <c r="N482" s="4"/>
      <c r="O482" s="4"/>
      <c r="P482" s="4"/>
      <c r="Q482" s="4"/>
      <c r="R482" s="4"/>
      <c r="S482" s="4"/>
      <c r="T482" s="4"/>
      <c r="U482" s="4"/>
      <c r="V482" s="4"/>
      <c r="W482" s="4"/>
      <c r="X482" s="4"/>
      <c r="Y482" s="4"/>
      <c r="Z482" s="4"/>
      <c r="AA482" s="4"/>
      <c r="AB482" s="6"/>
      <c r="AC482" s="4"/>
      <c r="AD482" s="4"/>
    </row>
    <row r="483" spans="1:30">
      <c r="A483" s="4" t="str">
        <f t="shared" si="16"/>
        <v/>
      </c>
      <c r="B483" s="4"/>
      <c r="C483" s="4"/>
      <c r="D483" s="4"/>
      <c r="E483" s="4"/>
      <c r="F483" s="4"/>
      <c r="G483" s="6"/>
      <c r="H483" s="4"/>
      <c r="I483" s="4"/>
      <c r="J483" s="4"/>
      <c r="K483" s="4" t="str">
        <f t="shared" ca="1" si="15"/>
        <v>Sin fecha</v>
      </c>
      <c r="L483" s="8"/>
      <c r="M483" s="8"/>
      <c r="N483" s="4"/>
      <c r="O483" s="4"/>
      <c r="P483" s="4"/>
      <c r="Q483" s="4"/>
      <c r="R483" s="4"/>
      <c r="S483" s="4"/>
      <c r="T483" s="4"/>
      <c r="U483" s="4"/>
      <c r="V483" s="4"/>
      <c r="W483" s="4"/>
      <c r="X483" s="4"/>
      <c r="Y483" s="4"/>
      <c r="Z483" s="4"/>
      <c r="AA483" s="4"/>
      <c r="AB483" s="6"/>
      <c r="AC483" s="4"/>
      <c r="AD483" s="4"/>
    </row>
    <row r="484" spans="1:30">
      <c r="A484" s="4" t="str">
        <f t="shared" si="16"/>
        <v/>
      </c>
      <c r="B484" s="4"/>
      <c r="C484" s="4"/>
      <c r="D484" s="4"/>
      <c r="E484" s="4"/>
      <c r="F484" s="4"/>
      <c r="G484" s="6"/>
      <c r="H484" s="4"/>
      <c r="I484" s="4"/>
      <c r="J484" s="4"/>
      <c r="K484" s="4" t="str">
        <f t="shared" ca="1" si="15"/>
        <v>Sin fecha</v>
      </c>
      <c r="L484" s="8"/>
      <c r="M484" s="8"/>
      <c r="N484" s="4"/>
      <c r="O484" s="4"/>
      <c r="P484" s="4"/>
      <c r="Q484" s="4"/>
      <c r="R484" s="4"/>
      <c r="S484" s="4"/>
      <c r="T484" s="4"/>
      <c r="U484" s="4"/>
      <c r="V484" s="4"/>
      <c r="W484" s="4"/>
      <c r="X484" s="4"/>
      <c r="Y484" s="4"/>
      <c r="Z484" s="4"/>
      <c r="AA484" s="4"/>
      <c r="AB484" s="6"/>
      <c r="AC484" s="4"/>
      <c r="AD484" s="4"/>
    </row>
    <row r="485" spans="1:30">
      <c r="A485" s="4" t="str">
        <f t="shared" si="16"/>
        <v/>
      </c>
      <c r="B485" s="4"/>
      <c r="C485" s="4"/>
      <c r="D485" s="4"/>
      <c r="E485" s="4"/>
      <c r="F485" s="4"/>
      <c r="G485" s="6"/>
      <c r="H485" s="4"/>
      <c r="I485" s="4"/>
      <c r="J485" s="4"/>
      <c r="K485" s="4" t="str">
        <f t="shared" ca="1" si="15"/>
        <v>Sin fecha</v>
      </c>
      <c r="L485" s="8"/>
      <c r="M485" s="8"/>
      <c r="N485" s="4"/>
      <c r="O485" s="4"/>
      <c r="P485" s="4"/>
      <c r="Q485" s="4"/>
      <c r="R485" s="4"/>
      <c r="S485" s="4"/>
      <c r="T485" s="4"/>
      <c r="U485" s="4"/>
      <c r="V485" s="4"/>
      <c r="W485" s="4"/>
      <c r="X485" s="4"/>
      <c r="Y485" s="4"/>
      <c r="Z485" s="4"/>
      <c r="AA485" s="4"/>
      <c r="AB485" s="6"/>
      <c r="AC485" s="4"/>
      <c r="AD485" s="4"/>
    </row>
    <row r="486" spans="1:30">
      <c r="A486" s="4" t="str">
        <f t="shared" si="16"/>
        <v/>
      </c>
      <c r="B486" s="4"/>
      <c r="C486" s="4"/>
      <c r="D486" s="4"/>
      <c r="E486" s="4"/>
      <c r="F486" s="4"/>
      <c r="G486" s="6"/>
      <c r="H486" s="4"/>
      <c r="I486" s="4"/>
      <c r="J486" s="4"/>
      <c r="K486" s="4" t="str">
        <f t="shared" ca="1" si="15"/>
        <v>Sin fecha</v>
      </c>
      <c r="L486" s="8"/>
      <c r="M486" s="8"/>
      <c r="N486" s="4"/>
      <c r="O486" s="4"/>
      <c r="P486" s="4"/>
      <c r="Q486" s="4"/>
      <c r="R486" s="4"/>
      <c r="S486" s="4"/>
      <c r="T486" s="4"/>
      <c r="U486" s="4"/>
      <c r="V486" s="4"/>
      <c r="W486" s="4"/>
      <c r="X486" s="4"/>
      <c r="Y486" s="4"/>
      <c r="Z486" s="4"/>
      <c r="AA486" s="4"/>
      <c r="AB486" s="6"/>
      <c r="AC486" s="4"/>
      <c r="AD486" s="4"/>
    </row>
    <row r="487" spans="1:30">
      <c r="A487" s="4" t="str">
        <f t="shared" si="16"/>
        <v/>
      </c>
      <c r="B487" s="4"/>
      <c r="C487" s="4"/>
      <c r="D487" s="4"/>
      <c r="E487" s="4"/>
      <c r="F487" s="4"/>
      <c r="G487" s="6"/>
      <c r="H487" s="4"/>
      <c r="I487" s="4"/>
      <c r="J487" s="4"/>
      <c r="K487" s="4" t="str">
        <f t="shared" ca="1" si="15"/>
        <v>Sin fecha</v>
      </c>
      <c r="L487" s="8"/>
      <c r="M487" s="8"/>
      <c r="N487" s="4"/>
      <c r="O487" s="4"/>
      <c r="P487" s="4"/>
      <c r="Q487" s="4"/>
      <c r="R487" s="4"/>
      <c r="S487" s="4"/>
      <c r="T487" s="4"/>
      <c r="U487" s="4"/>
      <c r="V487" s="4"/>
      <c r="W487" s="4"/>
      <c r="X487" s="4"/>
      <c r="Y487" s="4"/>
      <c r="Z487" s="4"/>
      <c r="AA487" s="4"/>
      <c r="AB487" s="6"/>
      <c r="AC487" s="4"/>
      <c r="AD487" s="4"/>
    </row>
    <row r="488" spans="1:30">
      <c r="A488" s="4" t="str">
        <f t="shared" si="16"/>
        <v/>
      </c>
      <c r="B488" s="4"/>
      <c r="C488" s="4"/>
      <c r="D488" s="4"/>
      <c r="E488" s="4"/>
      <c r="F488" s="4"/>
      <c r="G488" s="6"/>
      <c r="H488" s="4"/>
      <c r="I488" s="4"/>
      <c r="J488" s="4"/>
      <c r="K488" s="4" t="str">
        <f t="shared" ca="1" si="15"/>
        <v>Sin fecha</v>
      </c>
      <c r="L488" s="8"/>
      <c r="M488" s="8"/>
      <c r="N488" s="4"/>
      <c r="O488" s="4"/>
      <c r="P488" s="4"/>
      <c r="Q488" s="4"/>
      <c r="R488" s="4"/>
      <c r="S488" s="4"/>
      <c r="T488" s="4"/>
      <c r="U488" s="4"/>
      <c r="V488" s="4"/>
      <c r="W488" s="4"/>
      <c r="X488" s="4"/>
      <c r="Y488" s="4"/>
      <c r="Z488" s="4"/>
      <c r="AA488" s="4"/>
      <c r="AB488" s="6"/>
      <c r="AC488" s="4"/>
      <c r="AD488" s="4"/>
    </row>
    <row r="489" spans="1:30">
      <c r="A489" s="4" t="str">
        <f t="shared" si="16"/>
        <v/>
      </c>
      <c r="B489" s="4"/>
      <c r="C489" s="4"/>
      <c r="D489" s="4"/>
      <c r="E489" s="4"/>
      <c r="F489" s="4"/>
      <c r="G489" s="6"/>
      <c r="H489" s="4"/>
      <c r="I489" s="4"/>
      <c r="J489" s="4"/>
      <c r="K489" s="4" t="str">
        <f t="shared" ca="1" si="15"/>
        <v>Sin fecha</v>
      </c>
      <c r="L489" s="8"/>
      <c r="M489" s="8"/>
      <c r="N489" s="4"/>
      <c r="O489" s="4"/>
      <c r="P489" s="4"/>
      <c r="Q489" s="4"/>
      <c r="R489" s="4"/>
      <c r="S489" s="4"/>
      <c r="T489" s="4"/>
      <c r="U489" s="4"/>
      <c r="V489" s="4"/>
      <c r="W489" s="4"/>
      <c r="X489" s="4"/>
      <c r="Y489" s="4"/>
      <c r="Z489" s="4"/>
      <c r="AA489" s="4"/>
      <c r="AB489" s="6"/>
      <c r="AC489" s="4"/>
      <c r="AD489" s="4"/>
    </row>
    <row r="490" spans="1:30">
      <c r="A490" s="4" t="str">
        <f t="shared" si="16"/>
        <v/>
      </c>
      <c r="B490" s="4"/>
      <c r="C490" s="4"/>
      <c r="D490" s="4"/>
      <c r="E490" s="4"/>
      <c r="F490" s="4"/>
      <c r="G490" s="6"/>
      <c r="H490" s="4"/>
      <c r="I490" s="4"/>
      <c r="J490" s="4"/>
      <c r="K490" s="4" t="str">
        <f t="shared" ca="1" si="15"/>
        <v>Sin fecha</v>
      </c>
      <c r="L490" s="8"/>
      <c r="M490" s="8"/>
      <c r="N490" s="4"/>
      <c r="O490" s="4"/>
      <c r="P490" s="4"/>
      <c r="Q490" s="4"/>
      <c r="R490" s="4"/>
      <c r="S490" s="4"/>
      <c r="T490" s="4"/>
      <c r="U490" s="4"/>
      <c r="V490" s="4"/>
      <c r="W490" s="4"/>
      <c r="X490" s="4"/>
      <c r="Y490" s="4"/>
      <c r="Z490" s="4"/>
      <c r="AA490" s="4"/>
      <c r="AB490" s="6"/>
      <c r="AC490" s="4"/>
      <c r="AD490" s="4"/>
    </row>
    <row r="491" spans="1:30">
      <c r="A491" s="4" t="str">
        <f t="shared" si="16"/>
        <v/>
      </c>
      <c r="B491" s="4"/>
      <c r="C491" s="4"/>
      <c r="D491" s="4"/>
      <c r="E491" s="4"/>
      <c r="F491" s="4"/>
      <c r="G491" s="6"/>
      <c r="H491" s="4"/>
      <c r="I491" s="4"/>
      <c r="J491" s="4"/>
      <c r="K491" s="4" t="str">
        <f t="shared" ca="1" si="15"/>
        <v>Sin fecha</v>
      </c>
      <c r="L491" s="8"/>
      <c r="M491" s="8"/>
      <c r="N491" s="4"/>
      <c r="O491" s="4"/>
      <c r="P491" s="4"/>
      <c r="Q491" s="4"/>
      <c r="R491" s="4"/>
      <c r="S491" s="4"/>
      <c r="T491" s="4"/>
      <c r="U491" s="4"/>
      <c r="V491" s="4"/>
      <c r="W491" s="4"/>
      <c r="X491" s="4"/>
      <c r="Y491" s="4"/>
      <c r="Z491" s="4"/>
      <c r="AA491" s="4"/>
      <c r="AB491" s="6"/>
      <c r="AC491" s="4"/>
      <c r="AD491" s="4"/>
    </row>
    <row r="492" spans="1:30">
      <c r="A492" s="4" t="str">
        <f t="shared" si="16"/>
        <v/>
      </c>
      <c r="B492" s="4"/>
      <c r="C492" s="4"/>
      <c r="D492" s="4"/>
      <c r="E492" s="4"/>
      <c r="F492" s="4"/>
      <c r="G492" s="6"/>
      <c r="H492" s="4"/>
      <c r="I492" s="4"/>
      <c r="J492" s="4"/>
      <c r="K492" s="4" t="str">
        <f t="shared" ca="1" si="15"/>
        <v>Sin fecha</v>
      </c>
      <c r="L492" s="8"/>
      <c r="M492" s="8"/>
      <c r="N492" s="4"/>
      <c r="O492" s="4"/>
      <c r="P492" s="4"/>
      <c r="Q492" s="4"/>
      <c r="R492" s="4"/>
      <c r="S492" s="4"/>
      <c r="T492" s="4"/>
      <c r="U492" s="4"/>
      <c r="V492" s="4"/>
      <c r="W492" s="4"/>
      <c r="X492" s="4"/>
      <c r="Y492" s="4"/>
      <c r="Z492" s="4"/>
      <c r="AA492" s="4"/>
      <c r="AB492" s="6"/>
      <c r="AC492" s="4"/>
      <c r="AD492" s="4"/>
    </row>
    <row r="493" spans="1:30">
      <c r="A493" s="4" t="str">
        <f t="shared" si="16"/>
        <v/>
      </c>
      <c r="B493" s="4"/>
      <c r="C493" s="4"/>
      <c r="D493" s="4"/>
      <c r="E493" s="4"/>
      <c r="F493" s="4"/>
      <c r="G493" s="6"/>
      <c r="H493" s="4"/>
      <c r="I493" s="4"/>
      <c r="J493" s="4"/>
      <c r="K493" s="4" t="str">
        <f t="shared" ca="1" si="15"/>
        <v>Sin fecha</v>
      </c>
      <c r="L493" s="8"/>
      <c r="M493" s="8"/>
      <c r="N493" s="4"/>
      <c r="O493" s="4"/>
      <c r="P493" s="4"/>
      <c r="Q493" s="4"/>
      <c r="R493" s="4"/>
      <c r="S493" s="4"/>
      <c r="T493" s="4"/>
      <c r="U493" s="4"/>
      <c r="V493" s="4"/>
      <c r="W493" s="4"/>
      <c r="X493" s="4"/>
      <c r="Y493" s="4"/>
      <c r="Z493" s="4"/>
      <c r="AA493" s="4"/>
      <c r="AB493" s="6"/>
      <c r="AC493" s="4"/>
      <c r="AD493" s="4"/>
    </row>
    <row r="494" spans="1:30">
      <c r="A494" s="4" t="str">
        <f t="shared" si="16"/>
        <v/>
      </c>
      <c r="B494" s="4"/>
      <c r="C494" s="4"/>
      <c r="D494" s="4"/>
      <c r="E494" s="4"/>
      <c r="F494" s="4"/>
      <c r="G494" s="6"/>
      <c r="H494" s="4"/>
      <c r="I494" s="4"/>
      <c r="J494" s="4"/>
      <c r="K494" s="4" t="str">
        <f t="shared" ca="1" si="15"/>
        <v>Sin fecha</v>
      </c>
      <c r="L494" s="8"/>
      <c r="M494" s="8"/>
      <c r="N494" s="4"/>
      <c r="O494" s="4"/>
      <c r="P494" s="4"/>
      <c r="Q494" s="4"/>
      <c r="R494" s="4"/>
      <c r="S494" s="4"/>
      <c r="T494" s="4"/>
      <c r="U494" s="4"/>
      <c r="V494" s="4"/>
      <c r="W494" s="4"/>
      <c r="X494" s="4"/>
      <c r="Y494" s="4"/>
      <c r="Z494" s="4"/>
      <c r="AA494" s="4"/>
      <c r="AB494" s="6"/>
      <c r="AC494" s="4"/>
      <c r="AD494" s="4"/>
    </row>
    <row r="495" spans="1:30">
      <c r="A495" s="4" t="str">
        <f t="shared" si="16"/>
        <v/>
      </c>
      <c r="B495" s="4"/>
      <c r="C495" s="4"/>
      <c r="D495" s="4"/>
      <c r="E495" s="4"/>
      <c r="F495" s="4"/>
      <c r="G495" s="6"/>
      <c r="H495" s="4"/>
      <c r="I495" s="4"/>
      <c r="J495" s="4"/>
      <c r="K495" s="4" t="str">
        <f t="shared" ca="1" si="15"/>
        <v>Sin fecha</v>
      </c>
      <c r="L495" s="8"/>
      <c r="M495" s="8"/>
      <c r="N495" s="4"/>
      <c r="O495" s="4"/>
      <c r="P495" s="4"/>
      <c r="Q495" s="4"/>
      <c r="R495" s="4"/>
      <c r="S495" s="4"/>
      <c r="T495" s="4"/>
      <c r="U495" s="4"/>
      <c r="V495" s="4"/>
      <c r="W495" s="4"/>
      <c r="X495" s="4"/>
      <c r="Y495" s="4"/>
      <c r="Z495" s="4"/>
      <c r="AA495" s="4"/>
      <c r="AB495" s="6"/>
      <c r="AC495" s="4"/>
      <c r="AD495" s="4"/>
    </row>
    <row r="496" spans="1:30">
      <c r="A496" s="4" t="str">
        <f t="shared" si="16"/>
        <v/>
      </c>
      <c r="B496" s="4"/>
      <c r="C496" s="4"/>
      <c r="D496" s="4"/>
      <c r="E496" s="4"/>
      <c r="F496" s="4"/>
      <c r="G496" s="6"/>
      <c r="H496" s="4"/>
      <c r="I496" s="4"/>
      <c r="J496" s="4"/>
      <c r="K496" s="4" t="str">
        <f t="shared" ca="1" si="15"/>
        <v>Sin fecha</v>
      </c>
      <c r="L496" s="8"/>
      <c r="M496" s="8"/>
      <c r="N496" s="4"/>
      <c r="O496" s="4"/>
      <c r="P496" s="4"/>
      <c r="Q496" s="4"/>
      <c r="R496" s="4"/>
      <c r="S496" s="4"/>
      <c r="T496" s="4"/>
      <c r="U496" s="4"/>
      <c r="V496" s="4"/>
      <c r="W496" s="4"/>
      <c r="X496" s="4"/>
      <c r="Y496" s="4"/>
      <c r="Z496" s="4"/>
      <c r="AA496" s="4"/>
      <c r="AB496" s="6"/>
      <c r="AC496" s="4"/>
      <c r="AD496" s="4"/>
    </row>
    <row r="497" spans="1:30">
      <c r="A497" s="4" t="str">
        <f t="shared" si="16"/>
        <v/>
      </c>
      <c r="B497" s="4"/>
      <c r="C497" s="4"/>
      <c r="D497" s="4"/>
      <c r="E497" s="4"/>
      <c r="F497" s="4"/>
      <c r="G497" s="6"/>
      <c r="H497" s="4"/>
      <c r="I497" s="4"/>
      <c r="J497" s="4"/>
      <c r="K497" s="4" t="str">
        <f t="shared" ca="1" si="15"/>
        <v>Sin fecha</v>
      </c>
      <c r="L497" s="8"/>
      <c r="M497" s="8"/>
      <c r="N497" s="4"/>
      <c r="O497" s="4"/>
      <c r="P497" s="4"/>
      <c r="Q497" s="4"/>
      <c r="R497" s="4"/>
      <c r="S497" s="4"/>
      <c r="T497" s="4"/>
      <c r="U497" s="4"/>
      <c r="V497" s="4"/>
      <c r="W497" s="4"/>
      <c r="X497" s="4"/>
      <c r="Y497" s="4"/>
      <c r="Z497" s="4"/>
      <c r="AA497" s="4"/>
      <c r="AB497" s="6"/>
      <c r="AC497" s="4"/>
      <c r="AD497" s="4"/>
    </row>
    <row r="498" spans="1:30">
      <c r="A498" s="4" t="str">
        <f t="shared" si="16"/>
        <v/>
      </c>
      <c r="B498" s="4"/>
      <c r="C498" s="4"/>
      <c r="D498" s="4"/>
      <c r="E498" s="4"/>
      <c r="F498" s="4"/>
      <c r="G498" s="6"/>
      <c r="H498" s="4"/>
      <c r="I498" s="4"/>
      <c r="J498" s="4"/>
      <c r="K498" s="4" t="str">
        <f t="shared" ca="1" si="15"/>
        <v>Sin fecha</v>
      </c>
      <c r="L498" s="8"/>
      <c r="M498" s="8"/>
      <c r="N498" s="4"/>
      <c r="O498" s="4"/>
      <c r="P498" s="4"/>
      <c r="Q498" s="4"/>
      <c r="R498" s="4"/>
      <c r="S498" s="4"/>
      <c r="T498" s="4"/>
      <c r="U498" s="4"/>
      <c r="V498" s="4"/>
      <c r="W498" s="4"/>
      <c r="X498" s="4"/>
      <c r="Y498" s="4"/>
      <c r="Z498" s="4"/>
      <c r="AA498" s="4"/>
      <c r="AB498" s="6"/>
      <c r="AC498" s="4"/>
      <c r="AD498" s="4"/>
    </row>
    <row r="499" spans="1:30">
      <c r="A499" s="4" t="str">
        <f t="shared" si="16"/>
        <v/>
      </c>
      <c r="B499" s="4"/>
      <c r="C499" s="4"/>
      <c r="D499" s="4"/>
      <c r="E499" s="4"/>
      <c r="F499" s="4"/>
      <c r="G499" s="6"/>
      <c r="H499" s="4"/>
      <c r="I499" s="4"/>
      <c r="J499" s="4"/>
      <c r="K499" s="4" t="str">
        <f t="shared" ca="1" si="15"/>
        <v>Sin fecha</v>
      </c>
      <c r="L499" s="8"/>
      <c r="M499" s="8"/>
      <c r="N499" s="4"/>
      <c r="O499" s="4"/>
      <c r="P499" s="4"/>
      <c r="Q499" s="4"/>
      <c r="R499" s="4"/>
      <c r="S499" s="4"/>
      <c r="T499" s="4"/>
      <c r="U499" s="4"/>
      <c r="V499" s="4"/>
      <c r="W499" s="4"/>
      <c r="X499" s="4"/>
      <c r="Y499" s="4"/>
      <c r="Z499" s="4"/>
      <c r="AA499" s="4"/>
      <c r="AB499" s="6"/>
      <c r="AC499" s="4"/>
      <c r="AD499" s="4"/>
    </row>
  </sheetData>
  <conditionalFormatting sqref="K2:K499">
    <cfRule type="expression" dxfId="2" priority="1">
      <formula>K2="Próxima a vencer"</formula>
    </cfRule>
    <cfRule type="expression" dxfId="1" priority="2">
      <formula>K2="Vencida"</formula>
    </cfRule>
    <cfRule type="expression" dxfId="0" priority="3">
      <formula>K2="Abierta"</formula>
    </cfRule>
  </conditionalFormatting>
  <dataValidations count="2">
    <dataValidation type="list" allowBlank="1" showInputMessage="1" showErrorMessage="1" sqref="F2:F499" xr:uid="{00000000-0002-0000-0000-000000000000}">
      <formula1>ListaPaises</formula1>
    </dataValidation>
    <dataValidation type="date" allowBlank="1" showInputMessage="1" showErrorMessage="1" sqref="G2:G499" xr:uid="{00000000-0002-0000-0000-000001000000}">
      <formula1>46023</formula1>
      <formula2>73050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8">
        <x14:dataValidation type="list" allowBlank="1" xr:uid="{00000000-0002-0000-0000-000002000000}">
          <x14:formula1>
            <xm:f>Catálogos!$A$2:$A$3</xm:f>
          </x14:formula1>
          <xm:sqref>B2:B499</xm:sqref>
        </x14:dataValidation>
        <x14:dataValidation type="list" allowBlank="1" xr:uid="{00000000-0002-0000-0000-000003000000}">
          <x14:formula1>
            <xm:f>Catálogos!$B$2:$B$10</xm:f>
          </x14:formula1>
          <xm:sqref>E2:E499</xm:sqref>
        </x14:dataValidation>
        <x14:dataValidation type="list" allowBlank="1" xr:uid="{00000000-0002-0000-0000-000004000000}">
          <x14:formula1>
            <xm:f>Catálogos!$C$2:$C$5</xm:f>
          </x14:formula1>
          <xm:sqref>H2:H499</xm:sqref>
        </x14:dataValidation>
        <x14:dataValidation type="list" allowBlank="1" xr:uid="{00000000-0002-0000-0000-000005000000}">
          <x14:formula1>
            <xm:f>Catálogos!$D$2:$D$10</xm:f>
          </x14:formula1>
          <xm:sqref>I2:I499</xm:sqref>
        </x14:dataValidation>
        <x14:dataValidation type="list" allowBlank="1" xr:uid="{00000000-0002-0000-0000-000006000000}">
          <x14:formula1>
            <xm:f>Catálogos!$E$2:$E$5</xm:f>
          </x14:formula1>
          <xm:sqref>J2:J499</xm:sqref>
        </x14:dataValidation>
        <x14:dataValidation type="list" allowBlank="1" xr:uid="{00000000-0002-0000-0000-000007000000}">
          <x14:formula1>
            <xm:f>Catálogos!$F$2:$F$7</xm:f>
          </x14:formula1>
          <xm:sqref>N2:N499</xm:sqref>
        </x14:dataValidation>
        <x14:dataValidation type="list" allowBlank="1" xr:uid="{00000000-0002-0000-0000-000008000000}">
          <x14:formula1>
            <xm:f>Catálogos!$G$2:$G$11</xm:f>
          </x14:formula1>
          <xm:sqref>P2:P10 P14:P21 P12</xm:sqref>
        </x14:dataValidation>
        <x14:dataValidation type="list" allowBlank="1" xr:uid="{00000000-0002-0000-0000-000009000000}">
          <x14:formula1>
            <xm:f>Catálogos!$G$2:$G$9</xm:f>
          </x14:formula1>
          <xm:sqref>P11 P22:P499 P13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workbookViewId="0"/>
  </sheetViews>
  <sheetFormatPr baseColWidth="10" defaultColWidth="9" defaultRowHeight="14.25"/>
  <cols>
    <col min="1" max="1" width="6.75" customWidth="1"/>
    <col min="2" max="2" width="20.375" customWidth="1"/>
    <col min="3" max="3" width="10.75" customWidth="1"/>
    <col min="4" max="4" width="15.625" customWidth="1"/>
    <col min="5" max="5" width="11.75" customWidth="1"/>
    <col min="6" max="6" width="7" customWidth="1"/>
    <col min="7" max="7" width="24.125" customWidth="1"/>
    <col min="8" max="9" width="18.625" customWidth="1"/>
    <col min="10" max="10" width="25" customWidth="1"/>
  </cols>
  <sheetData>
    <row r="1" spans="1:10" ht="30">
      <c r="A1" s="1" t="s">
        <v>1</v>
      </c>
      <c r="B1" s="1" t="s">
        <v>4</v>
      </c>
      <c r="C1" s="1" t="s">
        <v>7</v>
      </c>
      <c r="D1" s="1" t="s">
        <v>8</v>
      </c>
      <c r="E1" s="1" t="s">
        <v>9</v>
      </c>
      <c r="F1" s="1" t="s">
        <v>13</v>
      </c>
      <c r="G1" s="1" t="s">
        <v>15</v>
      </c>
      <c r="H1" s="1" t="s">
        <v>16</v>
      </c>
      <c r="I1" s="1" t="s">
        <v>17</v>
      </c>
      <c r="J1" s="1" t="s">
        <v>1261</v>
      </c>
    </row>
    <row r="2" spans="1:10">
      <c r="A2" t="s">
        <v>54</v>
      </c>
      <c r="B2" t="s">
        <v>85</v>
      </c>
      <c r="C2" t="s">
        <v>36</v>
      </c>
      <c r="D2" t="s">
        <v>436</v>
      </c>
      <c r="E2" t="s">
        <v>38</v>
      </c>
      <c r="F2" t="s">
        <v>39</v>
      </c>
      <c r="G2" t="s">
        <v>142</v>
      </c>
      <c r="H2" t="s">
        <v>1262</v>
      </c>
      <c r="I2" t="s">
        <v>379</v>
      </c>
      <c r="J2" t="s">
        <v>35</v>
      </c>
    </row>
    <row r="3" spans="1:10">
      <c r="A3" t="s">
        <v>1263</v>
      </c>
      <c r="B3" t="s">
        <v>139</v>
      </c>
      <c r="C3" t="s">
        <v>283</v>
      </c>
      <c r="D3" t="s">
        <v>37</v>
      </c>
      <c r="E3" t="s">
        <v>88</v>
      </c>
      <c r="F3" t="s">
        <v>197</v>
      </c>
      <c r="G3" t="s">
        <v>185</v>
      </c>
      <c r="H3" t="s">
        <v>562</v>
      </c>
      <c r="I3" t="s">
        <v>1264</v>
      </c>
      <c r="J3" t="s">
        <v>86</v>
      </c>
    </row>
    <row r="4" spans="1:10">
      <c r="B4" t="s">
        <v>121</v>
      </c>
      <c r="C4" t="s">
        <v>57</v>
      </c>
      <c r="D4" t="s">
        <v>377</v>
      </c>
      <c r="E4" t="s">
        <v>1265</v>
      </c>
      <c r="F4" t="s">
        <v>141</v>
      </c>
      <c r="G4" t="s">
        <v>471</v>
      </c>
      <c r="H4" t="s">
        <v>549</v>
      </c>
      <c r="I4" t="s">
        <v>1266</v>
      </c>
      <c r="J4" t="s">
        <v>548</v>
      </c>
    </row>
    <row r="5" spans="1:10">
      <c r="B5" t="s">
        <v>34</v>
      </c>
      <c r="C5" t="s">
        <v>225</v>
      </c>
      <c r="D5" t="s">
        <v>87</v>
      </c>
      <c r="E5" t="s">
        <v>226</v>
      </c>
      <c r="F5" t="s">
        <v>89</v>
      </c>
      <c r="G5" t="s">
        <v>159</v>
      </c>
      <c r="H5" t="s">
        <v>270</v>
      </c>
      <c r="I5" t="s">
        <v>1267</v>
      </c>
      <c r="J5" t="s">
        <v>122</v>
      </c>
    </row>
    <row r="6" spans="1:10">
      <c r="B6" t="s">
        <v>157</v>
      </c>
      <c r="D6" t="s">
        <v>58</v>
      </c>
      <c r="F6" t="s">
        <v>284</v>
      </c>
      <c r="G6" t="s">
        <v>732</v>
      </c>
      <c r="H6" t="s">
        <v>1268</v>
      </c>
      <c r="I6" t="s">
        <v>271</v>
      </c>
      <c r="J6" t="s">
        <v>140</v>
      </c>
    </row>
    <row r="7" spans="1:10">
      <c r="B7" t="s">
        <v>379</v>
      </c>
      <c r="D7" t="s">
        <v>158</v>
      </c>
      <c r="F7" t="s">
        <v>1200</v>
      </c>
      <c r="G7" t="s">
        <v>1107</v>
      </c>
      <c r="H7" t="s">
        <v>1269</v>
      </c>
      <c r="I7" t="s">
        <v>313</v>
      </c>
      <c r="J7" t="s">
        <v>196</v>
      </c>
    </row>
    <row r="8" spans="1:10">
      <c r="B8" t="s">
        <v>470</v>
      </c>
      <c r="D8" t="s">
        <v>1270</v>
      </c>
      <c r="G8" t="s">
        <v>242</v>
      </c>
      <c r="H8" t="s">
        <v>821</v>
      </c>
      <c r="I8" t="s">
        <v>61</v>
      </c>
      <c r="J8" t="s">
        <v>702</v>
      </c>
    </row>
    <row r="9" spans="1:10">
      <c r="B9" t="s">
        <v>1266</v>
      </c>
      <c r="D9" t="s">
        <v>22</v>
      </c>
      <c r="G9" t="s">
        <v>61</v>
      </c>
      <c r="J9" t="s">
        <v>906</v>
      </c>
    </row>
    <row r="10" spans="1:10" ht="28.5">
      <c r="B10" t="s">
        <v>61</v>
      </c>
      <c r="D10" t="s">
        <v>61</v>
      </c>
      <c r="G10" s="10" t="s">
        <v>1271</v>
      </c>
      <c r="J10" t="s">
        <v>947</v>
      </c>
    </row>
    <row r="11" spans="1:10">
      <c r="G11"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heetViews>
  <sheetFormatPr baseColWidth="10" defaultColWidth="9" defaultRowHeight="14.25"/>
  <cols>
    <col min="1" max="1" width="9" customWidth="1"/>
    <col min="2" max="2" width="34" customWidth="1"/>
    <col min="3" max="3" width="38" customWidth="1"/>
    <col min="4" max="4" width="22" customWidth="1"/>
    <col min="5" max="5" width="30" customWidth="1"/>
    <col min="6" max="6" width="14" customWidth="1"/>
  </cols>
  <sheetData>
    <row r="1" spans="1:6" ht="33.950000000000003" customHeight="1">
      <c r="A1" s="15" t="s">
        <v>1272</v>
      </c>
      <c r="B1" s="15"/>
      <c r="C1" s="15"/>
      <c r="D1" s="15"/>
      <c r="E1" s="15"/>
      <c r="F1" s="15"/>
    </row>
    <row r="3" spans="1:6" ht="15">
      <c r="A3" s="9" t="s">
        <v>1273</v>
      </c>
      <c r="B3" s="9" t="s">
        <v>1274</v>
      </c>
      <c r="C3" s="9" t="s">
        <v>1275</v>
      </c>
      <c r="D3" s="9" t="s">
        <v>1276</v>
      </c>
      <c r="E3" s="9" t="s">
        <v>1277</v>
      </c>
      <c r="F3" s="9" t="s">
        <v>1278</v>
      </c>
    </row>
    <row r="4" spans="1:6" ht="28.5">
      <c r="A4" s="4">
        <v>1</v>
      </c>
      <c r="B4" s="4" t="s">
        <v>1279</v>
      </c>
      <c r="C4" s="4" t="s">
        <v>1280</v>
      </c>
      <c r="D4" s="4" t="s">
        <v>1281</v>
      </c>
      <c r="E4" s="4" t="s">
        <v>1282</v>
      </c>
      <c r="F4" s="4" t="s">
        <v>54</v>
      </c>
    </row>
    <row r="5" spans="1:6" ht="28.5">
      <c r="A5" s="4">
        <v>2</v>
      </c>
      <c r="B5" s="4" t="s">
        <v>1283</v>
      </c>
      <c r="C5" s="4" t="s">
        <v>1284</v>
      </c>
      <c r="D5" s="4" t="s">
        <v>6</v>
      </c>
      <c r="E5" s="4" t="s">
        <v>1285</v>
      </c>
      <c r="F5" s="4" t="s">
        <v>1286</v>
      </c>
    </row>
    <row r="6" spans="1:6">
      <c r="A6" s="4">
        <v>3</v>
      </c>
      <c r="B6" s="4" t="s">
        <v>1287</v>
      </c>
      <c r="C6" s="4" t="s">
        <v>1288</v>
      </c>
      <c r="D6" s="4" t="s">
        <v>1289</v>
      </c>
      <c r="E6" s="4" t="s">
        <v>1290</v>
      </c>
      <c r="F6" s="4" t="s">
        <v>1291</v>
      </c>
    </row>
    <row r="7" spans="1:6" ht="28.5">
      <c r="A7" s="4">
        <v>4</v>
      </c>
      <c r="B7" s="4" t="s">
        <v>1292</v>
      </c>
      <c r="C7" s="4" t="s">
        <v>1293</v>
      </c>
      <c r="D7" s="4" t="s">
        <v>1294</v>
      </c>
      <c r="E7" s="4" t="s">
        <v>142</v>
      </c>
      <c r="F7" s="4" t="s">
        <v>54</v>
      </c>
    </row>
    <row r="8" spans="1:6">
      <c r="A8" s="4">
        <v>5</v>
      </c>
      <c r="B8" s="4" t="s">
        <v>1295</v>
      </c>
      <c r="C8" s="4" t="s">
        <v>1296</v>
      </c>
      <c r="D8" s="4" t="s">
        <v>25</v>
      </c>
      <c r="E8" s="4" t="s">
        <v>1297</v>
      </c>
      <c r="F8" s="4" t="s">
        <v>54</v>
      </c>
    </row>
    <row r="9" spans="1:6" ht="28.5">
      <c r="A9" s="4">
        <v>6</v>
      </c>
      <c r="B9" s="4" t="s">
        <v>1298</v>
      </c>
      <c r="C9" s="4" t="s">
        <v>1299</v>
      </c>
      <c r="D9" s="4" t="s">
        <v>27</v>
      </c>
      <c r="E9" s="4" t="s">
        <v>1300</v>
      </c>
      <c r="F9" s="4" t="s">
        <v>54</v>
      </c>
    </row>
    <row r="10" spans="1:6">
      <c r="A10" s="4">
        <v>7</v>
      </c>
      <c r="B10" s="4" t="s">
        <v>1301</v>
      </c>
      <c r="C10" s="4" t="s">
        <v>1302</v>
      </c>
      <c r="D10" s="4" t="s">
        <v>1</v>
      </c>
      <c r="E10" s="4" t="s">
        <v>1303</v>
      </c>
      <c r="F10" s="4" t="s">
        <v>54</v>
      </c>
    </row>
    <row r="11" spans="1:6" ht="28.5">
      <c r="A11" s="4">
        <v>8</v>
      </c>
      <c r="B11" s="4" t="s">
        <v>1304</v>
      </c>
      <c r="C11" s="4" t="s">
        <v>1305</v>
      </c>
      <c r="D11" s="4" t="s">
        <v>10</v>
      </c>
      <c r="E11" s="4" t="s">
        <v>1306</v>
      </c>
      <c r="F11" s="4" t="s">
        <v>1307</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Oportunidades</vt:lpstr>
      <vt:lpstr>Catálogos</vt:lpstr>
      <vt:lpstr>Guía de 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WILSON RAMIREZ ALMONTE</cp:lastModifiedBy>
  <dcterms:modified xsi:type="dcterms:W3CDTF">2026-09-08T14:22:50Z</dcterms:modified>
</cp:coreProperties>
</file>