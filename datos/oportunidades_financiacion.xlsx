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542" documentId="8_{F39292A8-3C47-4D37-98A0-70F2C0F84FEC}" xr6:coauthVersionLast="36" xr6:coauthVersionMax="36" xr10:uidLastSave="{C8492CCA-5B21-49D9-92E1-6AD68EB00CD6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8" i="1"/>
  <c r="K499" i="1" l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Z20" i="1"/>
  <c r="Z19" i="1"/>
  <c r="Z18" i="1"/>
  <c r="Z17" i="1"/>
</calcChain>
</file>

<file path=xl/sharedStrings.xml><?xml version="1.0" encoding="utf-8"?>
<sst xmlns="http://schemas.openxmlformats.org/spreadsheetml/2006/main" count="1681" uniqueCount="948">
  <si>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</si>
  <si>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</si>
  <si>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</si>
  <si>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</si>
  <si>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</si>
  <si>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</si>
  <si>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</si>
  <si>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</si>
  <si>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</si>
  <si>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</si>
  <si>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</si>
  <si>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</si>
  <si>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</si>
  <si>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</si>
  <si>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</si>
  <si>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</si>
  <si>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</si>
  <si>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</si>
  <si>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</si>
  <si>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</si>
  <si>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</si>
  <si>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</si>
  <si>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</si>
  <si>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</si>
  <si>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</si>
  <si>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</si>
  <si>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</si>
  <si>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</si>
  <si>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</si>
  <si>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</si>
  <si>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</si>
  <si>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</si>
  <si>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</si>
  <si>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</si>
  <si>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</si>
  <si>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</si>
  <si>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</si>
  <si>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</si>
  <si>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</si>
  <si>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</si>
  <si>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</si>
  <si>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</si>
  <si>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</si>
  <si>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</si>
  <si>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</si>
  <si>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</si>
  <si>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</si>
  <si>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</si>
  <si>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</si>
  <si>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</si>
  <si>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</si>
  <si>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</si>
  <si>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</si>
  <si>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</si>
  <si>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</si>
  <si>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</si>
  <si>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</si>
  <si>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</si>
  <si>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</si>
  <si>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</si>
  <si>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</si>
  <si>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</si>
  <si>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</si>
  <si>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</si>
  <si>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</si>
  <si>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</si>
  <si>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</si>
  <si>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</si>
  <si>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</si>
  <si>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</si>
  <si>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</si>
  <si>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</si>
  <si>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</si>
  <si>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</si>
  <si>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</si>
  <si>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</si>
  <si>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</si>
  <si>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</si>
  <si>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</si>
  <si>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</si>
  <si>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</si>
  <si>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</si>
  <si>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</si>
  <si>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</si>
  <si>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</si>
  <si>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</si>
  <si>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</si>
  <si>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</si>
  <si>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</si>
  <si>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</si>
  <si>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</si>
  <si>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</si>
  <si>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</si>
  <si>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</si>
  <si>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</si>
  <si>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</si>
  <si>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</si>
  <si>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</si>
  <si>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</si>
  <si>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</si>
  <si>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</si>
  <si>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</si>
  <si>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</si>
  <si>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</si>
  <si>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</si>
  <si>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</si>
  <si>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</si>
  <si>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</si>
  <si>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</si>
  <si>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</si>
  <si>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</si>
  <si>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</si>
  <si>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</si>
  <si>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</si>
  <si>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</si>
  <si>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</si>
  <si>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</si>
  <si>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</si>
  <si>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</si>
  <si>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</si>
  <si>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</si>
  <si>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</si>
  <si>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</si>
  <si>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</si>
  <si>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</si>
  <si>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</si>
  <si>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</si>
  <si>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</si>
  <si>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</si>
  <si>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</si>
  <si>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</si>
  <si>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</si>
  <si>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</si>
  <si>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</si>
  <si>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</si>
  <si>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</si>
  <si>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</si>
  <si>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</si>
  <si>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</si>
  <si>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</si>
  <si>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</si>
  <si>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</si>
  <si>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</si>
  <si>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</si>
  <si>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</si>
  <si>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</si>
  <si>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</si>
  <si>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</si>
  <si>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</si>
  <si>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</si>
  <si>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</si>
  <si>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</si>
  <si>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</si>
  <si>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</si>
  <si>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</si>
  <si>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</si>
  <si>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</si>
  <si>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</si>
  <si>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</si>
  <si>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</si>
  <si>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</si>
  <si>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</si>
  <si>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</si>
  <si>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</si>
  <si>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</si>
  <si>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</si>
  <si>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</si>
  <si>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</si>
  <si>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</si>
  <si>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</si>
  <si>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</si>
  <si>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</si>
  <si>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</si>
  <si>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</si>
  <si>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</si>
  <si>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</si>
  <si>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</si>
  <si>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</si>
  <si>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</si>
  <si>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</si>
  <si>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</si>
  <si>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</si>
  <si>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</si>
  <si>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</si>
  <si>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</si>
  <si>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</si>
  <si>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</si>
  <si>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</si>
  <si>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</si>
  <si>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</si>
  <si>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</si>
  <si>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</si>
  <si>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</si>
  <si>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</si>
  <si>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</si>
  <si>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</si>
  <si>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</si>
  <si>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</si>
  <si>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</si>
  <si>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</si>
  <si>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</si>
  <si>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</si>
  <si>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</si>
  <si>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</si>
  <si>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</si>
  <si>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</si>
  <si>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</si>
  <si>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</si>
  <si>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</si>
  <si>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</si>
  <si>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</si>
  <si>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</si>
  <si>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</si>
  <si>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</si>
  <si>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</si>
  <si>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</si>
  <si>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</si>
  <si>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</si>
  <si>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</si>
  <si>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</si>
  <si>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</si>
  <si>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</si>
  <si>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</si>
  <si>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</si>
  <si>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</si>
  <si>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</si>
  <si>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</si>
  <si>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</si>
  <si>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</si>
  <si>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</si>
  <si>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</si>
  <si>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</si>
  <si>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</si>
  <si>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</si>
  <si>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</si>
  <si>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</si>
  <si>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</si>
  <si>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</si>
  <si>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</si>
  <si>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</si>
  <si>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</si>
  <si>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</si>
  <si>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</si>
  <si>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</si>
  <si>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</si>
  <si>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</si>
  <si>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</si>
  <si>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</si>
  <si>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</si>
  <si>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</si>
  <si>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</si>
  <si>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</si>
  <si>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</si>
  <si>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</si>
  <si>
    <t xml:space="preserve"> IBM Ph.D. Fellowship</t>
  </si>
  <si>
    <t>Horizon Europe — New European Bauhaus</t>
  </si>
  <si>
    <t>2026-011</t>
  </si>
  <si>
    <t>Comisión Europea</t>
  </si>
  <si>
    <t>Union Europea</t>
  </si>
  <si>
    <t>Arquitectos, urbanistas, diseñadores, investigadores sociales, científicos de datos, especialistas en participación y sostenibilidad</t>
  </si>
  <si>
    <t>Consorcio internacional de universidades, autoridades públicas, organizaciones sociales, empresas y centros de investigación</t>
  </si>
  <si>
    <t>Estados miembros, países asociados y terceros países admitidos conforme a Horizon Europe</t>
  </si>
  <si>
    <t>No se basa principalmente en ciudadanía; prevalecen la entidad participante, su país y las reglas de financiación</t>
  </si>
  <si>
    <t>Diseño espacial participativo de barrios y entornos urbanos</t>
  </si>
  <si>
    <t>urban design; barrios; espacio público; cocreación; inclusión; sostenibilidad; IA; gemelos digitales; participación digital</t>
  </si>
  <si>
    <t>Financia soluciones innovadoras para que residentes y actores locales participen en el diseño espacial de sus barrios, con énfasis en sostenibilidad, inclusión, calidad del entorno y belleza.</t>
  </si>
  <si>
    <t>UNPHU puede integrarse como socio académico de un consorcio internacional. Deben comprobarse en el portal las condiciones específicas de financiación para una entidad dominicana y la composición obligatoria del consorcio.</t>
  </si>
  <si>
    <t>https://ec.europa.eu/info/funding-tenders/opportunities/portal/screen/opportunities/calls-for-proposals?callIdentifier=HORIZON-NEB-2026-01</t>
  </si>
  <si>
    <t>Comisión Europea, Funding &amp; Tenders Portal y programa de trabajo New European Bauhaus</t>
  </si>
  <si>
    <t>Spencer Foundation – Vision Grants</t>
  </si>
  <si>
    <t>OpenAI – Researcher Access Program</t>
  </si>
  <si>
    <t>MESCyT – Convocatoria FONDOCYT 2025-2026</t>
  </si>
  <si>
    <t>Google.org Accelerator: Generative AI</t>
  </si>
  <si>
    <t>UNU-WIDER – Effects of AI on firm and labour market outcomes</t>
  </si>
  <si>
    <t>ARIA – Mathematics for Safe AI</t>
  </si>
  <si>
    <t>Google Research – PhD Fellowship Program</t>
  </si>
  <si>
    <t>Coefficient Giving – Improving Capability Evaluations</t>
  </si>
  <si>
    <t>IBM Research – Academic Awards Program</t>
  </si>
  <si>
    <t>2026-012</t>
  </si>
  <si>
    <t>Erasmus+ Capacity Building in Higher Education 2026 — Region 11 Caribbean</t>
  </si>
  <si>
    <t>Comisión Europea / European Education and Culture Executive Agency</t>
  </si>
  <si>
    <t>48 meses</t>
  </si>
  <si>
    <t>Docentes universitarios, investigadores educativos, especialistas en IA, programación, arquitectura digital, diseño curricular y aseguramiento de la calidad</t>
  </si>
  <si>
    <t>Instituciones de educación superior y otras entidades educativas, públicas, sociales o del mercado laboral</t>
  </si>
  <si>
    <t>República Dominicana está incluida en la Región 11 — Caribe</t>
  </si>
  <si>
    <t>Modernización universitaria, innovación curricular y transformación digital</t>
  </si>
  <si>
    <t>IA educativa; aprendizaje adaptativo; gamificación; programación; formación docente;  transformación curricular</t>
  </si>
  <si>
    <t>Apoya la modernización de la educación superior mediante nuevos programas, innovación pedagógica, capacidades digitales, formación docente, gobernanza universitaria y cooperación internacional.</t>
  </si>
  <si>
    <t>Es la oportunidad con mejor correspondencia directa con “Inteligencia Artificial y Gamificación Personalizada-Adaptativa para la Formación en Programación”. Para integrarla con arquitectura, podría proponerse programación aplicada al diseño paramétrico, BIM, análisis urbano, SIG y gemelos digitales.</t>
  </si>
  <si>
    <t>UNPHU puede participar como institución de educación superior caribeña dentro de un consorcio que cumpla la composición mínima aplicable al strand seleccionado.</t>
  </si>
  <si>
    <t>https://erasmus-plus.ec.europa.eu/funding-opportunities/capacity-building-in-higher-education-caribbean</t>
  </si>
  <si>
    <t>Comisión Europea, Erasmus+ Programme Guide 2026</t>
  </si>
  <si>
    <t>2026-013</t>
  </si>
  <si>
    <t>AIA Upjohn Research Initiative</t>
  </si>
  <si>
    <t>American Institute of Architects — AIA</t>
  </si>
  <si>
    <t>18 meses</t>
  </si>
  <si>
    <t>Investigadores en arquitectura, tecnología del diseño, sostenibilidad, materiales, salud, resiliencia e innovación profesional</t>
  </si>
  <si>
    <t>Instituciones académicas y equipos de investigación; se admiten postulaciones internacionales</t>
  </si>
  <si>
    <t>Sin restricción general de ciudadanía; presentación y evaluación en inglés</t>
  </si>
  <si>
    <t>Investigación aplicada a la arquitectura y a la práctica profesional</t>
  </si>
  <si>
    <t>arquitectura; IA; diseño computacional; automatización; BIM; cero carbono; resiliencia; comunidades equitativas; innovación profesional</t>
  </si>
  <si>
    <t>Financia hasta seis investigaciones anuales destinadas a generar conocimiento directamente útil para arquitectos y para la práctica del diseño. Sus prioridades incluyen cero carbono, resiliencia, salud, comunidades equitativas e innovación de la práctica.</t>
  </si>
  <si>
    <t>La documentación de referencia señala que las solicitudes internacionales son elegibles y que los fondos se desembolsan en dólares estadounidenses.</t>
  </si>
  <si>
    <t>Es una de las oportunidades más claras para investigar IA generativa en diseño, automatización de procesos, evaluación del desempeño de edificaciones, diseño basado en evidencia o herramientas de aprendizaje para arquitectura.</t>
  </si>
  <si>
    <t>https://www.aia.org/advocacy/research/grants-fellowships/upjohn-research-initiative?utm_source=chatgpt.com</t>
  </si>
  <si>
    <t>AIA y antecedente de Pivot-RP aportado en el documento</t>
  </si>
  <si>
    <t>Pendiente abrir en Octubre</t>
  </si>
  <si>
    <t>2026-014</t>
  </si>
  <si>
    <t>LAF Fellowship for Innovation and Leadership</t>
  </si>
  <si>
    <t>Landscape Architecture Foundation — LAF</t>
  </si>
  <si>
    <t>Arquitectos paisajistas y profesionales afines con trayectoria media o sénior</t>
  </si>
  <si>
    <t>Arquitectura del paisaje, innovación, liderazgo y transformación del entorno</t>
  </si>
  <si>
    <t>paisaje; urbanismo; resiliencia; infraestructura verde; IA geoespacial; análisis urbano; justicia ambiental; liderazgo</t>
  </si>
  <si>
    <t>Fellowship para que profesionales desarrollen y prueben ideas innovadoras que impulsen una sociedad más saludable, equitativa y sostenible mediante la arquitectura del paisaje.</t>
  </si>
  <si>
    <t>Se requiere grado en arquitectura del paisaje o, en países donde la disciplina no esté formalmente reconocida, formación relacionada y ejercicio profesional como arquitecto paisajista; mínimo seis años de experiencia, dominio avanzado de inglés y disponibilidad institucional.</t>
  </si>
  <si>
    <t>Puede sustentar proyectos sobre IA para planificación de infraestructura verde, análisis adaptativo del paisaje, resiliencia climática, confort térmico urbano o participación comunitaria gamificada.</t>
  </si>
  <si>
    <t>https://www.lafoundation.org/what-we-do/leadership/laf-fellowship?</t>
  </si>
  <si>
    <t>https://pivot.proquest.com/funding_opps/3dae87f6-c1a1-4ce2-9d84-d1d75de8f0f3</t>
  </si>
  <si>
    <t>LAF, ASLA y antecedente de Pivot-RP</t>
  </si>
  <si>
    <t>especialmente para un profesor con experiencia profesional demostrable en paisaje o planificación urbana. No es una subvención institucional convencional</t>
  </si>
  <si>
    <t>2026-015</t>
  </si>
  <si>
    <t>Graham Foundation — Grants to Individuals</t>
  </si>
  <si>
    <t>Graham Foundation for Advanced Studies in the Fine Arts</t>
  </si>
  <si>
    <t>Getty Conservation Guest Scholars Program 2027–2028</t>
  </si>
  <si>
    <t>Getty Conservation Institute</t>
  </si>
  <si>
    <t>3 meses</t>
  </si>
  <si>
    <t>Internacional; residencia presencial de tres meses en el Getty Conservation Institute, Los Ángeles</t>
  </si>
  <si>
    <t>Conservación del patrimonio cultural y del entorno construido</t>
  </si>
  <si>
    <t>conservación; patrimonio arquitectónico; preservación histórica; ciencia del patrimonio; documentación digital; HBIM; IA; visión computacional</t>
  </si>
  <si>
    <t>Programa de residencia para que profesionales e investigadores consolidados desarrollen un proyecto independiente que aporte nuevos conocimientos y perspectivas a la conservación del patrimonio cultural.</t>
  </si>
  <si>
    <t>Se admiten investigadores y profesionales de cualquier nacionalidad en conservación, preservación histórica, ciencias del patrimonio y campos relacionados. Se requieren al menos siete años de experiencia profesional y una trayectoria establecida de publicaciones u otras contribuciones. No admite investigación posdoctoral ni trabajos conducentes a un grado académico.</t>
  </si>
  <si>
    <t>La convocatoria 2026–2027 ya cerró. El ciclo para residencias 2027–2028 abrirá en agosto de 2026; la fecha límite aún no ha sido publicada. La ayuda incluye US$21,500, alojamiento, estación de trabajo, asistencia de investigación, estipendio de viaje y opción de cobertura médica.</t>
  </si>
  <si>
    <t>Getty Conservation Institute – Conservation Guest Scholars</t>
  </si>
  <si>
    <t>Oportunidad individual para investigadores sénior de UNPHU. Recomendable para proyectos de conservación arquitectónica, documentación patrimonial, HBIM o IA aplicada a la detección de daños. Vigilar la apertura en agosto de 2026.</t>
  </si>
  <si>
    <t>CCA–WRI Research Fellowship Program 2027 — Vacancy</t>
  </si>
  <si>
    <t>Canadian Centre for Architecture (CCA) / Window Research Institute (WRI)</t>
  </si>
  <si>
    <t>1-3 meses</t>
  </si>
  <si>
    <t>Investigador establecido; Profesor</t>
  </si>
  <si>
    <t>Internacional; residencia presencial en el CCA, Montreal, entre agosto y octubre</t>
  </si>
  <si>
    <t>Fellowship de investigación sobre la vacancia como condición social, cultural, política y espacial en contextos urbanos y rurales. Busca modelos teóricos y resultados capaces de informar la práctica del diseño.</t>
  </si>
  <si>
    <t>Abierta a profesionales con experiencia sustancial —arquitectos, paisajistas, urbanistas, responsables urbanos, artistas y productores culturales— y a investigadores con doctorado en áreas pertinentes. No se financia investigación con fines comerciales. El beneficiario debe residir en Montreal de uno a tres meses y participar en actividades públicas y académicas.</t>
  </si>
  <si>
    <t>La convocatoria 2026 está cerrada. La siguiente convocatoria se lanzará a comienzos de septiembre de 2026. Ofrece CAD$5,000 mensuales por un máximo de tres meses, más apoyo adicional para viaje y visado, oficina y acceso a las colecciones del CCA.</t>
  </si>
  <si>
    <t>Canadian Centre for Architecture / Window Research Institute</t>
  </si>
  <si>
    <t>Muy pertinente para investigar vacancia, reutilización adaptativa y regeneración urbana en Santo Domingo. Puede incorporar IA para detectar inmuebles vacíos, analizar imágenes urbanas o modelar escenarios de reocupación.</t>
  </si>
  <si>
    <t>Urban Studies Foundation International Fellowships 2026</t>
  </si>
  <si>
    <t>Urban Studies Foundation</t>
  </si>
  <si>
    <t>3-9 meses</t>
  </si>
  <si>
    <t>Investigadores afiliados a organizaciones de investigación ubicadas en países de la lista OECD-DAC; universidad anfitriona en cualquier país</t>
  </si>
  <si>
    <t>Nacionales de países incluidos en la lista OECD-DAC de receptores de AOD; República Dominicana es elegible</t>
  </si>
  <si>
    <t>Estudios urbanos</t>
  </si>
  <si>
    <t>urbanismo; ciudades del Sur Global; vivienda; movilidad; planificación; sostenibilidad; tecnología urbana; desigualdad espacial; gobernanza; IA urbana</t>
  </si>
  <si>
    <t>Financia una estancia sabática de escritura en una universidad anfitriona para transformar resultados de investigación urbana ya existentes en artículos, capítulos de libro o libros publicables, bajo la mentoría de un académico sénior.</t>
  </si>
  <si>
    <t>Dirigida a investigadores urbanos de carrera temprana o intermedia con doctorado obtenido dentro de los diez años anteriores al cierre, nacionalidad de un país OECD-DAC y afiliación formal a una organización de investigación ubicada en uno de esos países. La recopilación y el análisis primario de datos deben estar completados; no financia nueva recolección ni nuevos análisis primarios.</t>
  </si>
  <si>
    <t>Cerró el 6 de julio de 2026 a las 23:59 UTC+1. El presupuesto se determina según costes justificados de alojamiento, manutención, viaje de retorno y algunos gastos de investigación; no se publica un monto mínimo o máximo único. La estancia debe comenzar entre cuatro y catorce meses después del cierre.</t>
  </si>
  <si>
    <t>Urban Studies Foundation – International Fellowships</t>
  </si>
  <si>
    <t>UNPHU es elegible por ubicación en República Dominicana. Preparar para una futura edición con resultados urbanos ya analizados, publicaciones previstas, mentor internacional y universidad anfitriona.</t>
  </si>
  <si>
    <t>CYTED — Convocatoria 2026 de Redes Temáticas</t>
  </si>
  <si>
    <t>Programa Iberoamericano de Ciencia y Tecnología para el Desarrollo (CYTED)</t>
  </si>
  <si>
    <t>Hasta 48 meses</t>
  </si>
  <si>
    <t>Países signatarios del Programa CYTED, incluida República Dominicana</t>
  </si>
  <si>
    <t>No se basa en ciudadanía; el coordinador y los responsables deben pertenecer a entidades elegibles con sede en países signatarios</t>
  </si>
  <si>
    <t>Multidisciplinar: desarrollo sostenible, TIC, ciencia y sociedad, energía e innovación</t>
  </si>
  <si>
    <t>red temática; cooperación iberoamericana; I+D+i; ciudades resilientes; urbanismo sostenible; IA de código abierto; formación; transferencia; movilidad</t>
  </si>
  <si>
    <t>Financia redes de grupos de investigación y empresas de Iberoamérica que cooperan para resolver problemas comunes y generar nuevas actividades de I+D+i, transferencia, formación, movilidad, publicaciones y coordinación.</t>
  </si>
  <si>
    <t>El coordinador debe pertenecer a una universidad, centro público o privado de I+D o empresa con capacidad demostrada, con sede en un país signatario. La red debe incluir grupos de al menos seis países iberoamericanos diferentes; cada grupo debe estar formado por más de una persona y acreditar actividad en I+D+i.</t>
  </si>
  <si>
    <t>El plazo fue del 6 de abril al 15 de mayo de 2026 a las 17:00, hora de Madrid. El máximo solicitado para el primer año es €20,000; los presupuestos posteriores se solicitan anualmente. Cubre coordinación, movilidad, reuniones, publicaciones y formación; no es una subvención convencional para financiar todos los costes de investigación.</t>
  </si>
  <si>
    <t>Secretaría General del Programa CYTED – Convocatoria 2026 de Redes Temáticas</t>
  </si>
  <si>
    <t>Oportunidad estratégica para internacionalización. UNPHU podría integrar o coordinar una red sobre comunidades resilientes, urbanismo sostenible, restauración urbana, IA de código abierto o formación tecnológica. Preparar consorcio para la próxima edición.</t>
  </si>
  <si>
    <t xml:space="preserve"> edificios desocupados; suelo vacante; reutilización adaptativa; urbanismo; paisaje; vivienda; IA; visión computacional; teledetección</t>
  </si>
  <si>
    <t xml:space="preserve">Sin restricción </t>
  </si>
  <si>
    <t>Arquitectura, urbanismo, paisaje y terrenos desocupados</t>
  </si>
  <si>
    <t>Arquitectos, urbanistas, historiadores, diseñadores, investigadores, curadores, escritores y productores culturales</t>
  </si>
  <si>
    <t>Personas físicas</t>
  </si>
  <si>
    <t>Arquitectura y entorno diseñado</t>
  </si>
  <si>
    <t>arquitectura; ciudad; urbanismo; investigación crítica; publicación; exposición; medios digitales; IA; diseño experimental</t>
  </si>
  <si>
    <t>Apoya ideas originales que amplíen el discurso sobre arquitectura y el entorno diseñado, ya sea mediante investigación, publicaciones, exposiciones, películas, medios digitales u otros formatos públicos.</t>
  </si>
  <si>
    <t>Individuos con capacidad demostrada para ejecutar el proyecto. Las solicitudes deben conectar claramente con la misión de la Fundación y evidenciar originalidad, impacto y viabilidad.</t>
  </si>
  <si>
    <t>Puede financiar la fase conceptual o la divulgación de una investigación sobre IA y arquitectura, atlas urbanos interactivos, exposiciones digitales, plataformas educativas o documentación crítica de nuevas tecnologías de diseño.</t>
  </si>
  <si>
    <t>https://www.grahamfoundation.org/grant_programs/?mode=individual</t>
  </si>
  <si>
    <t>Graham Foundation, ciclo de subvenciones 2027</t>
  </si>
  <si>
    <t>El Inquiry Form está disponible desde el 15/07/2026. Conviene plantear un producto público concreto, no solamente una investigación académica convencional.</t>
  </si>
  <si>
    <t>2026-016</t>
  </si>
  <si>
    <t>2026-017</t>
  </si>
  <si>
    <t>2026-018</t>
  </si>
  <si>
    <t>2026-019</t>
  </si>
  <si>
    <t>CBE JU — Polímeros biobasados de fuentes alternativas</t>
  </si>
  <si>
    <t>Circular Bio-based Europe Joint Undertaking (CBE JU)</t>
  </si>
  <si>
    <t>No especificada</t>
  </si>
  <si>
    <t>Unión Europea, países asociados y terceros elegibles, incluida República Dominicana</t>
  </si>
  <si>
    <t>Ingeniería agronómica; biomateriales y polímeros biobasados</t>
  </si>
  <si>
    <t>biopolímeros; biomasa residual; fuentes alternativas; extracción; síntesis; biodegradación; circularidad</t>
  </si>
  <si>
    <t>Desarrolla procesos eficientes y escalables para producir polímeros biobasados a partir de fuentes alternativas a la biomasa agrícola o forestal primaria.</t>
  </si>
  <si>
    <t>UNPHU puede participar como beneficiaria adicional dentro de un consorcio que cumpla los requisitos mínimos de Horizon Europe.</t>
  </si>
  <si>
    <t>Research and Innovation Action. Contribución estimada de EUR 3.25 millones por proyecto y TRL final 5. La biomasa primaria agrícola y forestal está fuera del alcance.</t>
  </si>
  <si>
    <t>https://ec.europa.eu/info/funding-tenders/opportunities/portal/screen/opportunities/topic-details/HORIZON-JU-CBE-2026-RIA-02?callIdentifier=HORIZON-JU-CBE-2026</t>
  </si>
  <si>
    <t>CBE JU — HORIZON-JU-CBE-2026-RIA-02</t>
  </si>
  <si>
    <t>Prioridad media-alta para residuos, subproductos u otras fuentes no primarias. Verificar cuidadosamente la materia prima propuesta.</t>
  </si>
  <si>
    <t>FONTAGRO — Convocatoria 2026: sistemas agroalimentarios con menor huella ambiental</t>
  </si>
  <si>
    <t>FONTAGRO / BID / IICA</t>
  </si>
  <si>
    <t>Según proyecto</t>
  </si>
  <si>
    <t>Países miembros de FONTAGRO, incluida República Dominicana</t>
  </si>
  <si>
    <t>Ingeniería agronómica; sistemas agroalimentarios sostenibles</t>
  </si>
  <si>
    <t>bioeconomía; biomasa; residuos agrícolas; valorización; bioproductos; agroindustria; bajas emisiones</t>
  </si>
  <si>
    <t>Cofinancia proyectos regionales de I+D+i que mejoren productividad, rentabilidad y competitividad con una menor huella ambiental.</t>
  </si>
  <si>
    <t>Consorcio de hasta tres organizaciones coejecutoras de al menos dos países miembros; una debe ser una institución pública de investigación.</t>
  </si>
  <si>
    <t>Aporte máximo de USD 250,000. Las organizaciones deben aportar contrapartida conjunta equivalente al menos al doble de lo solicitado y participar con productores beneficiarios.</t>
  </si>
  <si>
    <t>https://fontagro.org/en/iniciativas/convocatorias/convocatoria-2026</t>
  </si>
  <si>
    <t>FONTAGRO — Secretaría Técnica Administrativa; fontagro@iica.int</t>
  </si>
  <si>
    <t>CBE JU — Separación y purificación en biorrefinerías</t>
  </si>
  <si>
    <t>Biorrefinerías y tecnologías de separación</t>
  </si>
  <si>
    <t>separación; purificación; solventes verdes; biomasa; bioproductos; eficiencia hídrica; intensificación de procesos</t>
  </si>
  <si>
    <t>Desarrolla plataformas escalables de separación y purificación para reducir costes, consumo de energía y agua y uso de solventes agresivos en biorrefinerías.</t>
  </si>
  <si>
    <t>UNPHU puede integrarse como beneficiaria adicional en un consorcio internacional elegible.</t>
  </si>
  <si>
    <t>Research and Innovation Action. Contribución estimada de EUR 3.25 millones por proyecto, TRL final 5 y validación en al menos tres casos de biorrefinería.</t>
  </si>
  <si>
    <t>https://ec.europa.eu/info/funding-tenders/opportunities/portal/screen/opportunities/topic-details/HORIZON-JU-CBE-2026-RIA-01?callIdentifier=HORIZON-JU-CBE-2026</t>
  </si>
  <si>
    <t>CBE JU — HORIZON-JU-CBE-2026-RIA-01</t>
  </si>
  <si>
    <t>Adecuada para grupos con capacidad en extracción, membranas, cromatografía o purificación de compuestos vegetales.</t>
  </si>
  <si>
    <t>CYTED 2026 — Inocuidad alimentaria y reducción del desperdicio alimentario</t>
  </si>
  <si>
    <t>Países signatarios de CYTED, incluida República Dominicana</t>
  </si>
  <si>
    <t>Agroalimentación</t>
  </si>
  <si>
    <t>desperdicio alimentario; residuos orgánicos; valorización; inocuidad; economía circular; cooperación científica</t>
  </si>
  <si>
    <t>Financia redes temáticas iberoamericanas para reducir el desperdicio alimentario, con posible incorporación de valorización de subproductos.</t>
  </si>
  <si>
    <t>La red debe integrar grupos de al menos seis países iberoamericanos diferentes; cada grupo debe estar formado por más de una persona.</t>
  </si>
  <si>
    <t>Máximo EUR 20,000 para el primer año. Financia coordinación, movilidad, reuniones, formación, publicaciones y difusión, no un proyecto experimental completo.</t>
  </si>
  <si>
    <t>https://www.cyted.org/assets/img/cyted/Convocatoria%202026/Castellano/01_Convocatoria_oficial_bases_y_lineas_2026_SP.pdf</t>
  </si>
  <si>
    <t>Programa CYTED — Convocatoria Redes Temáticas 2026</t>
  </si>
  <si>
    <t>Útil para construir una red iberoamericana que posteriormente someta proyectos FONTAGRO, Horizon Europe o FONDOCYT.</t>
  </si>
  <si>
    <t>EREF Research Grants</t>
  </si>
  <si>
    <t>Environmental Research &amp; Education Foundation (EREF)</t>
  </si>
  <si>
    <t>Gestión sostenible de residuos y circularidad</t>
  </si>
  <si>
    <t>residuos orgánicos; compostaje; digestión anaerobia; biogás; emisiones; circularidad</t>
  </si>
  <si>
    <t>Financia investigación sobre impactos climáticos de los residuos, contaminantes emergentes y circularidad de materiales.</t>
  </si>
  <si>
    <t>Instituciones estadounidenses y extranjeras pueden aplicar. El IP debe ser profesor, posdoctorado o investigador sénior cualificado.</t>
  </si>
  <si>
    <t>Los USD 15,000 a más de USD 500,000 son rangos históricos, no límites formales. Excluye proyectos centrados en residuos agrícolas no gestionados por la industria de residuos.</t>
  </si>
  <si>
    <t>https://erefdn.org/research-grants/</t>
  </si>
  <si>
    <t>https://pivot.proquest.com/funding_opps/14453c4e-25e7-4fd9-b39b-f2f1552f7976</t>
  </si>
  <si>
    <t>EREF — proposals@erefdn.org</t>
  </si>
  <si>
    <t>Usar solamente para residuos alimentarios, municipales o agroindustriales que entren formalmente en la definición de residuo sólido de EREF.</t>
  </si>
  <si>
    <t>CBE JU — Valorización biotecnológica de biomasa residual</t>
  </si>
  <si>
    <t>Valorización de biomasa residual</t>
  </si>
  <si>
    <t>residuos agrícolas; estiércol; subproductos forestales; biorrefinería; enzimas; microorganismos; bioproductos</t>
  </si>
  <si>
    <t>Convierte residuos agrícolas, forestales, ganaderos, acuáticos, alimentarios, urbanos o industriales en químicos, materiales, polímeros, ingredientes o enzimas.</t>
  </si>
  <si>
    <t>UNPHU puede recibir financiación como integrante adicional de un consorcio elegible de Horizon Europe.</t>
  </si>
  <si>
    <t>Innovation Action. Contribución estimada de EUR 7 millones por proyecto y TRL final 6-7. Debe integrar pretratamiento, conversión, separación, purificación y logística.</t>
  </si>
  <si>
    <t>https://ec.europa.eu/info/funding-tenders/opportunities/portal/screen/opportunities/topic-details/HORIZON-JU-CBE-2026-IA-01?callIdentifier=HORIZON-JU-CBE-2026</t>
  </si>
  <si>
    <t>CBE JU — HORIZON-JU-CBE-2026-IA-01</t>
  </si>
  <si>
    <t>CBE JU — Biofertilizantes y bioprotectores</t>
  </si>
  <si>
    <t>Bioinsumos agrícolas</t>
  </si>
  <si>
    <t>biofertilizantes; bioestimulantes; biopesticidas; biomasa; microorganismos; suelo; protección vegetal</t>
  </si>
  <si>
    <t>Desarrolla alternativas biológicas seguras y sostenibles para fertilización o protección de cultivos, con producción industrial y validación agronómica.</t>
  </si>
  <si>
    <t>UNPHU puede participar como entidad financiada adicional aportando ensayos tropicales, cultivos caribeños y validación agronómica.</t>
  </si>
  <si>
    <t>Innovation Action-Flagship. Contribución estimada de EUR 20 millones y TRL final 8. Exige agricultores, proveedores de biomasa, industria y usuarios finales.</t>
  </si>
  <si>
    <t>https://ec.europa.eu/info/funding-tenders/opportunities/portal/screen/opportunities/topic-details/HORIZON-JU-CBE-2026-IAFlag-02?callIdentifier=HORIZON-JU-CBE-2026</t>
  </si>
  <si>
    <t>CBE JU — HORIZON-JU-CBE-2026-IAFlag-02</t>
  </si>
  <si>
    <t>CBE JU — Competitividad de biorrefinerías mediante biotecnología</t>
  </si>
  <si>
    <t>Biorrefinerías y biomanufactura</t>
  </si>
  <si>
    <t>biorrefinería; biomanufactura; biomasa; enzimas; fermentación; químicos; polímeros</t>
  </si>
  <si>
    <t>Demuestra a escala industrial una ruta biotecnológica para producir químicos, intermediarios, polímeros, ingredientes o enzimas biobasados.</t>
  </si>
  <si>
    <t>UNPHU debe incorporarse como socio de un consorcio con infraestructura industrial y entidades europeas elegibles.</t>
  </si>
  <si>
    <t>Innovation Action-Flagship. Contribución estimada de EUR 20 millones y TRL final 8. Alimentos y piensos como aplicación principal quedan fuera.</t>
  </si>
  <si>
    <t>https://ec.europa.eu/info/funding-tenders/opportunities/portal/screen/opportunities/topic-details/HORIZON-JU-CBE-2026-IAFlag-01?callIdentifier=HORIZON-JU-CBE-2026</t>
  </si>
  <si>
    <t>CBE JU — HORIZON-JU-CBE-2026-IAFlag-01</t>
  </si>
  <si>
    <t>Viable con un demostrador industrial europeo; UNPHU puede aportar caracterización y cadenas de biomasa tropical.</t>
  </si>
  <si>
    <t>CBE JU — Químicos y materiales a partir de residuos leñosos</t>
  </si>
  <si>
    <t>Valorización de biomasa forestal residual</t>
  </si>
  <si>
    <t>residuos leñosos; aserrín; corteza; poda; lignocelulosa; químicos; biomateriales</t>
  </si>
  <si>
    <t>Demuestra tecnologías escalables para producir químicos o materiales a partir de corteza, aserrín y residuos de cosecha o procesamiento de madera.</t>
  </si>
  <si>
    <t>UNPHU puede participar como beneficiaria adicional, especialmente aportando cadenas de biomasa tropical y agroforestal.</t>
  </si>
  <si>
    <t>Innovation Action. Contribución estimada de EUR 7 millones por proyecto y TRL final 6-7. Debe demostrar rendimiento, selectividad y sostenibilidad.</t>
  </si>
  <si>
    <t>https://ec.europa.eu/info/funding-tenders/opportunities/portal/screen/opportunities/topic-details/HORIZON-JU-CBE-2026-IA-03?callIdentifier=HORIZON-JU-CBE-2026</t>
  </si>
  <si>
    <t>CBE JU — HORIZON-JU-CBE-2026-IA-03</t>
  </si>
  <si>
    <t>2026-020</t>
  </si>
  <si>
    <t>2026-021</t>
  </si>
  <si>
    <t>2026-022</t>
  </si>
  <si>
    <t>2026-023</t>
  </si>
  <si>
    <t>2026-024</t>
  </si>
  <si>
    <t>2026-025</t>
  </si>
  <si>
    <t>2026-026</t>
  </si>
  <si>
    <t>2026-027</t>
  </si>
  <si>
    <t>2026-028</t>
  </si>
  <si>
    <t>Agrónomos, biotecnólogos, especialistas en agroindustria, bioeconomía, suelos, producción y extensión</t>
  </si>
  <si>
    <t xml:space="preserve"> UNPHU necesita otro país miembro y una institución pública de investigación.</t>
  </si>
  <si>
    <t>Investigadores agroalimentarios, agrónomos, especialistas en desperdicio, bioeconomía y valorización</t>
  </si>
  <si>
    <t>Universidades, centros de I+D</t>
  </si>
  <si>
    <t>Investigadores de residuos sólidos, compostaje, digestión anaerobia, circularidad y emisiones</t>
  </si>
  <si>
    <t>Agrónomos, biotecnólogos, microbiólogos, químicos, ingenieros de procesos y especialistas en residuos</t>
  </si>
  <si>
    <t xml:space="preserve"> UNPHU debe incorporarse a un consorcio europeo en preparación.</t>
  </si>
  <si>
    <t>Agrónomos, fitopatólogos, biotecnólogos, microbiólogos, edafólogos e ingenieros agroindustriales</t>
  </si>
  <si>
    <t>Biotecnología industrial, ingeniería química, agroindustria, logística de biomasa y evaluación ambiental</t>
  </si>
  <si>
    <t>Agronomía forestal, química, materiales, ingeniería de procesos, agroforestería y sostenibilidad</t>
  </si>
  <si>
    <t>Ingeniería química, bioprocesos, química analítica, membranas, materiales y biotecnología</t>
  </si>
  <si>
    <t xml:space="preserve"> Identificar biomasa dominicana y cultivos concretos para validar el producto.</t>
  </si>
  <si>
    <t xml:space="preserve"> poda, aserrín, residuos leñosos de café/cacao o sistemas agroforestales.</t>
  </si>
  <si>
    <t>UNESCO–IGCP — Financiación de geociencias para América Latina y el Caribe</t>
  </si>
  <si>
    <t>UNESCO e International Union of Geological Sciences (IUGS)</t>
  </si>
  <si>
    <t>Investigadores en geociencias, geomática, hidrogeología, geodinámica, recursos terrestres y riesgos geológicos</t>
  </si>
  <si>
    <t>América Latina y el Caribe, incluida República Dominicana</t>
  </si>
  <si>
    <t>Geomática y ciencias de la Tierra</t>
  </si>
  <si>
    <t>geociencias; geomática; SIG; teledetección; hidrogeología; geodinámica; riesgos geológicos; recursos terrestres</t>
  </si>
  <si>
    <t>Apoya investigaciones regionales en recursos terrestres, cambio global, riesgos geológicos, hidrogeología, geodinámica y geopatrimonio, con énfasis en cooperación y desarrollo de capacidades.</t>
  </si>
  <si>
    <t>El líder debe poseer doctorado o grado equivalente y trabajar en una universidad, centro de investigación u otra institución científica de América Latina o el Caribe.</t>
  </si>
  <si>
    <t>Hasta USD 50,000 para un año inicial, renovable hasta tres años. Cubre trabajo de campo, análisis de laboratorio, viajes científicos y capacitación; no cubre salarios, equipos, software ni publicación.</t>
  </si>
  <si>
    <t>https://www.unesco.org/en/articles/call-expressions-interest-geoscience-funding-latin-america-and-caribbean</t>
  </si>
  <si>
    <t>UNESCO — International Geoscience Programme (IGCP); iggp@unesco.org</t>
  </si>
  <si>
    <t>Convocatoria especialmente pertinente para geomática, riesgos, aguas subterráneas, cartografía y teledetección. Monitorear la siguiente edición.</t>
  </si>
  <si>
    <t>CYTED 2026 — Ingeniería y modernización de procesos en la industria minera</t>
  </si>
  <si>
    <t>Investigadores en ingeniería industrial, química, procesos, minería, materiales, logística, mantenimiento y control de calidad</t>
  </si>
  <si>
    <t>Ingeniería industrial y minería sostenible</t>
  </si>
  <si>
    <t>procesos industriales; minería sostenible; relaves; residuos mineros; economía circular; mantenimiento; productividad</t>
  </si>
  <si>
    <t>Promueve redes iberoamericanas para modernizar la extracción y el reprocesamiento de recursos mineros, recuperar relaves y fortalecer la transferencia tecnológica.</t>
  </si>
  <si>
    <t>La red debe integrar grupos de al menos seis países miembros de CYTED e involucrar al menos dos subsectores de la cadena minera.</t>
  </si>
  <si>
    <t>Máximo EUR 20,000 para el primer año. Financia coordinación, movilidad, reuniones, publicaciones y formación; no equivale a una subvención de infraestructura o nómina.</t>
  </si>
  <si>
    <t>Programa CYTED — Convocatoria Redes Temáticas 2026; proyectos@cyted.org</t>
  </si>
  <si>
    <t>Adecuada si UNPHU identifica socios mineros, industriales o ambientales de otros cinco países iberoamericanos.</t>
  </si>
  <si>
    <t>CYTED 2026 — Optimización de procesos industriales sostenibles con IA</t>
  </si>
  <si>
    <t>Investigadores en ingeniería industrial, manufactura, automatización, operaciones, ciencia de datos e inteligencia artificial</t>
  </si>
  <si>
    <t>Ingeniería industrial y manufactura sostenible</t>
  </si>
  <si>
    <t>IA industrial; manufactura; optimización; automatización; productividad; sostenibilidad; control de procesos</t>
  </si>
  <si>
    <t>Busca desarrollar aplicaciones concretas de IA para automatizar, predecir y optimizar procesos manufactureros y reducir costos, tiempos, consumo de recursos y residuos.</t>
  </si>
  <si>
    <t>Requiere una red con participación de al menos seis países y dos o más industrias, y el desarrollo de al menos un proceso, producto o servicio mejorado mediante IA.</t>
  </si>
  <si>
    <t>Máximo EUR 20,000 para el primer año. La ayuda cubre actividades de red, movilidad, reuniones, publicaciones y formación.</t>
  </si>
  <si>
    <t>Data Science and Modeling for Green Chemistry</t>
  </si>
  <si>
    <t>American Chemical Society Green Chemistry Institute Pharmaceutical Roundtable</t>
  </si>
  <si>
    <t>Profesores, grupos académicos e investigadores industriales en química, procesos, IA y modelización</t>
  </si>
  <si>
    <t>Persona individual; equipo académico o industrial</t>
  </si>
  <si>
    <t>Ingeniería química y química verde</t>
  </si>
  <si>
    <t>química verde; ciencia de datos; modelización; aprendizaje automático; procesos sostenibles; eficiencia; residuos</t>
  </si>
  <si>
    <t>Reconoce herramientas computacionales, algoritmos o software que permitan diseñar, implementar o evaluar procesos químicos más seguros, eficientes y sostenibles.</t>
  </si>
  <si>
    <t>Pueden postular grupos académicos e industriales internacionales. No exige membresía en ACS; la herramienta debe tener aplicación demostrable en química verde.</t>
  </si>
  <si>
    <t>Premio de hasta USD 5,000. Puede reembolsar hasta USD 2,500 para presentar el trabajo en la Green Chemistry &amp; Engineering Conference. No financia el inicio de un proyecto nuevo.</t>
  </si>
  <si>
    <t>https://www.acs.org/funding/awards/data-science-and-modeling-for-green-chemistry.html</t>
  </si>
  <si>
    <t>ACS Green Chemistry Institute; gcipr@acs.org</t>
  </si>
  <si>
    <t>Registrar como premio de innovación, diferenciándolo de una subvención para ejecutar investigación.</t>
  </si>
  <si>
    <t>36 meses</t>
  </si>
  <si>
    <t>2026-029</t>
  </si>
  <si>
    <t>2026-030</t>
  </si>
  <si>
    <t>2026-031</t>
  </si>
  <si>
    <t>2026-032</t>
  </si>
  <si>
    <t xml:space="preserve"> requiere conformar anticipadamente una red internacional y vincular empresas manufactureras.</t>
  </si>
  <si>
    <t>Geoscientists Without Borders</t>
  </si>
  <si>
    <t>SEG Foundation / Society of Exploration Geophysicists</t>
  </si>
  <si>
    <t>Hasta 24 meses</t>
  </si>
  <si>
    <t>Investigador establecido en geociencias, geofísica o hidrogeología</t>
  </si>
  <si>
    <t>Institución académica; ONG; entidad sin fines de lucro</t>
  </si>
  <si>
    <t>Hidrogeología y geofísica aplicada</t>
  </si>
  <si>
    <t>aguas subterráneas; acuíferos; prospección geofísica; agua potable; resistividad eléctrica; vulnerabilidad comunitaria</t>
  </si>
  <si>
    <t>Financia proyectos humanitarios que aplican geofísica y geociencias para resolver necesidades de comunidades vulnerables, incluida la localización y caracterización de fuentes de agua subterránea.</t>
  </si>
  <si>
    <t>Investigador principal establecido; la entidad administradora debe ser una institución académica u organización sin fines de lucro equivalente a una 501(c)(3). Se espera participación estudiantil.</t>
  </si>
  <si>
    <t>Carta de intención y plantilla en inglés; propuesta completa solo por invitación. No financia individuos, entidades con fines de lucro ni costos indirectos. Tope de USD 50,000 por año.</t>
  </si>
  <si>
    <t>https://seg.org/programs/geoscientists-without-borders/apply/</t>
  </si>
  <si>
    <t>SEG Foundation; withoutborders@seg.org</t>
  </si>
  <si>
    <t>IAS Post-Doctoral Research Grants — Fall 2026</t>
  </si>
  <si>
    <t>International Association of Sedimentologists</t>
  </si>
  <si>
    <t>Aproximadamente 12 meses</t>
  </si>
  <si>
    <t>Postdoctorado o investigador en etapa inicial</t>
  </si>
  <si>
    <t>Persona individual afiliada a institución académica o centro de investigación</t>
  </si>
  <si>
    <t>Sedimentología e hidrogeología de acuíferos sedimentarios</t>
  </si>
  <si>
    <t>acuíferos sedimentarios; porosidad; permeabilidad; facies; sedimentos; hidroestratigrafía</t>
  </si>
  <si>
    <t>Subvención semilla para probar conceptos o cubrir brechas de un proyecto. Es pertinente cuando la porosidad, permeabilidad y respuesta del acuífero dependen de facies y estructuras sedimentarias.</t>
  </si>
  <si>
    <t>Ser miembro pleno de IAS, haber obtenido el doctorado en los siete años anteriores al cierre y no haber recibido anteriormente esta subvención.</t>
  </si>
  <si>
    <t>Financia trabajo de campo, laboratorio y equipo especializado. No cubre salario, costos indirectos, matrícula ni viajes a congresos.</t>
  </si>
  <si>
    <t>https://www.sedimentologists.org/resources/grants/</t>
  </si>
  <si>
    <t>Adecuada para investigadores postdoctorales de UNPHU con proyecto de acuíferos sedimentarios.</t>
  </si>
  <si>
    <t>IAS Institutional Grants — Fall 2026</t>
  </si>
  <si>
    <t>Profesor o investigador permanente en ciencias de la Tierra</t>
  </si>
  <si>
    <t>Institución académica; departamento universitario</t>
  </si>
  <si>
    <t>Países con capacidad limitada de investigación y desarrollo</t>
  </si>
  <si>
    <t>Fortalecimiento de capacidades en sedimentología e hidrogeología</t>
  </si>
  <si>
    <t>barrenas; tamices; microscopios; software; sedimentos; formación; acuíferos</t>
  </si>
  <si>
    <t>Proporciona equipos y materiales para docencia e investigación sedimentológica en instituciones de países con capacidad limitada, aplicables al estudio de sedimentos y acuíferos.</t>
  </si>
  <si>
    <t>El solicitante debe ser miembro pleno de IAS y ocupar un puesto universitario permanente. Se priorizan países que históricamente invierten menos del 1 % del PIB en I+D; otros deben justificar la necesidad.</t>
  </si>
  <si>
    <t>Es una ayuda en especie: IAS compra y envía el equipo; no transfiere efectivo. Puede cubrir barrenas, tamices, microscopios, software especializado y materiales docentes.</t>
  </si>
  <si>
    <t>International Association of Sedimentologists; eo@sedimentologists.org</t>
  </si>
  <si>
    <t>Prioridad alta para fortalecer laboratorio. Confirmar la clasificación aplicable a República Dominicana y costos de envío.</t>
  </si>
  <si>
    <t>First Rufford Small Grant for Nature Conservation</t>
  </si>
  <si>
    <t>The Rufford Foundation</t>
  </si>
  <si>
    <t>Investigador emergente; estudiante de maestría o doctorado; graduado reciente</t>
  </si>
  <si>
    <t>Persona individual; equipo pequeño</t>
  </si>
  <si>
    <t>Conservación de ecosistemas dependientes de aguas subterráneas</t>
  </si>
  <si>
    <t>manantiales; humedales; acuíferos costeros; ecosistemas subterráneos; biodiversidad; conservación</t>
  </si>
  <si>
    <t>Financia trabajo de campo de conservación. La hidrogeología es pertinente cuando el proyecto demuestra un beneficio directo para especies, hábitats, manantiales, humedales o ecosistemas dependientes de aguas subterráneas.</t>
  </si>
  <si>
    <t>Dirigida principalmente a conservacionistas en etapas iniciales. República Dominicana figura como país elegible y el proyecto debe tener objetivos concretos de conservación en campo.</t>
  </si>
  <si>
    <t>No financia investigación puramente académica. La primera subvención es de hasta GBP 7,000; existen etapas posteriores de GBP 8,000, 12,000 y 18,000.</t>
  </si>
  <si>
    <t>https://apply.ruffordsmallgrants.org/</t>
  </si>
  <si>
    <t>Presentar la hidrogeología como herramienta para proteger biodiversidad y hábitats, con indicadores de conservación.</t>
  </si>
  <si>
    <t>Horton Research Grant</t>
  </si>
  <si>
    <t>American Geophysical Union</t>
  </si>
  <si>
    <t>Estudiante de doctorado en hidrología, hidrogeología o recursos hídricos</t>
  </si>
  <si>
    <t>Hidrología, aguas subterráneas y recursos hídricos</t>
  </si>
  <si>
    <t>hidrología; hidrogeología; acuíferos; recursos hídricos; modelación; calidad del agua</t>
  </si>
  <si>
    <t>Otorga hasta tres subvenciones anuales para apoyar la investigación doctoral en hidrología, recursos hídricos y áreas relacionadas, incluida la hidrogeología.</t>
  </si>
  <si>
    <t>Ser miembro estudiantil activo de AGU y permanecer matriculado en un programa doctoral durante todo el año de la subvención.</t>
  </si>
  <si>
    <t>El ciclo 2026 cerró el 13/03/2026. La solicitud incluye resumen, propósito, presupuesto, CV, expediente académico y recomendaciones. Solicitantes internacionales pueden recibir hasta USD 1,000 adicionales para viaje.</t>
  </si>
  <si>
    <t>https://www.agu.org/honors/horton-grant</t>
  </si>
  <si>
    <t>American Geophysical Union; Grants@agu.org</t>
  </si>
  <si>
    <t>2026-033</t>
  </si>
  <si>
    <t>2026-034</t>
  </si>
  <si>
    <t>2026-035</t>
  </si>
  <si>
    <t>2026-036</t>
  </si>
  <si>
    <t>2026-037</t>
  </si>
  <si>
    <t>plantear prospección de aguas subterráneas y beneficio comunitario medible.</t>
  </si>
  <si>
    <t xml:space="preserve"> monitorear el ciclo anual de enero a marzo de 2027.</t>
  </si>
  <si>
    <t>Beca José Juan Vilar Martínez — Excelencia en Investigación en Periodoncia 2026</t>
  </si>
  <si>
    <t>Sociedad Española de Periodoncia y Oseointegración (SEPA)</t>
  </si>
  <si>
    <t>Internacional; estancia en un centro distinto al de origen</t>
  </si>
  <si>
    <t>Sin restricción; exige membresía SEPA, incluida la categoría internacional</t>
  </si>
  <si>
    <t>Periodoncia, implantes dentales y biomateriales</t>
  </si>
  <si>
    <t>periodontitis; implantes; biomateriales; regeneración; movilidad; investigación clínica</t>
  </si>
  <si>
    <t>Financia una estancia de al menos tres meses y un proyecto vinculado en periodoncia, implantes dentales o biomateriales.</t>
  </si>
  <si>
    <t>Miembro de SEPA con proyecto clínico o preclínico, protocolo y aprobación ética. Las revisiones sistemáticas están excluidas.</t>
  </si>
  <si>
    <t>Hasta EUR 10.000 para viaje, alojamiento y manutención y al menos EUR 5.000 para investigación. Exige publicación Q1 antes del 30/11/2027, salvo prórroga excepcional.</t>
  </si>
  <si>
    <t>https://sepa.es/web/_public/downloads/becas/Beca-Jos%C3%A9%20Juan%20Vilar%20Mart%C3%ADnez%202026%20ES.pdf?20260426114110=</t>
  </si>
  <si>
    <t>Convocatoria 2026 cerrada. Para una edición futura, formalizar membresía internacional de SEPA y asegurar centro anfitrión y estrategia de publicación Q1.</t>
  </si>
  <si>
    <t>David Steflik Memorial Student Research Grant 2026</t>
  </si>
  <si>
    <t>American Academy of Implant Dentistry Foundation</t>
  </si>
  <si>
    <t>Sin restricción; los estudiantes internacionales son bienvenidos</t>
  </si>
  <si>
    <t>Implantología, biomateriales y respuesta tisular</t>
  </si>
  <si>
    <t>implantes; estudiantes; biomateriales; oseointegración; tejidos; investigación piloto</t>
  </si>
  <si>
    <t>Apoya proyectos estudiantiles en implantología, biomateriales y respuesta de los tejidos a los implantes.</t>
  </si>
  <si>
    <t>Estudiantes de odontología y participantes en programas de posgrado o residencia, con tutor y respaldo institucional.</t>
  </si>
  <si>
    <t>Financiamiento directo máximo de USD 7.000. Puede incluir hasta USD 1.500 adicionales para presentar resultados en la reunión anual de AAID.</t>
  </si>
  <si>
    <t>https://www.aaid.com/aaidf-grants</t>
  </si>
  <si>
    <t>Convocatoria 2026 cerrada. Monitorear el próximo ciclo para tesis o proyectos piloto de residentes y estudiantes de posgrado de UNPHU.</t>
  </si>
  <si>
    <t>AAID Foundation Large Research Grant 2026</t>
  </si>
  <si>
    <t>Internacional; confirmar la elegibilidad geográfica en el próximo ciclo</t>
  </si>
  <si>
    <t>No especificada en la página pública</t>
  </si>
  <si>
    <t>Implantología oral</t>
  </si>
  <si>
    <t>implantes; factibilidad; nuevas técnicas; modelos animales; datos clínicos; biomateriales; respuesta tisular</t>
  </si>
  <si>
    <t>Apoya estudios de factibilidad, nuevas técnicas o procedimientos, pequeños estudios clínicos o animales y análisis de datos existentes relacionados con implantología.</t>
  </si>
  <si>
    <t>Dirigida a investigadores en implantología. Deben cumplirse las condiciones institucionales y éticas de las bases de cada ciclo.</t>
  </si>
  <si>
    <t>Permite suministros, equipos pequeños y salarios de apoyo técnico. No permite salario del PI, consultores, grandes equipos ni costos indirectos.</t>
  </si>
  <si>
    <t>Convocatoria 2026 cerrada. Confirmar la elegibilidad internacional antes de preparar una propuesta del siguiente ciclo.</t>
  </si>
  <si>
    <t>ITI Research Mentoring Program 2026</t>
  </si>
  <si>
    <t>International Team for Implantology (ITI Foundation)</t>
  </si>
  <si>
    <t>De 1 a 12 meses</t>
  </si>
  <si>
    <t>Sin restricción publicada</t>
  </si>
  <si>
    <t>Formación investigadora en implantología</t>
  </si>
  <si>
    <t>mentoría; movilidad; implantología; periimplantitis; regeneración; capacitación; colaboración internacional</t>
  </si>
  <si>
    <t>Apoya estancias en una institución mentora para adquirir métodos, desarrollar colaboraciones y fortalecer la carrera científica en implantología.</t>
  </si>
  <si>
    <t>Investigador emergente; solicitud en inglés, CV, plan de estancia y referencias. Debe poder desplazarse al centro anfitrión.</t>
  </si>
  <si>
    <t>Apertura prevista el 01/08/2026. Tramos de USD 1.500–7.500, USD 7.500–10.000 y USD 10.000–20.000; compensación adicional al centro anfitrión de hasta USD 5.000.</t>
  </si>
  <si>
    <t>https://www.iti.org/science/research-mentoring-program/</t>
  </si>
  <si>
    <t>International Team for Implantology (ITI) Research Committee</t>
  </si>
  <si>
    <t>Próxima a abrir al verificarla. Recomendable para formar investigadores jóvenes de UNPHU en microbiología periimplantaria, regeneración o investigación clínica.</t>
  </si>
  <si>
    <t>ITI Targeted Call 2026 — Long-Term Outcomes of Single Implants versus 3-Unit Tooth-Borne Bridges</t>
  </si>
  <si>
    <t>Según proyecto; resultados con seguimiento mínimo de 5 años</t>
  </si>
  <si>
    <t>Resultados clínicos de implantes unitarios</t>
  </si>
  <si>
    <t>implante unitario; puente dentosoportado; supervivencia; PROMs; costo-efectividad; complicaciones; seguimiento longitudinal</t>
  </si>
  <si>
    <t>Compara resultados a largo plazo de implantes unitarios y puentes dentosoportados de tres unidades, incluida supervivencia, complicaciones, experiencia del paciente y economía de la salud.</t>
  </si>
  <si>
    <t>El primer solicitante debe estar afiliado a una institución académica acreditada. Se aceptan estudios retrospectivos y multicéntricos con datos de al menos cinco años.</t>
  </si>
  <si>
    <t>Modalidad pequeña hasta USD 50.000 y grande hasta USD 200.000. La notificación está prevista para noviembre de 2026.</t>
  </si>
  <si>
    <t>https://www.iti.org/science/research-grants/</t>
  </si>
  <si>
    <t>ID de referencia de la búsqueda: OD-2026-002. UNPHU necesitaría expedientes longitudinales o integrarse en una red multicéntrica.</t>
  </si>
  <si>
    <t>2026-038</t>
  </si>
  <si>
    <t>2026-039</t>
  </si>
  <si>
    <t>2026-040</t>
  </si>
  <si>
    <t>2026-041</t>
  </si>
  <si>
    <t>2026-042</t>
  </si>
  <si>
    <t>FY26 Epilepsy Research Program — Leveraging Research Award</t>
  </si>
  <si>
    <t>Defense Health Agency / CDMRP — Epilepsy Research Program</t>
  </si>
  <si>
    <t>Máximo 3 años</t>
  </si>
  <si>
    <t>Investigador independiente de cualquier etapa; equipo con experiencia en lesión cerebral traumática y epilepsia</t>
  </si>
  <si>
    <t>Organización extranjera o estadounidense, pública, privada, con o sin fines de lucro</t>
  </si>
  <si>
    <t>Internacional, incluida República Dominicana</t>
  </si>
  <si>
    <t>Cualquier nacionalidad o ciudadanía</t>
  </si>
  <si>
    <t>Epilepsia postraumática</t>
  </si>
  <si>
    <t>Permite adaptar o ampliar una cohorte, herramienta, intervención o recurso existente que anteriormente no estuviera enfocado en epilepsia postraumática.</t>
  </si>
  <si>
    <t>UNPHU es elegible como organización extranjera. El PI debe ser investigador independiente. Se requieren datos preliminares y acceso demostrado al recurso que se pretende aprovechar.</t>
  </si>
  <si>
    <t>Carta de intención: 03/08/2026, 5:00 p. m. ET. Solicitud completa: 17/08/2026, 11:59 p. m. ET. Solo aplica si la neuroestimulación se orienta explícitamente a epilepsia postraumática; puede incluir ensayos clínicos.</t>
  </si>
  <si>
    <t>https://cdmrp.health.mil/funding/pa/HT942526ERPLRA_GG.pdf</t>
  </si>
  <si>
    <t>CDMRP — Epilepsy Research Program</t>
  </si>
  <si>
    <t>FY26 PRMRP — Impact Award</t>
  </si>
  <si>
    <t>Defense Health Agency / CDMRP — PRMRP</t>
  </si>
  <si>
    <t>Máximo 4 años</t>
  </si>
  <si>
    <t>Investigador independiente; en modalidad asociada, uno de los PI debe ser investigador clínico</t>
  </si>
  <si>
    <t>Endometriosis y neuropatía periférica</t>
  </si>
  <si>
    <t>Apoya conceptos maduros de investigación aplicada que puedan convertirse en soluciones clínicas con impacto importante a corto plazo.</t>
  </si>
  <si>
    <t>UNPHU es elegible. Los postdoctorados, fellows clínicos y científicos bajo mentoría no pueden ser PI.</t>
  </si>
  <si>
    <t>Carta de intención: 23/07/2026, 5:00 p. m. ET. Solicitud completa: 06/08/2026, 11:59 p. m. ET. Tope: USD 2.8 millones con PI único o USD 3.6 millones con PI asociado. No permite ensayos clínicos; sí investigación clínica no intervencional.</t>
  </si>
  <si>
    <t>https://cdmrp.health.mil/funding/pa/HT942526PRMRPIPA_GG.pdf</t>
  </si>
  <si>
    <t>CDMRP — PRMRP</t>
  </si>
  <si>
    <t>FY26 PRMRP — Technology/Therapeutic Development Award</t>
  </si>
  <si>
    <t>Investigador independiente con equipo de desarrollo de producto, regulación y transición clínica</t>
  </si>
  <si>
    <t>Organización extranjera o estadounidense, pública o privada</t>
  </si>
  <si>
    <t>Apoya la transformación de resultados preclínicos prometedores en productos clínicos para prevención, diagnóstico, tratamiento o mejora de calidad de vida.</t>
  </si>
  <si>
    <t>UNPHU es elegible como institución extranjera. Se requiere prueba de concepto preliminar y una estrategia clara de transición regulatoria o clínica.</t>
  </si>
  <si>
    <t>Carta de intención: 23/07/2026, 5:00 p. m. ET. Solicitud completa: 06/08/2026, 11:59 p. m. ET. Debe conducir a un expediente regulatorio o a implementación clínica. No permite ensayos clínicos.</t>
  </si>
  <si>
    <t>https://cdmrp.health.mil/funding/pa/HT942526PRMRPTTDA_GG2.pdf</t>
  </si>
  <si>
    <t>2027–2029 Clinical Research Training Scholarship in Peripheral Neuropathy</t>
  </si>
  <si>
    <t>Foundation for Peripheral Neuropathy / American Brain Foundation / American Academy of Neurology</t>
  </si>
  <si>
    <t>Investigador de carrera temprana con MD, PhD o equivalente y trayectoria prevista en neuropatía periférica</t>
  </si>
  <si>
    <t>Investigador individual respaldado por una institución anfitriona</t>
  </si>
  <si>
    <t>Internacional; existen antecedentes de beneficiarios fuera de Estados Unidos</t>
  </si>
  <si>
    <t>No se publica restricción de nacionalidad; confirmar en el portal de solicitud</t>
  </si>
  <si>
    <t>Neuropatía periférica</t>
  </si>
  <si>
    <t>Financia estudios epidemiológicos, conductuales, clínicos, mecanismos de enfermedad, tecnologías, servicios de salud y modelos traslacionales de neuropatía periférica.</t>
  </si>
  <si>
    <t>Investigadores MD o PhD de carrera temprana comprometidos con investigación en neuropatía, con apoyo institucional y cumplimiento de los criterios completos de ABF.</t>
  </si>
  <si>
    <t>Solicitud presentada en 2026 para el período 2027–2029. Correspondencia directa con CIPN; una beneficiaria 2026 recibió apoyo específicamente para investigación de neuropatía inducida por quimioterapia.</t>
  </si>
  <si>
    <t>https://www.foundationforpn.org/peripheral-neuropathy-research-training-grant-2027/</t>
  </si>
  <si>
    <t>Foundation for Peripheral Neuropathy / American Brain Foundation</t>
  </si>
  <si>
    <t>World Endometriosis Society Early Career Investigator Awards 2027</t>
  </si>
  <si>
    <t>World Endometriosis Society</t>
  </si>
  <si>
    <t>Canadá / Internacional</t>
  </si>
  <si>
    <t>Clínicos, profesionales aliados, científicos básicos o sociales en etapa inicial</t>
  </si>
  <si>
    <t>Investigador individual miembro de WES; institución o mentor administra fondos cuando corresponda</t>
  </si>
  <si>
    <t>No se publica restricción de ciudadanía</t>
  </si>
  <si>
    <t>Endometriosis o adenomiosis</t>
  </si>
  <si>
    <t>endometriosis; manejo integral; dolor pélvico; calidad de vida; cirugía; epidemiología; salud pública; ciencias sociales</t>
  </si>
  <si>
    <t>Otorga seis catalyst grants: dos para clínicos y profesionales aliados, dos para científicos básicos y dos para científicos sociales.</t>
  </si>
  <si>
    <t>Requiere membresía WES. Clínicos y profesionales aliados: dentro de seis años de práctica independiente. Científicos básicos o sociales: dentro de diez años del doctorado o formación equivalente.</t>
  </si>
  <si>
    <t>Admite faculty de carrera temprana, postdoctorados y asociados de investigación. Quienes no tengan posición independiente deben identificar supervisor o mentor que administre los fondos.</t>
  </si>
  <si>
    <t>https://www.worldendosociety.org/mentoring-grants-awards/research-grants</t>
  </si>
  <si>
    <t>Dissemination and Implementation Research in Health — R03; PAR-25-233</t>
  </si>
  <si>
    <t>National Institutes of Health — NIH</t>
  </si>
  <si>
    <t>Investigadores en salud pública, epidemiología, implementación, servicios de salud, ginecología, neurología u oncología</t>
  </si>
  <si>
    <t>Universidad u organización de investigación; entidades extranjeras elegibles</t>
  </si>
  <si>
    <t>Sin restricción específica para PI de entidad extranjera elegible</t>
  </si>
  <si>
    <t>Implementación de intervenciones y prácticas de salud basadas en evidencia</t>
  </si>
  <si>
    <t>Financia estudios pequeños sobre adopción, adaptación, implementación, escalamiento y sostenibilidad de prácticas, guías o intervenciones de salud basadas en evidencia.</t>
  </si>
  <si>
    <t>UNPHU puede solicitar directamente. El PI debe poseer los conocimientos, recursos y respaldo institucional necesarios.</t>
  </si>
  <si>
    <t>Máximo USD 50,000 en costos directos por año y USD 100,000 en dos años. No permite ensayos clínicos de eficacia; es adecuada para implementar una ruta integral de endometriosis o un protocolo para CIPN.</t>
  </si>
  <si>
    <t>https://grants.nih.gov/grants/guide/pa-files/PAR-25-233.html</t>
  </si>
  <si>
    <t>NIH / NICHD / NINDS / Fogarty International Center</t>
  </si>
  <si>
    <t>Wellcome Discovery Awards — September 2026 round</t>
  </si>
  <si>
    <t>Wellcome</t>
  </si>
  <si>
    <t>Normalmente 3–8 años; promedio cercano a 7 años</t>
  </si>
  <si>
    <t>Investigador establecido; se permiten co-solicitantes</t>
  </si>
  <si>
    <t>Universidad, instituto de investigación, organización sanitaria o entidad sin fines de lucro</t>
  </si>
  <si>
    <t>Reino Unido, Irlanda y países de ingresos bajos y medios; República Dominicana es elegible para esta ronda</t>
  </si>
  <si>
    <t>Elegibilidad basada en institución y ubicación, no en ciudadanía</t>
  </si>
  <si>
    <t>Investigación de descubrimiento en salud y bienestar</t>
  </si>
  <si>
    <t>Apoya programas ambiciosos que generen cambios importantes en la comprensión de la vida, la salud y el bienestar, incluyendo ciencia básica, experimental, clínica o poblacional.</t>
  </si>
  <si>
    <t>La organización administradora debe ser sin fines de lucro. República Dominicana figura en la lista vigente de países de ingresos bajos y medios de Wellcome para esta ronda.</t>
  </si>
  <si>
    <t>Cierre: 22/09/2026, 3:00 p. m. BST. No hay tope formal; el promedio es aproximadamente GBP 3.5 millones y solicitudes superiores a GBP 5 millones reciben escrutinio adicional. La elegibilidad geográfica cambia después del 29/10/2026.</t>
  </si>
  <si>
    <t>https://wellcome.org/research-funding/schemes/wellcome-discovery-awards</t>
  </si>
  <si>
    <t>IBSA Foundation Fellowships — 2026 Call</t>
  </si>
  <si>
    <t>IBSA Foundation for Scientific Research</t>
  </si>
  <si>
    <t>Suiza</t>
  </si>
  <si>
    <t>Menor de 40 años; medicina, biología, farmacia, biotecnología o bioingeniería; PhD student, PhD, postdoc o residente</t>
  </si>
  <si>
    <t>Investigador individual activo en una institución anfitriona de investigación</t>
  </si>
  <si>
    <t>Cualquier nacionalidad</t>
  </si>
  <si>
    <t>Medicina del dolor; ortopedia/reumatología; fertilidad/urología; medicina regenerativa</t>
  </si>
  <si>
    <t>Ofrece siete fellowships de EUR 32,000. Las áreas de medicina del dolor y fertilidad/urología permiten proyectos relacionados con CIPN, dolor pélvico y endometriosis.</t>
  </si>
  <si>
    <t>Menor de 40 años al cierre, título elegible y actividad durante toda la beca en universidad, hospital o centro de investigación. Profesores con posición permanente no son elegibles.</t>
  </si>
  <si>
    <t>No cubre bench fees, overhead, consumibles ni beneficios para el supervisor o institución. Incluye un Research Equity Prize adicional de EUR 5,000 para el mejor proyecto desarrollado en un país en desarrollo.</t>
  </si>
  <si>
    <t>https://www.ibsafoundation.org/en/fellowship/call-2026</t>
  </si>
  <si>
    <t>IBSA Foundation</t>
  </si>
  <si>
    <t>2026-043</t>
  </si>
  <si>
    <t>2026-044</t>
  </si>
  <si>
    <t>2026-045</t>
  </si>
  <si>
    <t>2026-046</t>
  </si>
  <si>
    <t>2026-047</t>
  </si>
  <si>
    <t>2026-048</t>
  </si>
  <si>
    <t>2026-049</t>
  </si>
  <si>
    <t>2026-050</t>
  </si>
  <si>
    <t xml:space="preserve"> investigador joven; no financia costos institucionales.</t>
  </si>
  <si>
    <t xml:space="preserve"> manejo integral y servicios de salud. La intervención o guía debe contar con evidencia previa.</t>
  </si>
  <si>
    <t xml:space="preserve"> calidad de vida o investigación social en endometriosis.</t>
  </si>
  <si>
    <t xml:space="preserve"> Verificar criterios exactos de etapa profesional en el portal ABF.</t>
  </si>
  <si>
    <t>existe candidato terapéutico, dispositivo, biomarcador o prueba diagnóstica para CIPN/endometriosis.</t>
  </si>
  <si>
    <t xml:space="preserve"> biomarcadores, diagnóstico o tratamiento traslacional de CIPN/endometriosis.</t>
  </si>
  <si>
    <t>solo si existe una cohorte o intervención reutilizable y la población es PTE. Confirmar SAM/UEI, eBRAP y Grants.gov activos.</t>
  </si>
  <si>
    <t>dolor neuropático;  dolor pélvico; endometriosis; fertilidad; rehabilitación; medicina del dolor</t>
  </si>
  <si>
    <t>epilepsia; neuroestimulación; neuropatía;  endometriosis; mecanismos; medicina experimental</t>
  </si>
  <si>
    <t>manejo integral; endometriosis;  implementación; ruta clínica; acceso; adherencia; calidad de atención</t>
  </si>
  <si>
    <t xml:space="preserve"> neuropatía inducida por quimioterapia; mecanismos; diagnóstico; tratamiento; ensayo clínico; tecnología</t>
  </si>
  <si>
    <t>neuroprotección; fármaco; diagnóstico; dispositivo; endometriosis; biomarcadores; IND; IDE</t>
  </si>
  <si>
    <t>endometriosis;  mecanismos; biomarcadores; soluciones clínicas; investigación traslacional</t>
  </si>
  <si>
    <t>epilepsia postraumática; PTE; neuroestimulación;  lesión cerebral traumática; dispositivos avanzados</t>
  </si>
  <si>
    <t>Darwin Initiative Main — Round 32</t>
  </si>
  <si>
    <t>UK Department for Environment, Food &amp; Rural Affairs — Defra</t>
  </si>
  <si>
    <t>2-5 años</t>
  </si>
  <si>
    <t>Investigador establecido; equipo interdisciplinario</t>
  </si>
  <si>
    <t>Institución académica; ONG; entidad pública o privada registrada</t>
  </si>
  <si>
    <t>Países y hotspots elegibles; República Dominicana e Islas del Caribe</t>
  </si>
  <si>
    <t>Conservación de biodiversidad y reducción multidimensional de la pobreza</t>
  </si>
  <si>
    <t>biodiversidad; conservación; restauración; comunidades; pobreza; escalamiento; Caribe</t>
  </si>
  <si>
    <t>Financia proyectos grandes, basados en evidencia y con potencial de escala, que produzcan resultados simultáneos para la conservación de la biodiversidad y la reducción de la pobreza.</t>
  </si>
  <si>
    <t>UNPHU puede postular como organización líder. República Dominicana figura como país elegible dentro del hotspot Islas del Caribe; por ser país UMIC debe justificarse especialmente la necesidad del financiamiento y el beneficio a población vulnerable.</t>
  </si>
  <si>
    <t>Etapa 1: nota conceptual. Cierre 20/07/2026 a las 23:59 BST (18:59 AST). Solo una solicitud líder por organización y esquema. Inicio previsto desde abril de 2027.</t>
  </si>
  <si>
    <t>https://www.darwininitiative.org.uk/how-to-apply/main-applications/</t>
  </si>
  <si>
    <t>https://pivot.proquest.com/funding_opps/00d28df5-0db9-4812-8c68-d1d75de8f0f3</t>
  </si>
  <si>
    <t>UK Defra / NIRAS Biodiversity Challenge Funds</t>
  </si>
  <si>
    <t>Referencia de búsqueda BIO-2026-002. La ficha Pivot del adjunto contenía datos de una edición anterior; usar los datos oficiales de Round 32.</t>
  </si>
  <si>
    <t>Darwin Initiative Capability &amp; Capacity — Round 32</t>
  </si>
  <si>
    <t>Investigador establecido; especialista en fortalecimiento institucional</t>
  </si>
  <si>
    <t>Institución académica; instituto de investigación; ONG; entidad pública</t>
  </si>
  <si>
    <t>Fortalecimiento de capacidades institucionales para la conservación</t>
  </si>
  <si>
    <t>biodiversidad; formación; gobernanza; redes; capacidades locales; pobreza; Caribe</t>
  </si>
  <si>
    <t>Apoya proyectos que desarrollen la capacidad de organizaciones locales y nacionales para producir impactos sostenibles en conservación de biodiversidad y reducción de pobreza.</t>
  </si>
  <si>
    <t>UNPHU puede participar como organización local, entidad líder o institución beneficiaria, siempre que el proyecto contribuya a abordar la pérdida de biodiversidad y la pobreza dentro del hotspot elegible.</t>
  </si>
  <si>
    <t>Proceso de una sola etapa. Cierre 31/08/2026 a las 23:59 BST (18:59 AST). Duración máxima de tres años; inicio previsto desde abril de 2027.</t>
  </si>
  <si>
    <t>https://www.darwininitiative.org.uk/how-to-apply/capability-capacity-applications/</t>
  </si>
  <si>
    <t>Conservation, Food &amp; Health Foundation — Conservation Grants</t>
  </si>
  <si>
    <t>Conservation, Food &amp; Health Foundation</t>
  </si>
  <si>
    <t>Investigador emergente; investigador establecido</t>
  </si>
  <si>
    <t>Institución académica; ONG; organización sin fines de lucro</t>
  </si>
  <si>
    <t>Caribe, América Latina, África, Asia y Medio Oriente</t>
  </si>
  <si>
    <t>Conservación e investigación aplicada</t>
  </si>
  <si>
    <t>biodiversidad; recursos naturales; cambio climático; comunidades; capacidades; políticas</t>
  </si>
  <si>
    <t>Apoya investigación de campo, proyectos piloto y acciones aplicadas que generen soluciones locales y vinculen científicos, comunidades, organizaciones y responsables de políticas.</t>
  </si>
  <si>
    <t>Las universidades son elegibles si demuestran finalidad no gubernamental o benéfica. República Dominicana es elegible como país del Caribe.</t>
  </si>
  <si>
    <t>La próxima ventana para conceptos abre el 15/10/2026 y cierra el 22/12/2026. No existen límites formales; la mayoría de las subvenciones se sitúa entre USD 25,000 y 50,000 por año. Solo una propuesta por organización y año; no cubre overhead.</t>
  </si>
  <si>
    <t>https://cfhfoundation.grantsmanagement08.com/</t>
  </si>
  <si>
    <t>Conservation, Food &amp; Health Foundation / GMA Foundations</t>
  </si>
  <si>
    <t>FY 2024–2026 Broad Agency Announcement for the Office of Education</t>
  </si>
  <si>
    <t>National Oceanic and Atmospheric Administration — NOAA</t>
  </si>
  <si>
    <t>Investigador emergente; investigador establecido; equipo interdisciplinario</t>
  </si>
  <si>
    <t>Institución académica; ONG; empresa; gobierno; organización extranjera</t>
  </si>
  <si>
    <t>Biodiversidad marina, ecosistemas costeros, clima y educación</t>
  </si>
  <si>
    <t>océanos saludables; hábitats; biodiversidad marina; costas resilientes; cambio climático; educación</t>
  </si>
  <si>
    <t>Broad Agency Announcement para investigación, educación, divulgación y proyectos innovadores vinculados con los objetivos estratégicos de NOAA.</t>
  </si>
  <si>
    <t>Las instituciones de educación superior y organizaciones extranjeras son elegibles, siempre que NOAA disponga de autoridad legal para financiar la actividad propuesta.</t>
  </si>
  <si>
    <t>Cierre 30/09/2026 a las 23:59 ET. Financiamiento sujeto a disponibilidad presupuestaria. Conviene consultar previamente a la oficina programática y completar los registros federales requeridos.</t>
  </si>
  <si>
    <t>https://www.grants.gov/search-results-detail/356002</t>
  </si>
  <si>
    <t>https://pivot.proquest.com/funding_opps/1b3a4403-d139-491a-aae6-f2f1552f7976</t>
  </si>
  <si>
    <t>NOAA Office of Education / U.S. Department of Commerce</t>
  </si>
  <si>
    <t>2026-051</t>
  </si>
  <si>
    <t>2026-052</t>
  </si>
  <si>
    <t>2026-053</t>
  </si>
  <si>
    <t>2026-054</t>
  </si>
  <si>
    <t>Muy buen encaje institucional para UNPHU; coordinar internamente porque solo se permite una solicitud líder por esquema.</t>
  </si>
  <si>
    <t xml:space="preserve"> Utilizar el identificador oficial NOAA-SEC-OED-2024-28060 y no confundir con otros BAA de NOAA.</t>
  </si>
  <si>
    <t>Nestlé Foundation Research Grants</t>
  </si>
  <si>
    <t>Nestlé Foundation for the Study of Problems of Nutrition in the World</t>
  </si>
  <si>
    <t>Hasta 3 años</t>
  </si>
  <si>
    <t>Países de ingresos bajos y medios; República Dominicana elegible</t>
  </si>
  <si>
    <t>Nutrición materna, infantil y adolescente; seguridad nutricional</t>
  </si>
  <si>
    <t>Seguridad alimentaria; nutrición; malnutrición; salud materno-infantil; adolescentes; países de ingresos bajos y medios</t>
  </si>
  <si>
    <t>Apoya investigación aplicada e innovadora orientada a mejorar la nutrición materna, infantil y adolescente en países de ingresos bajos y medios.</t>
  </si>
  <si>
    <t>El investigador principal colaborador debe estar radicado en un país elegible y al menos 75 % del presupuesto debe ejecutarse allí. Estudiantes de maestría o doctorado pueden solicitar con supervisión.</t>
  </si>
  <si>
    <t>Carta de intención recibida de forma continua. Las propuestas completas son solo por invitación, con cortes habituales el 10 de enero y el 10 de julio. Regular: hasta USD 100,000 por año y USD 300,000 en total; Training: hasta USD 20,000 por año; Mobility: hasta USD 30,000. No financia estudios solo con animales o in vitro.</t>
  </si>
  <si>
    <t>https://www.nestlefoundation.org/research</t>
  </si>
  <si>
    <t>Nestlé Foundation; nf@nestlefoundation.org</t>
  </si>
  <si>
    <t>Alta afinidad con Nutrición, Medicina y Salud Pública de la UNPHU. República Dominicana figura dentro del universo general de países de ingresos medios.</t>
  </si>
  <si>
    <t>Seeding the Future Global Food System Challenge 2026</t>
  </si>
  <si>
    <t>Seeding The Future Foundation / Welthungerhilfe</t>
  </si>
  <si>
    <t>Según el cronograma del proyecto</t>
  </si>
  <si>
    <t>Internacional, salvo jurisdicciones sujetas a sanciones integrales</t>
  </si>
  <si>
    <t>Transformación de sistemas alimentarios</t>
  </si>
  <si>
    <t>Seguridad alimentaria; alimentos seguros y nutritivos; agricultura regenerativa; desperdicio de alimentos; acceso equitativo; innovación</t>
  </si>
  <si>
    <t>Premia innovaciones validadas que integren nutrición, sostenibilidad ambiental y acceso equitativo para transformar los sistemas alimentarios.</t>
  </si>
  <si>
    <t>Pueden participar universidades, institutos de investigación, ONG y empresas emergentes de todo el mundo. Las personas deben postular mediante una organización y se requiere prototipo o prueba de concepto.</t>
  </si>
  <si>
    <t>Próximo ciclo previsto del 15 de octubre al 15 de diciembre de 2026, sujeto a activación oficial. Seed Grants: USD 25,000; Growth Grants: USD 100,000; Grand Prizes: USD 250,000. No acepta ideas meramente teóricas.</t>
  </si>
  <si>
    <t>https://www.welthungerhilfe.org/global-food-system-challenge</t>
  </si>
  <si>
    <t>Welthungerhilfe / Seeding The Future Foundation; globalfoodsystemchallenge@welthungerhilfe.de</t>
  </si>
  <si>
    <t>La fecha 2026 se basa en el calendario recurrente publicado; confirmar la apertura efectiva antes de difundir o presentar.</t>
  </si>
  <si>
    <t>Sylvia Lane Mentor Fellowship</t>
  </si>
  <si>
    <t>Agricultural &amp; Applied Economics Association — AAEA Trust</t>
  </si>
  <si>
    <t>Según el plan de mentoría</t>
  </si>
  <si>
    <t>Sin restricción indicada</t>
  </si>
  <si>
    <t>Economía agrícola, alimentaria y de recursos</t>
  </si>
  <si>
    <t>Seguridad alimentaria; economía agrícola; políticas alimentarias; desarrollo rural; mentoría; mujeres</t>
  </si>
  <si>
    <t>Financia a mujeres en etapas iniciales de su carrera para desarrollar una colaboración de investigación y mentoría con una especialista de otra institución.</t>
  </si>
  <si>
    <t>Dirigida a mujeres en etapa inicial de carrera en economía agrícola, alimentaria o de recursos. Se prefieren nuevas relaciones de mentoría y la mentora debe pertenecer a una institución distinta.</t>
  </si>
  <si>
    <t>Requiere carta de presentación, CV, propuesta de investigación de hasta 3 páginas, recomendación, carta de intención de la mentora y presupuesto. La página menciona uso de fondos en 2026 pese al cierre de octubre; confirmar el cronograma con AAEA.</t>
  </si>
  <si>
    <t>https://www.aaea.org/trust/special-purpose-funds/sylvia-lane-mentorship-fund/call-for-applications</t>
  </si>
  <si>
    <t>https://pivot.proquest.com/funding_opps/dc186f8c-3a85-4d35-9c72-d1d75de8f0f3</t>
  </si>
  <si>
    <t>AAEA Trust; Jeanne Rhodes, jrhodes@aaea.org</t>
  </si>
  <si>
    <t>Incluida por su afinidad con seguridad alimentaria y economía agrícola; conviene validar la aparente inconsistencia temporal con AAEA.</t>
  </si>
  <si>
    <t>McCorkle Student Scholarship</t>
  </si>
  <si>
    <t>Economía agrícola y de alimentos</t>
  </si>
  <si>
    <t>Seguridad alimentaria; economía agrícola; precios; mercados; cadenas de valor; pobreza; desarrollo rural</t>
  </si>
  <si>
    <t>Apoya proyectos aplicados de estudiantes de posgrado sobre problemas económicos relacionados con la agricultura y los alimentos.</t>
  </si>
  <si>
    <t>Estudiante de posgrado con un proyecto aplicado y respaldo de su asesor o asesora académica.</t>
  </si>
  <si>
    <t>Puede cubrir recolección de datos, gastos de investigación, matrícula, cuotas, libros, suministros y equipo necesario. Requiere propuesta de hasta 5 páginas, presupuesto, carta del asesor y expediente académico. Confirmar expresamente la elegibilidad internacional.</t>
  </si>
  <si>
    <t>https://www.aaea.org/trust/special-purpose-funds/chester-o-mccorkle-jr-special-purpose-fund/mccorkle-scholarship-applications</t>
  </si>
  <si>
    <t>Adecuada para tesis de posgrado de la UNPHU; verificar con AAEA la participación de estudiantes fuera de Estados Unidos.</t>
  </si>
  <si>
    <t>Food Planet Prize</t>
  </si>
  <si>
    <t>Curt Bergfors Foundation</t>
  </si>
  <si>
    <t>Suecia</t>
  </si>
  <si>
    <t>Sistemas alimentarios sostenibles</t>
  </si>
  <si>
    <t>Seguridad alimentaria; sostenibilidad; clima; agricultura regenerativa; biodiversidad; cadenas alimentarias; innovación; escalamiento</t>
  </si>
  <si>
    <t>Reconoce iniciativas con capacidad demostrada para transformar el sistema alimentario y reducir su impacto ambiental.</t>
  </si>
  <si>
    <t>Acepta nominaciones propias o de terceros de personas y organizaciones comerciales o sin fines de lucro de cualquier país. Una iniciativa institucional de la UNPHU puede ser elegible.</t>
  </si>
  <si>
    <t>Las nominaciones se reciben durante todo el año. Como referencia del ciclo 2026, el premio principal fue de USD 1.5 millones y tres finalistas recibieron USD 150,000 cada uno; los montos de ciclos futuros no están garantizados.</t>
  </si>
  <si>
    <t>https://foodplanetprize.org/foundation/prize/nominate/</t>
  </si>
  <si>
    <t>Requiere una iniciativa validada y con potencial de impacto sistémico; no está concebido para una propuesta académica puramente teórica.</t>
  </si>
  <si>
    <t>IAFP Awards 2026</t>
  </si>
  <si>
    <t>International Association for Food Protection — IAFP</t>
  </si>
  <si>
    <t>Varía según el premio</t>
  </si>
  <si>
    <t>Inocuidad y protección de alimentos</t>
  </si>
  <si>
    <t>Inocuidad alimentaria; microbiología; enfermedades transmitidas por alimentos; laboratorio; innovación; salud pública</t>
  </si>
  <si>
    <t>Conjunto de reconocimientos de IAFP para investigación, innovación, liderazgo, educación y práctica profesional en inocuidad de los alimentos.</t>
  </si>
  <si>
    <t>En general, las personas nominadas deben ser miembros de IAFP, con excepciones según el premio; quien nomina no necesariamente debe ser miembro. Las ayudas de viaje estudiantil requieren membresía estudiantil.</t>
  </si>
  <si>
    <t>https://www.foodprotection.org/get-involved/awards/</t>
  </si>
  <si>
    <t>https://pivot.proquest.com/funding_opps/a7b90b20-be06-4f6d-84bc-d1d75de8f0f3</t>
  </si>
  <si>
    <t>Oportunidad complementaria de reconocimiento profesional y viaje, no una subvención para iniciar un proyecto. Mantener como antecedente y monitorear el próximo ciclo.</t>
  </si>
  <si>
    <t>2026-055</t>
  </si>
  <si>
    <t>2026-056</t>
  </si>
  <si>
    <t>2026-057</t>
  </si>
  <si>
    <t>2026-058</t>
  </si>
  <si>
    <t>2026-059</t>
  </si>
  <si>
    <t>2026-060</t>
  </si>
  <si>
    <t>Morris Animal Foundation Veterinary Student Scholars FY27 – Round 2</t>
  </si>
  <si>
    <t>Morris Animal Foundation</t>
  </si>
  <si>
    <t>Proyecto de investigación estudiantil tutorizado</t>
  </si>
  <si>
    <t>Estudiante de Veterinaria con mentor investigador</t>
  </si>
  <si>
    <t>Estudiante seleccionado por su institución</t>
  </si>
  <si>
    <t>Programas acreditados de Veterinaria; no se exige acreditación AVMA</t>
  </si>
  <si>
    <t>Investigación veterinaria estudiantil</t>
  </si>
  <si>
    <t>estudiantes; investigación mentorizada; perros; gatos; équidos; fauna silvestre; formación científica</t>
  </si>
  <si>
    <t>Ofrece experiencia de investigación clínica o básica tutorizada para avanzar la salud de perros, gatos, équidos o fauna silvestre.</t>
  </si>
  <si>
    <t>Estar matriculado en un programa acreditado de Medicina Veterinaria. No son elegibles estudiantes de programas combinados DVM/PhD. La institución debe seleccionar primero al candidato.</t>
  </si>
  <si>
    <t>Abre el 07/10/2026. Estipendio de hasta 5.500 USD por estudiante. Temática abierta en caninos, felinos, équidos y fauna silvestre. No cubre investigación sobre animales de producción.</t>
  </si>
  <si>
    <t>https://www.morrisanimalfoundation.org/veterinary-student-scholar-program</t>
  </si>
  <si>
    <t>Morris Animal Foundation – programa y calendario oficiales</t>
  </si>
  <si>
    <t>Morris Animal Foundation – Feline Annual RFP</t>
  </si>
  <si>
    <t>Según modalidad; confirmar en las directrices FY27 al abrir</t>
  </si>
  <si>
    <t>Investigador establecido; investigador emergente; postdoctorado</t>
  </si>
  <si>
    <t>Investigador o equipo con afiliación institucional</t>
  </si>
  <si>
    <t>Sin restricción, sujeto a sanciones económicas de Estados Unidos</t>
  </si>
  <si>
    <t>Salud felina</t>
  </si>
  <si>
    <t>gatos; medicina felina; enfermedades infecciosas; oncología; nutrición; diagnóstico; bienestar</t>
  </si>
  <si>
    <t>Convocatoria abierta temáticamente para proyectos que avancen la salud de los gatos mediante investigación científica rigurosa y humanitaria.</t>
  </si>
  <si>
    <t>Según modalidad: trayectoria investigadora para Established Investigator; nuevo profesorado para First Award; idea innovadora para Pilot Study; DVM/PhD o doctorando avanzado para Fellowship Training.</t>
  </si>
  <si>
    <t>Abre el 26/08/2026. Morris acepta investigadores de todo el mundo. No financia salud humana ni sanidad de animales de producción. La documentación y los montos de FY27 se publicarán en SmartSimple.</t>
  </si>
  <si>
    <t>https://www.morrisanimalfoundation.org/apply</t>
  </si>
  <si>
    <t>Morris Animal Foundation – calendario y FAQ oficiales</t>
  </si>
  <si>
    <t>Zebra Foundation for Veterinary Zoological Education Grants</t>
  </si>
  <si>
    <t>Zebra Foundation, con apoyo de EAZWV y BVZS</t>
  </si>
  <si>
    <t>Veterinarios y estudiantes de Veterinaria</t>
  </si>
  <si>
    <t>Medicina zoológica y salud de fauna silvestre</t>
  </si>
  <si>
    <t>fauna silvestre; zoológicos; medicina zoológica; mortalidad; epidemiología; formación veterinaria</t>
  </si>
  <si>
    <t>Apoya pequeños proyectos de laboratorio, campo o clínica que contribuyan a la salud zoológica o a la formación del solicitante en la disciplina.</t>
  </si>
  <si>
    <t>Veterinarios o estudiantes de Veterinaria. Son elegibles proyectos escritos durante prácticas en instituciones zoológicas e investigaciones que produzcan avances en medicina zoológica.</t>
  </si>
  <si>
    <t>Corte semestral. No cubre matrículas completas de maestría/doctorado, asistencia a conferencias ni prácticas sin un proyecto concreto. Prioriza a quienes inician su trayectoria en medicina zoológica.</t>
  </si>
  <si>
    <t>https://www.eazwv.org/page/grants</t>
  </si>
  <si>
    <t>EAZWV, BVZS y Zebra Foundation</t>
  </si>
  <si>
    <t>EveryCat Health Foundation – Fall 2026 Grant Cycle</t>
  </si>
  <si>
    <t>EveryCat Health Foundation</t>
  </si>
  <si>
    <t>No especificada; se admiten continuaciones de estudios anteriores</t>
  </si>
  <si>
    <t>Veterinarios; investigadores de salud felina</t>
  </si>
  <si>
    <t>Salud y medicina felina</t>
  </si>
  <si>
    <t>gatos domésticos; enfermedades felinas; diagnóstico; terapias; prevención; bienestar; FIP; genética; nutrición</t>
  </si>
  <si>
    <t>Financia proyectos con objetivos concretos y alcanzables que demuestren relevancia o beneficio para la salud de los gatos domésticos.</t>
  </si>
  <si>
    <t>Investigación sobre origen, diagnóstico, tratamiento o prevención de enfermedades felinas y sobre bienestar físico, mental o social. Se requiere cumplir las normas éticas y de bienestar animal aplicables.</t>
  </si>
  <si>
    <t>Cierre el 21/08/2026 a las 23:59 EDT. Solicitudes por encima de 50.000 USD no son consideradas. Resultados previstos para diciembre de 2026.</t>
  </si>
  <si>
    <t>https://everycat.smapply.io/prog/everycat_grant_fall_2026/</t>
  </si>
  <si>
    <t>EveryCat Health Foundation – RFP y portal oficial</t>
  </si>
  <si>
    <t>2026-061</t>
  </si>
  <si>
    <t>2026-062</t>
  </si>
  <si>
    <t>2026-063</t>
  </si>
  <si>
    <t>2026-064</t>
  </si>
  <si>
    <t>. Encaje muy alto para Veterinaria si cuenta con casos, muestras o población felina suficientes. Confirmar la recepción contractual de fondos en República Dominicana.</t>
  </si>
  <si>
    <t>Monto pequeño, pero buen instrumento semilla para estudiantes, levantamiento de datos, series de casos o pruebas piloto de fauna silvestre.</t>
  </si>
  <si>
    <t>Encaje muy alto. Preparar desde ahora equipo, hipótesis, población felina, aprobaciones éticas y borrador de prepropuesta.</t>
  </si>
  <si>
    <t>Confirmar que el programa de Medicina Veterinaria de UNPHU satisface la definición de acreditación de Morris y organizar una selección interna antes del 07/10.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</si>
</sst>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499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18" Type="http://schemas.openxmlformats.org/officeDocument/2006/relationships/hyperlink" Target="https://pivot.proquest.com/funding_opps/3dae87f6-c1a1-4ce2-9d84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17" Type="http://schemas.openxmlformats.org/officeDocument/2006/relationships/hyperlink" Target="https://www.lafoundation.org/what-we-do/leadership/laf-fellowship?" TargetMode="External"/><Relationship Id="rId2" Type="http://schemas.openxmlformats.org/officeDocument/2006/relationships/hyperlink" Target="https://openai.com/form/researcher-access-program/" TargetMode="External"/><Relationship Id="rId16" Type="http://schemas.openxmlformats.org/officeDocument/2006/relationships/hyperlink" Target="https://www.aia.org/advocacy/research/grants-fellowships/upjohn-research-initiative?utm_source=chatgpt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5" Type="http://schemas.openxmlformats.org/officeDocument/2006/relationships/hyperlink" Target="https://erasmus-plus.ec.europa.eu/funding-opportunities/capacity-building-in-higher-education-caribbean" TargetMode="External"/><Relationship Id="rId10" Type="http://schemas.openxmlformats.org/officeDocument/2006/relationships/hyperlink" Target="https://coefficientgiving.org/funds/" TargetMode="External"/><Relationship Id="rId19" Type="http://schemas.openxmlformats.org/officeDocument/2006/relationships/hyperlink" Target="https://www.grahamfoundation.org/grant_programs/?mode=individual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hyperlink" Target="https://ec.europa.eu/info/funding-tenders/opportunities/portal/screen/opportunities/calls-for-proposals?callIdentifier=HORIZON-NEB-2026-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9"/>
  <sheetViews>
    <sheetView tabSelected="1" topLeftCell="A60" workbookViewId="0">
      <selection activeCell="O64" sqref="O64"/>
    </sheetView>
  </sheetViews>
  <sheetFormatPr baseColWidth="10" defaultColWidth="9" defaultRowHeight="14.25"/>
  <cols>
    <col min="1" max="1" width="12" customWidth="1"/>
    <col min="2" max="2" width="10" customWidth="1"/>
    <col min="3" max="3" width="43" customWidth="1"/>
    <col min="4" max="4" width="24" customWidth="1"/>
    <col min="5" max="5" width="20" customWidth="1"/>
    <col min="6" max="6" width="18" customWidth="1"/>
    <col min="7" max="7" width="18.375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17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269</v>
      </c>
      <c r="AD2" s="3" t="s">
        <v>158</v>
      </c>
    </row>
    <row r="3" spans="1:30" ht="57">
      <c r="A3" s="3" t="s">
        <v>218</v>
      </c>
      <c r="B3" s="4" t="s">
        <v>42</v>
      </c>
      <c r="C3" t="s">
        <v>133</v>
      </c>
      <c r="D3" t="s">
        <v>132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137</v>
      </c>
      <c r="N3" s="4" t="s">
        <v>36</v>
      </c>
      <c r="O3" s="4" t="s">
        <v>138</v>
      </c>
      <c r="P3" s="4" t="s">
        <v>84</v>
      </c>
      <c r="Q3" s="4" t="s">
        <v>139</v>
      </c>
      <c r="R3" s="10" t="s">
        <v>140</v>
      </c>
      <c r="S3" s="3" t="s">
        <v>40</v>
      </c>
      <c r="T3" s="3" t="s">
        <v>40</v>
      </c>
      <c r="U3" s="3" t="s">
        <v>127</v>
      </c>
      <c r="V3" s="4" t="s">
        <v>141</v>
      </c>
      <c r="W3" s="4" t="s">
        <v>142</v>
      </c>
      <c r="X3" s="10" t="s">
        <v>143</v>
      </c>
      <c r="Y3" s="4" t="s">
        <v>144</v>
      </c>
      <c r="Z3" s="4" t="s">
        <v>145</v>
      </c>
      <c r="AA3" s="4"/>
      <c r="AB3" s="5">
        <v>46218</v>
      </c>
      <c r="AC3" s="3" t="s">
        <v>133</v>
      </c>
      <c r="AD3" s="4" t="s">
        <v>157</v>
      </c>
    </row>
    <row r="4" spans="1:30" ht="57">
      <c r="A4" s="3" t="s">
        <v>219</v>
      </c>
      <c r="B4" s="4" t="s">
        <v>42</v>
      </c>
      <c r="C4" s="4" t="s">
        <v>147</v>
      </c>
      <c r="D4" s="4" t="s">
        <v>146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138</v>
      </c>
      <c r="P4" s="4" t="s">
        <v>148</v>
      </c>
      <c r="Q4" s="4" t="s">
        <v>149</v>
      </c>
      <c r="R4" s="10" t="s">
        <v>150</v>
      </c>
      <c r="S4" s="4" t="s">
        <v>151</v>
      </c>
      <c r="T4" s="3" t="s">
        <v>40</v>
      </c>
      <c r="U4" s="3" t="s">
        <v>127</v>
      </c>
      <c r="V4" s="4" t="s">
        <v>152</v>
      </c>
      <c r="W4" s="4" t="s">
        <v>153</v>
      </c>
      <c r="X4" s="4" t="s">
        <v>154</v>
      </c>
      <c r="Y4" s="4" t="s">
        <v>155</v>
      </c>
      <c r="Z4" s="13" t="s">
        <v>156</v>
      </c>
      <c r="AA4" s="13"/>
      <c r="AB4" s="5">
        <v>46218</v>
      </c>
      <c r="AC4" s="3" t="s">
        <v>270</v>
      </c>
      <c r="AD4" s="4"/>
    </row>
    <row r="5" spans="1:30" ht="285">
      <c r="A5" s="3" t="s">
        <v>220</v>
      </c>
      <c r="B5" s="4" t="s">
        <v>42</v>
      </c>
      <c r="C5" s="4" t="s">
        <v>159</v>
      </c>
      <c r="D5" s="4" t="s">
        <v>160</v>
      </c>
      <c r="E5" s="4" t="s">
        <v>43</v>
      </c>
      <c r="F5" s="4" t="s">
        <v>135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172</v>
      </c>
      <c r="Q5" s="4" t="s">
        <v>161</v>
      </c>
      <c r="R5" s="4" t="s">
        <v>162</v>
      </c>
      <c r="S5" s="4" t="s">
        <v>135</v>
      </c>
      <c r="T5" s="4" t="s">
        <v>40</v>
      </c>
      <c r="U5" s="4" t="s">
        <v>127</v>
      </c>
      <c r="V5" s="4" t="s">
        <v>163</v>
      </c>
      <c r="W5" s="4" t="s">
        <v>164</v>
      </c>
      <c r="X5" s="4" t="s">
        <v>165</v>
      </c>
      <c r="Y5" s="12" t="s">
        <v>180</v>
      </c>
      <c r="Z5" s="13" t="s">
        <v>166</v>
      </c>
      <c r="AA5" s="4"/>
      <c r="AB5" s="6">
        <v>46218</v>
      </c>
      <c r="AC5" s="4" t="s">
        <v>271</v>
      </c>
      <c r="AD5" s="4" t="s">
        <v>167</v>
      </c>
    </row>
    <row r="6" spans="1:30" ht="42.75">
      <c r="A6" s="3" t="s">
        <v>221</v>
      </c>
      <c r="B6" s="4" t="s">
        <v>42</v>
      </c>
      <c r="C6" t="s">
        <v>168</v>
      </c>
      <c r="D6" s="4" t="s">
        <v>169</v>
      </c>
      <c r="E6" s="4" t="s">
        <v>170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171</v>
      </c>
      <c r="P6" s="4" t="s">
        <v>174</v>
      </c>
      <c r="Q6" s="4" t="s">
        <v>173</v>
      </c>
      <c r="R6" s="4" t="s">
        <v>175</v>
      </c>
      <c r="S6" s="4" t="s">
        <v>176</v>
      </c>
      <c r="T6" s="4" t="s">
        <v>176</v>
      </c>
      <c r="U6" s="4" t="s">
        <v>206</v>
      </c>
      <c r="V6" s="4" t="s">
        <v>177</v>
      </c>
      <c r="W6" s="4" t="s">
        <v>178</v>
      </c>
      <c r="X6" s="4" t="s">
        <v>179</v>
      </c>
      <c r="Y6" s="12" t="s">
        <v>181</v>
      </c>
      <c r="Z6" s="13" t="s">
        <v>182</v>
      </c>
      <c r="AA6" s="13" t="s">
        <v>183</v>
      </c>
      <c r="AB6" s="6">
        <v>46218</v>
      </c>
      <c r="AC6" s="4" t="s">
        <v>272</v>
      </c>
      <c r="AD6" s="4" t="s">
        <v>184</v>
      </c>
    </row>
    <row r="7" spans="1:30" ht="42.75">
      <c r="A7" s="3" t="s">
        <v>222</v>
      </c>
      <c r="B7" s="4" t="s">
        <v>42</v>
      </c>
      <c r="C7" s="4" t="s">
        <v>185</v>
      </c>
      <c r="D7" s="4" t="s">
        <v>186</v>
      </c>
      <c r="E7" s="4" t="s">
        <v>55</v>
      </c>
      <c r="F7" s="4" t="s">
        <v>187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188</v>
      </c>
      <c r="P7" s="4" t="s">
        <v>189</v>
      </c>
      <c r="Q7" s="4" t="s">
        <v>190</v>
      </c>
      <c r="R7" s="4" t="s">
        <v>191</v>
      </c>
      <c r="S7" s="4" t="s">
        <v>192</v>
      </c>
      <c r="T7" s="4" t="s">
        <v>176</v>
      </c>
      <c r="U7" s="4" t="s">
        <v>207</v>
      </c>
      <c r="V7" s="4" t="s">
        <v>193</v>
      </c>
      <c r="W7" s="4" t="s">
        <v>194</v>
      </c>
      <c r="X7" s="4" t="s">
        <v>195</v>
      </c>
      <c r="Y7" s="4" t="s">
        <v>196</v>
      </c>
      <c r="Z7" s="13" t="s">
        <v>197</v>
      </c>
      <c r="AA7" s="13" t="s">
        <v>198</v>
      </c>
      <c r="AB7" s="6">
        <v>46218</v>
      </c>
      <c r="AC7" s="4" t="s">
        <v>273</v>
      </c>
      <c r="AD7" s="4" t="s">
        <v>199</v>
      </c>
    </row>
    <row r="8" spans="1:30" ht="57">
      <c r="A8" s="3" t="s">
        <v>223</v>
      </c>
      <c r="B8" s="4" t="s">
        <v>42</v>
      </c>
      <c r="C8" s="4" t="s">
        <v>200</v>
      </c>
      <c r="D8" s="4" t="s">
        <v>201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188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274</v>
      </c>
      <c r="AD8" s="4" t="s">
        <v>213</v>
      </c>
    </row>
    <row r="9" spans="1:30" ht="42.75">
      <c r="A9" s="3" t="s">
        <v>224</v>
      </c>
      <c r="B9" s="4" t="s">
        <v>42</v>
      </c>
      <c r="C9" s="4" t="s">
        <v>216</v>
      </c>
      <c r="D9" s="4" t="s">
        <v>169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188</v>
      </c>
      <c r="P9" s="4" t="s">
        <v>66</v>
      </c>
      <c r="Q9" s="4" t="s">
        <v>225</v>
      </c>
      <c r="R9" s="4" t="s">
        <v>225</v>
      </c>
      <c r="S9" s="4" t="s">
        <v>187</v>
      </c>
      <c r="T9" s="4" t="s">
        <v>176</v>
      </c>
      <c r="U9" s="4" t="s">
        <v>226</v>
      </c>
      <c r="V9" s="4" t="s">
        <v>227</v>
      </c>
      <c r="W9" s="4" t="s">
        <v>228</v>
      </c>
      <c r="X9" t="s">
        <v>229</v>
      </c>
      <c r="Y9" s="4" t="s">
        <v>230</v>
      </c>
      <c r="Z9" s="13" t="s">
        <v>231</v>
      </c>
      <c r="AA9" s="4"/>
      <c r="AB9" s="6">
        <v>46219</v>
      </c>
      <c r="AC9" s="4" t="s">
        <v>275</v>
      </c>
      <c r="AD9" s="4" t="s">
        <v>232</v>
      </c>
    </row>
    <row r="10" spans="1:30" ht="71.25">
      <c r="A10" s="3" t="s">
        <v>233</v>
      </c>
      <c r="B10" s="4" t="s">
        <v>42</v>
      </c>
      <c r="C10" s="4" t="s">
        <v>234</v>
      </c>
      <c r="D10" t="s">
        <v>235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Abierta</v>
      </c>
      <c r="L10" s="8">
        <v>200000</v>
      </c>
      <c r="M10" s="8">
        <v>5000000</v>
      </c>
      <c r="N10" s="4" t="s">
        <v>36</v>
      </c>
      <c r="O10" s="4" t="s">
        <v>188</v>
      </c>
      <c r="P10" s="4" t="s">
        <v>189</v>
      </c>
      <c r="Q10" s="10" t="s">
        <v>236</v>
      </c>
      <c r="R10" s="4" t="s">
        <v>237</v>
      </c>
      <c r="S10" s="4" t="s">
        <v>187</v>
      </c>
      <c r="T10" s="4" t="s">
        <v>238</v>
      </c>
      <c r="U10" s="4" t="s">
        <v>239</v>
      </c>
      <c r="V10" s="4" t="s">
        <v>240</v>
      </c>
      <c r="W10" s="4" t="s">
        <v>242</v>
      </c>
      <c r="X10" s="4" t="s">
        <v>241</v>
      </c>
      <c r="Y10" s="4"/>
      <c r="Z10" s="13" t="s">
        <v>243</v>
      </c>
      <c r="AA10" s="13" t="s">
        <v>244</v>
      </c>
      <c r="AB10" s="6">
        <v>46219</v>
      </c>
      <c r="AC10" s="4" t="s">
        <v>276</v>
      </c>
      <c r="AD10" s="4" t="s">
        <v>245</v>
      </c>
    </row>
    <row r="11" spans="1:30" ht="42.75">
      <c r="A11" s="3" t="s">
        <v>246</v>
      </c>
      <c r="B11" s="4" t="s">
        <v>42</v>
      </c>
      <c r="C11" s="4" t="s">
        <v>254</v>
      </c>
      <c r="D11" s="4" t="s">
        <v>247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188</v>
      </c>
      <c r="P11" s="4" t="s">
        <v>52</v>
      </c>
      <c r="Q11" s="4" t="s">
        <v>225</v>
      </c>
      <c r="R11" s="4" t="s">
        <v>225</v>
      </c>
      <c r="S11" s="4" t="s">
        <v>187</v>
      </c>
      <c r="T11" s="4" t="s">
        <v>176</v>
      </c>
      <c r="U11" s="4" t="s">
        <v>250</v>
      </c>
      <c r="V11" s="4" t="s">
        <v>249</v>
      </c>
      <c r="W11" s="4" t="s">
        <v>251</v>
      </c>
      <c r="X11" s="4" t="s">
        <v>248</v>
      </c>
      <c r="Y11" s="4"/>
      <c r="Z11" s="13" t="s">
        <v>252</v>
      </c>
      <c r="AA11" s="13" t="s">
        <v>253</v>
      </c>
      <c r="AB11" s="6">
        <v>46219</v>
      </c>
      <c r="AC11" s="4" t="s">
        <v>277</v>
      </c>
      <c r="AD11" s="4"/>
    </row>
    <row r="12" spans="1:30" ht="85.5">
      <c r="A12" s="3" t="s">
        <v>256</v>
      </c>
      <c r="B12" s="4"/>
      <c r="C12" t="s">
        <v>255</v>
      </c>
      <c r="D12" s="4" t="s">
        <v>257</v>
      </c>
      <c r="E12" s="4" t="s">
        <v>55</v>
      </c>
      <c r="F12" s="4" t="s">
        <v>258</v>
      </c>
      <c r="G12" s="6">
        <v>46357</v>
      </c>
      <c r="H12" s="4" t="s">
        <v>33</v>
      </c>
      <c r="I12" s="4" t="s">
        <v>34</v>
      </c>
      <c r="J12" s="4" t="s">
        <v>35</v>
      </c>
      <c r="K12" s="4" t="str">
        <f t="shared" ca="1" si="0"/>
        <v>Abierta</v>
      </c>
      <c r="L12" s="8"/>
      <c r="M12" s="8">
        <v>5000000</v>
      </c>
      <c r="N12" s="4" t="s">
        <v>51</v>
      </c>
      <c r="O12" s="4" t="s">
        <v>188</v>
      </c>
      <c r="P12" s="4" t="s">
        <v>37</v>
      </c>
      <c r="Q12" s="4" t="s">
        <v>259</v>
      </c>
      <c r="R12" s="4" t="s">
        <v>260</v>
      </c>
      <c r="S12" s="4" t="s">
        <v>261</v>
      </c>
      <c r="T12" s="4" t="s">
        <v>262</v>
      </c>
      <c r="U12" s="4" t="s">
        <v>263</v>
      </c>
      <c r="V12" s="4" t="s">
        <v>264</v>
      </c>
      <c r="W12" s="4" t="s">
        <v>265</v>
      </c>
      <c r="X12" s="4" t="s">
        <v>266</v>
      </c>
      <c r="Y12" s="4"/>
      <c r="Z12" s="13" t="s">
        <v>267</v>
      </c>
      <c r="AA12" s="4"/>
      <c r="AB12" s="6">
        <v>46219</v>
      </c>
      <c r="AC12" s="4" t="s">
        <v>268</v>
      </c>
      <c r="AD12" s="4"/>
    </row>
    <row r="13" spans="1:30" ht="128.25">
      <c r="A13" s="3" t="s">
        <v>278</v>
      </c>
      <c r="B13" s="4" t="s">
        <v>42</v>
      </c>
      <c r="C13" s="4" t="s">
        <v>279</v>
      </c>
      <c r="D13" s="4" t="s">
        <v>280</v>
      </c>
      <c r="E13" s="4" t="s">
        <v>55</v>
      </c>
      <c r="F13" s="4" t="s">
        <v>258</v>
      </c>
      <c r="G13" s="6">
        <v>46063</v>
      </c>
      <c r="H13" s="4" t="s">
        <v>33</v>
      </c>
      <c r="I13" s="4" t="s">
        <v>34</v>
      </c>
      <c r="J13" s="4" t="s">
        <v>50</v>
      </c>
      <c r="K13" s="4" t="str">
        <f t="shared" ca="1" si="0"/>
        <v>Cerrada</v>
      </c>
      <c r="L13" s="8">
        <v>200000</v>
      </c>
      <c r="M13" s="8">
        <v>1000000</v>
      </c>
      <c r="N13" s="4" t="s">
        <v>51</v>
      </c>
      <c r="O13" s="4" t="s">
        <v>281</v>
      </c>
      <c r="P13" s="4" t="s">
        <v>37</v>
      </c>
      <c r="Q13" s="4" t="s">
        <v>282</v>
      </c>
      <c r="R13" s="4" t="s">
        <v>283</v>
      </c>
      <c r="S13" s="4" t="s">
        <v>284</v>
      </c>
      <c r="T13" s="4" t="s">
        <v>176</v>
      </c>
      <c r="U13" s="4" t="s">
        <v>285</v>
      </c>
      <c r="V13" s="4" t="s">
        <v>286</v>
      </c>
      <c r="W13" s="4" t="s">
        <v>287</v>
      </c>
      <c r="X13" s="4" t="s">
        <v>289</v>
      </c>
      <c r="Y13" s="4" t="s">
        <v>288</v>
      </c>
      <c r="Z13" s="13" t="s">
        <v>290</v>
      </c>
      <c r="AA13" s="4"/>
      <c r="AB13" s="6">
        <v>46219</v>
      </c>
      <c r="AC13" s="4" t="s">
        <v>291</v>
      </c>
      <c r="AD13" s="4"/>
    </row>
    <row r="14" spans="1:30" ht="85.5">
      <c r="A14" s="3" t="s">
        <v>292</v>
      </c>
      <c r="B14" s="4" t="s">
        <v>42</v>
      </c>
      <c r="C14" s="4" t="s">
        <v>293</v>
      </c>
      <c r="D14" s="4" t="s">
        <v>294</v>
      </c>
      <c r="E14" s="4" t="s">
        <v>55</v>
      </c>
      <c r="F14" s="4" t="s">
        <v>32</v>
      </c>
      <c r="G14" s="6"/>
      <c r="H14" s="4" t="s">
        <v>63</v>
      </c>
      <c r="I14" s="4" t="s">
        <v>70</v>
      </c>
      <c r="J14" s="4" t="s">
        <v>64</v>
      </c>
      <c r="K14" s="4" t="str">
        <f t="shared" ca="1" si="0"/>
        <v>Sin fecha</v>
      </c>
      <c r="L14" s="8">
        <v>15000</v>
      </c>
      <c r="M14" s="8">
        <v>30000</v>
      </c>
      <c r="N14" s="4" t="s">
        <v>36</v>
      </c>
      <c r="O14" s="4" t="s">
        <v>295</v>
      </c>
      <c r="P14" s="4" t="s">
        <v>189</v>
      </c>
      <c r="Q14" s="4" t="s">
        <v>296</v>
      </c>
      <c r="R14" s="4" t="s">
        <v>297</v>
      </c>
      <c r="S14" s="4" t="s">
        <v>187</v>
      </c>
      <c r="T14" s="4" t="s">
        <v>298</v>
      </c>
      <c r="U14" s="4" t="s">
        <v>299</v>
      </c>
      <c r="V14" s="4" t="s">
        <v>300</v>
      </c>
      <c r="W14" s="4" t="s">
        <v>301</v>
      </c>
      <c r="X14" s="4" t="s">
        <v>302</v>
      </c>
      <c r="Y14" s="4" t="s">
        <v>303</v>
      </c>
      <c r="Z14" s="13" t="s">
        <v>304</v>
      </c>
      <c r="AA14" s="4"/>
      <c r="AB14" s="6">
        <v>46219</v>
      </c>
      <c r="AC14" s="4" t="s">
        <v>305</v>
      </c>
      <c r="AD14" s="4" t="s">
        <v>306</v>
      </c>
    </row>
    <row r="15" spans="1:30" ht="85.5">
      <c r="A15" s="3" t="s">
        <v>307</v>
      </c>
      <c r="B15" s="4" t="s">
        <v>42</v>
      </c>
      <c r="C15" s="4" t="s">
        <v>308</v>
      </c>
      <c r="D15" s="4" t="s">
        <v>309</v>
      </c>
      <c r="E15" s="4" t="s">
        <v>31</v>
      </c>
      <c r="F15" s="4" t="s">
        <v>32</v>
      </c>
      <c r="G15" s="6">
        <v>46280</v>
      </c>
      <c r="H15" s="4" t="s">
        <v>33</v>
      </c>
      <c r="I15" s="4" t="s">
        <v>70</v>
      </c>
      <c r="J15" s="4" t="s">
        <v>35</v>
      </c>
      <c r="K15" s="4" t="str">
        <f t="shared" ca="1" si="0"/>
        <v>Abierta</v>
      </c>
      <c r="L15" s="8">
        <v>25000</v>
      </c>
      <c r="M15" s="8">
        <v>25000</v>
      </c>
      <c r="N15" s="4" t="s">
        <v>36</v>
      </c>
      <c r="O15" s="4" t="s">
        <v>138</v>
      </c>
      <c r="P15" s="4" t="s">
        <v>82</v>
      </c>
      <c r="Q15" s="4" t="s">
        <v>310</v>
      </c>
      <c r="R15" s="4"/>
      <c r="S15" s="4" t="s">
        <v>187</v>
      </c>
      <c r="T15" s="4" t="s">
        <v>176</v>
      </c>
      <c r="U15" s="4" t="s">
        <v>311</v>
      </c>
      <c r="V15" s="4" t="s">
        <v>312</v>
      </c>
      <c r="W15" s="4" t="s">
        <v>313</v>
      </c>
      <c r="X15" s="4" t="s">
        <v>314</v>
      </c>
      <c r="Y15" s="4" t="s">
        <v>315</v>
      </c>
      <c r="Z15" s="13" t="s">
        <v>316</v>
      </c>
      <c r="AA15" s="13" t="s">
        <v>317</v>
      </c>
      <c r="AB15" s="6">
        <v>46219</v>
      </c>
      <c r="AC15" s="4" t="s">
        <v>318</v>
      </c>
      <c r="AD15" s="4" t="s">
        <v>319</v>
      </c>
    </row>
    <row r="16" spans="1:30" ht="85.5">
      <c r="A16" s="3" t="s">
        <v>320</v>
      </c>
      <c r="B16" s="4" t="s">
        <v>42</v>
      </c>
      <c r="C16" s="4" t="s">
        <v>321</v>
      </c>
      <c r="D16" s="4" t="s">
        <v>322</v>
      </c>
      <c r="E16" s="4" t="s">
        <v>69</v>
      </c>
      <c r="F16" s="4" t="s">
        <v>32</v>
      </c>
      <c r="G16" s="6">
        <v>46280</v>
      </c>
      <c r="H16" s="4" t="s">
        <v>33</v>
      </c>
      <c r="I16" s="4" t="s">
        <v>84</v>
      </c>
      <c r="J16" s="4" t="s">
        <v>35</v>
      </c>
      <c r="K16" s="4" t="str">
        <f t="shared" ca="1" si="0"/>
        <v>Abierta</v>
      </c>
      <c r="L16" s="8">
        <v>10000</v>
      </c>
      <c r="M16" s="8">
        <v>20000</v>
      </c>
      <c r="N16" s="4" t="s">
        <v>36</v>
      </c>
      <c r="O16" s="4"/>
      <c r="P16" s="4" t="s">
        <v>37</v>
      </c>
      <c r="Q16" s="4" t="s">
        <v>371</v>
      </c>
      <c r="R16" s="4" t="s">
        <v>372</v>
      </c>
      <c r="S16" s="4" t="s">
        <v>187</v>
      </c>
      <c r="T16" s="4" t="s">
        <v>176</v>
      </c>
      <c r="U16" s="4" t="s">
        <v>373</v>
      </c>
      <c r="V16" s="4" t="s">
        <v>374</v>
      </c>
      <c r="W16" s="4" t="s">
        <v>375</v>
      </c>
      <c r="X16" s="4" t="s">
        <v>376</v>
      </c>
      <c r="Y16" s="4" t="s">
        <v>377</v>
      </c>
      <c r="Z16" s="13" t="s">
        <v>378</v>
      </c>
      <c r="AA16" s="4"/>
      <c r="AB16" s="6">
        <v>46220</v>
      </c>
      <c r="AC16" s="4" t="s">
        <v>379</v>
      </c>
      <c r="AD16" s="4" t="s">
        <v>380</v>
      </c>
    </row>
    <row r="17" spans="1:30" ht="128.25">
      <c r="A17" s="3" t="s">
        <v>381</v>
      </c>
      <c r="B17" s="4" t="s">
        <v>42</v>
      </c>
      <c r="C17" s="4" t="s">
        <v>323</v>
      </c>
      <c r="D17" s="4" t="s">
        <v>324</v>
      </c>
      <c r="E17" s="4" t="s">
        <v>31</v>
      </c>
      <c r="F17" s="4" t="s">
        <v>32</v>
      </c>
      <c r="G17" s="6"/>
      <c r="H17" s="4" t="s">
        <v>63</v>
      </c>
      <c r="I17" s="4" t="s">
        <v>70</v>
      </c>
      <c r="J17" s="4" t="s">
        <v>64</v>
      </c>
      <c r="K17" s="4" t="str">
        <f t="shared" ca="1" si="0"/>
        <v>Sin fecha</v>
      </c>
      <c r="L17" s="8">
        <v>21500</v>
      </c>
      <c r="M17" s="8">
        <v>21500</v>
      </c>
      <c r="N17" s="4" t="s">
        <v>36</v>
      </c>
      <c r="O17" s="4" t="s">
        <v>325</v>
      </c>
      <c r="P17" s="4" t="s">
        <v>66</v>
      </c>
      <c r="Q17" s="4" t="s">
        <v>67</v>
      </c>
      <c r="R17" s="4" t="s">
        <v>74</v>
      </c>
      <c r="S17" s="4" t="s">
        <v>326</v>
      </c>
      <c r="T17" s="4" t="s">
        <v>40</v>
      </c>
      <c r="U17" s="4" t="s">
        <v>327</v>
      </c>
      <c r="V17" s="4" t="s">
        <v>328</v>
      </c>
      <c r="W17" s="4" t="s">
        <v>329</v>
      </c>
      <c r="X17" s="4" t="s">
        <v>330</v>
      </c>
      <c r="Y17" s="4" t="s">
        <v>331</v>
      </c>
      <c r="Z17" s="13" t="str">
        <f>HYPERLINK("https://www.getty.edu/projects/conservation-guest-scholars/","https://www.getty.edu/projects/conservation-guest-scholars/")</f>
        <v>https://www.getty.edu/projects/conservation-guest-scholars/</v>
      </c>
      <c r="AA17" s="4"/>
      <c r="AB17" s="6">
        <v>46220</v>
      </c>
      <c r="AC17" s="4" t="s">
        <v>332</v>
      </c>
      <c r="AD17" s="4" t="s">
        <v>333</v>
      </c>
    </row>
    <row r="18" spans="1:30" ht="114">
      <c r="A18" s="3" t="s">
        <v>382</v>
      </c>
      <c r="B18" s="4" t="s">
        <v>42</v>
      </c>
      <c r="C18" s="4" t="s">
        <v>334</v>
      </c>
      <c r="D18" s="4" t="s">
        <v>335</v>
      </c>
      <c r="E18" s="4" t="s">
        <v>55</v>
      </c>
      <c r="F18" s="4" t="s">
        <v>187</v>
      </c>
      <c r="G18" s="6">
        <v>46266</v>
      </c>
      <c r="H18" s="4" t="s">
        <v>48</v>
      </c>
      <c r="I18" s="4" t="s">
        <v>70</v>
      </c>
      <c r="J18" s="4" t="s">
        <v>64</v>
      </c>
      <c r="K18" s="4" t="str">
        <f ca="1">IF(J18="En revisión","Pendiente Apertura",IF(J18="Cerrada","Cerrada",IF(J18="Suspendida","Suspendida",IF(G18="","Sin fecha",IF(G18&lt;TODAY(),"Vencida",IF(G18-TODAY()&lt;=30,"Próxima a vencer","Abierta"))))))</f>
        <v>Pendiente Apertura</v>
      </c>
      <c r="L18" s="8">
        <v>5000</v>
      </c>
      <c r="M18" s="8">
        <v>15000</v>
      </c>
      <c r="N18" s="4" t="s">
        <v>71</v>
      </c>
      <c r="O18" s="4" t="s">
        <v>336</v>
      </c>
      <c r="P18" s="4" t="s">
        <v>66</v>
      </c>
      <c r="Q18" s="4" t="s">
        <v>337</v>
      </c>
      <c r="R18" s="4" t="s">
        <v>74</v>
      </c>
      <c r="S18" s="4" t="s">
        <v>338</v>
      </c>
      <c r="T18" s="4" t="s">
        <v>369</v>
      </c>
      <c r="U18" s="4" t="s">
        <v>370</v>
      </c>
      <c r="V18" s="4" t="s">
        <v>368</v>
      </c>
      <c r="W18" s="4" t="s">
        <v>339</v>
      </c>
      <c r="X18" s="4" t="s">
        <v>340</v>
      </c>
      <c r="Y18" s="4" t="s">
        <v>341</v>
      </c>
      <c r="Z18" s="13" t="str">
        <f>HYPERLINK("https://www.cca.qc.ca/en/101525/cca-wri-research-fellowship-program","https://www.cca.qc.ca/en/101525/cca-wri-research-fellowship-program")</f>
        <v>https://www.cca.qc.ca/en/101525/cca-wri-research-fellowship-program</v>
      </c>
      <c r="AA18" s="4"/>
      <c r="AB18" s="6">
        <v>46220</v>
      </c>
      <c r="AC18" s="4" t="s">
        <v>342</v>
      </c>
      <c r="AD18" s="4" t="s">
        <v>343</v>
      </c>
    </row>
    <row r="19" spans="1:30" ht="128.25">
      <c r="A19" s="3" t="s">
        <v>383</v>
      </c>
      <c r="B19" s="4" t="s">
        <v>42</v>
      </c>
      <c r="C19" s="4" t="s">
        <v>344</v>
      </c>
      <c r="D19" s="4" t="s">
        <v>345</v>
      </c>
      <c r="E19" s="4" t="s">
        <v>31</v>
      </c>
      <c r="F19" s="4" t="s">
        <v>202</v>
      </c>
      <c r="G19" s="6">
        <v>46209</v>
      </c>
      <c r="H19" s="4" t="s">
        <v>33</v>
      </c>
      <c r="I19" s="4" t="s">
        <v>70</v>
      </c>
      <c r="J19" s="4" t="s">
        <v>50</v>
      </c>
      <c r="K19" s="4" t="str">
        <f t="shared" ref="K19:K80" ca="1" si="1">IF(J19="En revisión","Pendiente Apertura",IF(J19="Cerrada","Cerrada",IF(J19="Suspendida","Suspendida",IF(G19="","Sin fecha",IF(G19&lt;TODAY(),"Vencida",IF(G19-TODAY()&lt;=30,"Próxima a vencer","Abierta"))))))</f>
        <v>Cerrada</v>
      </c>
      <c r="L19" s="8"/>
      <c r="M19" s="8"/>
      <c r="N19" s="4" t="s">
        <v>59</v>
      </c>
      <c r="O19" s="4" t="s">
        <v>346</v>
      </c>
      <c r="P19" s="4" t="s">
        <v>66</v>
      </c>
      <c r="Q19" s="4" t="s">
        <v>38</v>
      </c>
      <c r="R19" s="4" t="s">
        <v>74</v>
      </c>
      <c r="S19" s="4" t="s">
        <v>347</v>
      </c>
      <c r="T19" s="4" t="s">
        <v>348</v>
      </c>
      <c r="U19" s="4" t="s">
        <v>349</v>
      </c>
      <c r="V19" s="4" t="s">
        <v>350</v>
      </c>
      <c r="W19" s="4" t="s">
        <v>351</v>
      </c>
      <c r="X19" s="4" t="s">
        <v>352</v>
      </c>
      <c r="Y19" s="4" t="s">
        <v>353</v>
      </c>
      <c r="Z19" s="13" t="str">
        <f>HYPERLINK("https://www.urbanstudiesfoundation.org/funding/international-fellowships/","https://www.urbanstudiesfoundation.org/funding/international-fellowships/")</f>
        <v>https://www.urbanstudiesfoundation.org/funding/international-fellowships/</v>
      </c>
      <c r="AA19" s="4"/>
      <c r="AB19" s="6">
        <v>46220</v>
      </c>
      <c r="AC19" s="4" t="s">
        <v>354</v>
      </c>
      <c r="AD19" s="4" t="s">
        <v>355</v>
      </c>
    </row>
    <row r="20" spans="1:30" ht="114">
      <c r="A20" s="3" t="s">
        <v>384</v>
      </c>
      <c r="B20" s="4" t="s">
        <v>42</v>
      </c>
      <c r="C20" s="4" t="s">
        <v>356</v>
      </c>
      <c r="D20" s="4" t="s">
        <v>357</v>
      </c>
      <c r="E20" s="4" t="s">
        <v>55</v>
      </c>
      <c r="F20" s="4" t="s">
        <v>187</v>
      </c>
      <c r="G20" s="6">
        <v>46157.708333333299</v>
      </c>
      <c r="H20" s="4" t="s">
        <v>33</v>
      </c>
      <c r="I20" s="4" t="s">
        <v>34</v>
      </c>
      <c r="J20" s="4" t="s">
        <v>50</v>
      </c>
      <c r="K20" s="4" t="str">
        <f t="shared" ca="1" si="1"/>
        <v>Cerrada</v>
      </c>
      <c r="L20" s="8"/>
      <c r="M20" s="8">
        <v>20000</v>
      </c>
      <c r="N20" s="4" t="s">
        <v>51</v>
      </c>
      <c r="O20" s="4" t="s">
        <v>358</v>
      </c>
      <c r="P20" s="4" t="s">
        <v>189</v>
      </c>
      <c r="Q20" s="4" t="s">
        <v>38</v>
      </c>
      <c r="R20" s="4" t="s">
        <v>79</v>
      </c>
      <c r="S20" s="4" t="s">
        <v>359</v>
      </c>
      <c r="T20" s="4" t="s">
        <v>360</v>
      </c>
      <c r="U20" s="4" t="s">
        <v>361</v>
      </c>
      <c r="V20" s="4" t="s">
        <v>362</v>
      </c>
      <c r="W20" s="4" t="s">
        <v>363</v>
      </c>
      <c r="X20" s="4" t="s">
        <v>364</v>
      </c>
      <c r="Y20" s="4" t="s">
        <v>365</v>
      </c>
      <c r="Z20" s="13" t="str">
        <f>HYPERLINK("https://www.cyted.org/assets/img/cyted/Convocatoria%202026/Castellano/01_Convocatoria_oficial_bases_y_lineas_2026_SP.pdf","https://www.cyted.org/assets/img/cyted/Convocatoria%202026/Castellano/01_Convocatoria_oficial_bases_y_lineas_2026_SP.pdf")</f>
        <v>https://www.cyted.org/assets/img/cyted/Convocatoria%202026/Castellano/01_Convocatoria_oficial_bases_y_lineas_2026_SP.pdf</v>
      </c>
      <c r="AA20" s="4"/>
      <c r="AB20" s="6">
        <v>46220</v>
      </c>
      <c r="AC20" s="4" t="s">
        <v>366</v>
      </c>
      <c r="AD20" s="4" t="s">
        <v>367</v>
      </c>
    </row>
    <row r="21" spans="1:30" ht="71.25">
      <c r="A21" s="3" t="s">
        <v>471</v>
      </c>
      <c r="B21" s="4" t="s">
        <v>42</v>
      </c>
      <c r="C21" s="4" t="s">
        <v>385</v>
      </c>
      <c r="D21" s="4" t="s">
        <v>386</v>
      </c>
      <c r="E21" s="4" t="s">
        <v>55</v>
      </c>
      <c r="F21" s="4" t="s">
        <v>258</v>
      </c>
      <c r="G21" s="6">
        <v>46287</v>
      </c>
      <c r="H21" s="4" t="s">
        <v>33</v>
      </c>
      <c r="I21" s="4" t="s">
        <v>34</v>
      </c>
      <c r="J21" s="4" t="s">
        <v>35</v>
      </c>
      <c r="K21" s="4" t="str">
        <f t="shared" ca="1" si="1"/>
        <v>Abierta</v>
      </c>
      <c r="L21" s="8"/>
      <c r="M21" s="8">
        <v>3250000</v>
      </c>
      <c r="N21" s="4" t="s">
        <v>51</v>
      </c>
      <c r="O21" s="4" t="s">
        <v>387</v>
      </c>
      <c r="P21" s="4" t="s">
        <v>189</v>
      </c>
      <c r="Q21" s="4" t="s">
        <v>38</v>
      </c>
      <c r="R21" s="4" t="s">
        <v>79</v>
      </c>
      <c r="S21" s="4" t="s">
        <v>388</v>
      </c>
      <c r="T21" s="4" t="s">
        <v>40</v>
      </c>
      <c r="U21" s="4" t="s">
        <v>389</v>
      </c>
      <c r="V21" s="4" t="s">
        <v>390</v>
      </c>
      <c r="W21" s="4" t="s">
        <v>391</v>
      </c>
      <c r="X21" s="4" t="s">
        <v>392</v>
      </c>
      <c r="Y21" s="4" t="s">
        <v>393</v>
      </c>
      <c r="Z21" s="4" t="s">
        <v>394</v>
      </c>
      <c r="AA21" s="4"/>
      <c r="AB21" s="6">
        <v>46220</v>
      </c>
      <c r="AC21" s="4" t="s">
        <v>395</v>
      </c>
      <c r="AD21" s="4" t="s">
        <v>396</v>
      </c>
    </row>
    <row r="22" spans="1:30" ht="71.25">
      <c r="A22" s="3" t="s">
        <v>472</v>
      </c>
      <c r="B22" s="4" t="s">
        <v>42</v>
      </c>
      <c r="C22" s="4" t="s">
        <v>397</v>
      </c>
      <c r="D22" s="4" t="s">
        <v>398</v>
      </c>
      <c r="E22" s="4" t="s">
        <v>55</v>
      </c>
      <c r="F22" s="4" t="s">
        <v>187</v>
      </c>
      <c r="G22" s="6">
        <v>46132</v>
      </c>
      <c r="H22" s="4" t="s">
        <v>33</v>
      </c>
      <c r="I22" s="4" t="s">
        <v>34</v>
      </c>
      <c r="J22" s="4" t="s">
        <v>50</v>
      </c>
      <c r="K22" s="4" t="str">
        <f t="shared" ca="1" si="1"/>
        <v>Cerrada</v>
      </c>
      <c r="L22" s="8"/>
      <c r="M22" s="8">
        <v>250000</v>
      </c>
      <c r="N22" s="4" t="s">
        <v>36</v>
      </c>
      <c r="O22" s="4" t="s">
        <v>399</v>
      </c>
      <c r="P22" s="4" t="s">
        <v>189</v>
      </c>
      <c r="Q22" s="4" t="s">
        <v>480</v>
      </c>
      <c r="R22" s="4" t="s">
        <v>79</v>
      </c>
      <c r="S22" s="4" t="s">
        <v>400</v>
      </c>
      <c r="T22" s="4" t="s">
        <v>40</v>
      </c>
      <c r="U22" s="4" t="s">
        <v>401</v>
      </c>
      <c r="V22" s="4" t="s">
        <v>402</v>
      </c>
      <c r="W22" s="4" t="s">
        <v>403</v>
      </c>
      <c r="X22" s="4" t="s">
        <v>404</v>
      </c>
      <c r="Y22" s="4" t="s">
        <v>405</v>
      </c>
      <c r="Z22" s="4" t="s">
        <v>406</v>
      </c>
      <c r="AA22" s="4"/>
      <c r="AB22" s="6">
        <v>46220</v>
      </c>
      <c r="AC22" s="4" t="s">
        <v>407</v>
      </c>
      <c r="AD22" s="4" t="s">
        <v>481</v>
      </c>
    </row>
    <row r="23" spans="1:30" ht="71.25">
      <c r="A23" s="3" t="s">
        <v>473</v>
      </c>
      <c r="B23" s="4" t="s">
        <v>42</v>
      </c>
      <c r="C23" s="4" t="s">
        <v>408</v>
      </c>
      <c r="D23" s="4" t="s">
        <v>386</v>
      </c>
      <c r="E23" s="4" t="s">
        <v>55</v>
      </c>
      <c r="F23" s="4" t="s">
        <v>258</v>
      </c>
      <c r="G23" s="6">
        <v>46287</v>
      </c>
      <c r="H23" s="4" t="s">
        <v>33</v>
      </c>
      <c r="I23" s="4" t="s">
        <v>34</v>
      </c>
      <c r="J23" s="4" t="s">
        <v>35</v>
      </c>
      <c r="K23" s="4" t="str">
        <f t="shared" ca="1" si="1"/>
        <v>Abierta</v>
      </c>
      <c r="L23" s="8"/>
      <c r="M23" s="8">
        <v>3250000</v>
      </c>
      <c r="N23" s="4" t="s">
        <v>51</v>
      </c>
      <c r="O23" s="4" t="s">
        <v>387</v>
      </c>
      <c r="P23" s="4" t="s">
        <v>189</v>
      </c>
      <c r="Q23" s="4" t="s">
        <v>490</v>
      </c>
      <c r="R23" s="4" t="s">
        <v>79</v>
      </c>
      <c r="S23" s="4" t="s">
        <v>388</v>
      </c>
      <c r="T23" s="4" t="s">
        <v>40</v>
      </c>
      <c r="U23" s="4" t="s">
        <v>409</v>
      </c>
      <c r="V23" s="4" t="s">
        <v>410</v>
      </c>
      <c r="W23" s="4" t="s">
        <v>411</v>
      </c>
      <c r="X23" s="4" t="s">
        <v>412</v>
      </c>
      <c r="Y23" s="4" t="s">
        <v>413</v>
      </c>
      <c r="Z23" s="4" t="s">
        <v>414</v>
      </c>
      <c r="AA23" s="4"/>
      <c r="AB23" s="6">
        <v>46220</v>
      </c>
      <c r="AC23" s="4" t="s">
        <v>415</v>
      </c>
      <c r="AD23" s="4" t="s">
        <v>416</v>
      </c>
    </row>
    <row r="24" spans="1:30" ht="57">
      <c r="A24" s="3" t="s">
        <v>474</v>
      </c>
      <c r="B24" s="4" t="s">
        <v>42</v>
      </c>
      <c r="C24" s="4" t="s">
        <v>417</v>
      </c>
      <c r="D24" s="4" t="s">
        <v>357</v>
      </c>
      <c r="E24" s="4" t="s">
        <v>55</v>
      </c>
      <c r="F24" s="4" t="s">
        <v>187</v>
      </c>
      <c r="G24" s="6">
        <v>46157</v>
      </c>
      <c r="H24" s="4" t="s">
        <v>33</v>
      </c>
      <c r="I24" s="4" t="s">
        <v>70</v>
      </c>
      <c r="J24" s="4" t="s">
        <v>50</v>
      </c>
      <c r="K24" s="4" t="str">
        <f t="shared" ca="1" si="1"/>
        <v>Cerrada</v>
      </c>
      <c r="L24" s="8"/>
      <c r="M24" s="8">
        <v>20000</v>
      </c>
      <c r="N24" s="4" t="s">
        <v>51</v>
      </c>
      <c r="O24" s="4" t="s">
        <v>281</v>
      </c>
      <c r="P24" s="4" t="s">
        <v>189</v>
      </c>
      <c r="Q24" s="4" t="s">
        <v>482</v>
      </c>
      <c r="R24" s="4" t="s">
        <v>483</v>
      </c>
      <c r="S24" s="4" t="s">
        <v>418</v>
      </c>
      <c r="T24" s="4" t="s">
        <v>40</v>
      </c>
      <c r="U24" s="4" t="s">
        <v>419</v>
      </c>
      <c r="V24" s="4" t="s">
        <v>420</v>
      </c>
      <c r="W24" s="4" t="s">
        <v>421</v>
      </c>
      <c r="X24" s="4" t="s">
        <v>422</v>
      </c>
      <c r="Y24" s="4" t="s">
        <v>423</v>
      </c>
      <c r="Z24" s="4" t="s">
        <v>424</v>
      </c>
      <c r="AA24" s="4"/>
      <c r="AB24" s="6">
        <v>46220</v>
      </c>
      <c r="AC24" s="4" t="s">
        <v>425</v>
      </c>
      <c r="AD24" s="4" t="s">
        <v>426</v>
      </c>
    </row>
    <row r="25" spans="1:30" ht="71.25">
      <c r="A25" s="3" t="s">
        <v>475</v>
      </c>
      <c r="B25" s="4" t="s">
        <v>42</v>
      </c>
      <c r="C25" s="4" t="s">
        <v>427</v>
      </c>
      <c r="D25" s="4" t="s">
        <v>428</v>
      </c>
      <c r="E25" s="4" t="s">
        <v>31</v>
      </c>
      <c r="F25" s="4" t="s">
        <v>32</v>
      </c>
      <c r="G25" s="6">
        <v>46357</v>
      </c>
      <c r="H25" s="4" t="s">
        <v>33</v>
      </c>
      <c r="I25" s="4" t="s">
        <v>57</v>
      </c>
      <c r="J25" s="4" t="s">
        <v>35</v>
      </c>
      <c r="K25" s="4" t="str">
        <f t="shared" ca="1" si="1"/>
        <v>Abierta</v>
      </c>
      <c r="L25" s="8">
        <v>15000</v>
      </c>
      <c r="M25" s="8">
        <v>500000</v>
      </c>
      <c r="N25" s="4" t="s">
        <v>36</v>
      </c>
      <c r="O25" s="4" t="s">
        <v>188</v>
      </c>
      <c r="P25" s="4" t="s">
        <v>189</v>
      </c>
      <c r="Q25" s="4" t="s">
        <v>484</v>
      </c>
      <c r="R25" s="4" t="s">
        <v>46</v>
      </c>
      <c r="S25" s="4" t="s">
        <v>40</v>
      </c>
      <c r="T25" s="4" t="s">
        <v>40</v>
      </c>
      <c r="U25" s="4" t="s">
        <v>429</v>
      </c>
      <c r="V25" s="4" t="s">
        <v>430</v>
      </c>
      <c r="W25" s="4" t="s">
        <v>431</v>
      </c>
      <c r="X25" s="4" t="s">
        <v>432</v>
      </c>
      <c r="Y25" s="4" t="s">
        <v>433</v>
      </c>
      <c r="Z25" s="4" t="s">
        <v>434</v>
      </c>
      <c r="AA25" s="4" t="s">
        <v>435</v>
      </c>
      <c r="AB25" s="6">
        <v>46220</v>
      </c>
      <c r="AC25" s="4" t="s">
        <v>436</v>
      </c>
      <c r="AD25" s="4" t="s">
        <v>437</v>
      </c>
    </row>
    <row r="26" spans="1:30" ht="71.25">
      <c r="A26" s="3" t="s">
        <v>476</v>
      </c>
      <c r="B26" s="4" t="s">
        <v>42</v>
      </c>
      <c r="C26" s="4" t="s">
        <v>438</v>
      </c>
      <c r="D26" s="4" t="s">
        <v>386</v>
      </c>
      <c r="E26" s="4" t="s">
        <v>55</v>
      </c>
      <c r="F26" s="4" t="s">
        <v>258</v>
      </c>
      <c r="G26" s="6">
        <v>46287</v>
      </c>
      <c r="H26" s="4" t="s">
        <v>33</v>
      </c>
      <c r="I26" s="4" t="s">
        <v>34</v>
      </c>
      <c r="J26" s="4" t="s">
        <v>35</v>
      </c>
      <c r="K26" s="4" t="str">
        <f t="shared" ca="1" si="1"/>
        <v>Abierta</v>
      </c>
      <c r="L26" s="8"/>
      <c r="M26" s="8">
        <v>7000000</v>
      </c>
      <c r="N26" s="4" t="s">
        <v>51</v>
      </c>
      <c r="O26" s="4" t="s">
        <v>387</v>
      </c>
      <c r="P26" s="4" t="s">
        <v>189</v>
      </c>
      <c r="Q26" s="4" t="s">
        <v>485</v>
      </c>
      <c r="R26" s="4" t="s">
        <v>79</v>
      </c>
      <c r="S26" s="4" t="s">
        <v>388</v>
      </c>
      <c r="T26" s="4" t="s">
        <v>40</v>
      </c>
      <c r="U26" s="4" t="s">
        <v>439</v>
      </c>
      <c r="V26" s="4" t="s">
        <v>440</v>
      </c>
      <c r="W26" s="4" t="s">
        <v>441</v>
      </c>
      <c r="X26" s="4" t="s">
        <v>442</v>
      </c>
      <c r="Y26" s="4" t="s">
        <v>443</v>
      </c>
      <c r="Z26" s="4" t="s">
        <v>444</v>
      </c>
      <c r="AA26" s="4"/>
      <c r="AB26" s="6">
        <v>46220</v>
      </c>
      <c r="AC26" s="4" t="s">
        <v>445</v>
      </c>
      <c r="AD26" s="4" t="s">
        <v>486</v>
      </c>
    </row>
    <row r="27" spans="1:30" ht="71.25">
      <c r="A27" s="3" t="s">
        <v>477</v>
      </c>
      <c r="B27" s="4" t="s">
        <v>42</v>
      </c>
      <c r="C27" s="4" t="s">
        <v>446</v>
      </c>
      <c r="D27" s="4" t="s">
        <v>386</v>
      </c>
      <c r="E27" s="4" t="s">
        <v>55</v>
      </c>
      <c r="F27" s="4" t="s">
        <v>258</v>
      </c>
      <c r="G27" s="6">
        <v>46287</v>
      </c>
      <c r="H27" s="4" t="s">
        <v>33</v>
      </c>
      <c r="I27" s="4" t="s">
        <v>34</v>
      </c>
      <c r="J27" s="4" t="s">
        <v>35</v>
      </c>
      <c r="K27" s="4" t="str">
        <f t="shared" ca="1" si="1"/>
        <v>Abierta</v>
      </c>
      <c r="L27" s="8"/>
      <c r="M27" s="8">
        <v>20000000</v>
      </c>
      <c r="N27" s="4" t="s">
        <v>51</v>
      </c>
      <c r="O27" s="4" t="s">
        <v>387</v>
      </c>
      <c r="P27" s="4" t="s">
        <v>189</v>
      </c>
      <c r="Q27" s="4" t="s">
        <v>487</v>
      </c>
      <c r="R27" s="4" t="s">
        <v>79</v>
      </c>
      <c r="S27" s="4" t="s">
        <v>388</v>
      </c>
      <c r="T27" s="4" t="s">
        <v>40</v>
      </c>
      <c r="U27" s="4" t="s">
        <v>447</v>
      </c>
      <c r="V27" s="4" t="s">
        <v>448</v>
      </c>
      <c r="W27" s="4" t="s">
        <v>449</v>
      </c>
      <c r="X27" s="4" t="s">
        <v>450</v>
      </c>
      <c r="Y27" s="4" t="s">
        <v>451</v>
      </c>
      <c r="Z27" s="4" t="s">
        <v>452</v>
      </c>
      <c r="AA27" s="4"/>
      <c r="AB27" s="6">
        <v>46220</v>
      </c>
      <c r="AC27" s="4" t="s">
        <v>453</v>
      </c>
      <c r="AD27" s="4" t="s">
        <v>491</v>
      </c>
    </row>
    <row r="28" spans="1:30" ht="71.25">
      <c r="A28" s="3" t="s">
        <v>478</v>
      </c>
      <c r="B28" s="4" t="s">
        <v>42</v>
      </c>
      <c r="C28" s="4" t="s">
        <v>454</v>
      </c>
      <c r="D28" s="4" t="s">
        <v>386</v>
      </c>
      <c r="E28" s="4" t="s">
        <v>55</v>
      </c>
      <c r="F28" s="4" t="s">
        <v>258</v>
      </c>
      <c r="G28" s="6">
        <v>46287</v>
      </c>
      <c r="H28" s="4" t="s">
        <v>33</v>
      </c>
      <c r="I28" s="4" t="s">
        <v>34</v>
      </c>
      <c r="J28" s="4" t="s">
        <v>35</v>
      </c>
      <c r="K28" s="4" t="str">
        <f t="shared" ca="1" si="1"/>
        <v>Abierta</v>
      </c>
      <c r="L28" s="8"/>
      <c r="M28" s="8">
        <v>20000000</v>
      </c>
      <c r="N28" s="4" t="s">
        <v>51</v>
      </c>
      <c r="O28" s="4" t="s">
        <v>387</v>
      </c>
      <c r="P28" s="4" t="s">
        <v>189</v>
      </c>
      <c r="Q28" s="4" t="s">
        <v>488</v>
      </c>
      <c r="R28" s="4" t="s">
        <v>79</v>
      </c>
      <c r="S28" s="4" t="s">
        <v>388</v>
      </c>
      <c r="T28" s="4" t="s">
        <v>40</v>
      </c>
      <c r="U28" s="4" t="s">
        <v>455</v>
      </c>
      <c r="V28" s="4" t="s">
        <v>456</v>
      </c>
      <c r="W28" s="4" t="s">
        <v>457</v>
      </c>
      <c r="X28" s="4" t="s">
        <v>458</v>
      </c>
      <c r="Y28" s="4" t="s">
        <v>459</v>
      </c>
      <c r="Z28" s="4" t="s">
        <v>460</v>
      </c>
      <c r="AA28" s="4"/>
      <c r="AB28" s="6">
        <v>46220</v>
      </c>
      <c r="AC28" s="4" t="s">
        <v>461</v>
      </c>
      <c r="AD28" s="4" t="s">
        <v>462</v>
      </c>
    </row>
    <row r="29" spans="1:30" ht="71.25">
      <c r="A29" s="3" t="s">
        <v>479</v>
      </c>
      <c r="B29" s="4" t="s">
        <v>42</v>
      </c>
      <c r="C29" s="4" t="s">
        <v>463</v>
      </c>
      <c r="D29" s="4" t="s">
        <v>386</v>
      </c>
      <c r="E29" s="4" t="s">
        <v>55</v>
      </c>
      <c r="F29" s="4" t="s">
        <v>258</v>
      </c>
      <c r="G29" s="6">
        <v>46287</v>
      </c>
      <c r="H29" s="4" t="s">
        <v>33</v>
      </c>
      <c r="I29" s="4" t="s">
        <v>34</v>
      </c>
      <c r="J29" s="4" t="s">
        <v>35</v>
      </c>
      <c r="K29" s="4" t="str">
        <f t="shared" ca="1" si="1"/>
        <v>Abierta</v>
      </c>
      <c r="L29" s="8"/>
      <c r="M29" s="8">
        <v>7000000</v>
      </c>
      <c r="N29" s="4" t="s">
        <v>51</v>
      </c>
      <c r="O29" s="4" t="s">
        <v>387</v>
      </c>
      <c r="P29" s="4" t="s">
        <v>189</v>
      </c>
      <c r="Q29" s="4" t="s">
        <v>489</v>
      </c>
      <c r="R29" s="4" t="s">
        <v>79</v>
      </c>
      <c r="S29" s="4" t="s">
        <v>388</v>
      </c>
      <c r="T29" s="4" t="s">
        <v>40</v>
      </c>
      <c r="U29" s="4" t="s">
        <v>464</v>
      </c>
      <c r="V29" s="4" t="s">
        <v>465</v>
      </c>
      <c r="W29" s="4" t="s">
        <v>466</v>
      </c>
      <c r="X29" s="4" t="s">
        <v>467</v>
      </c>
      <c r="Y29" s="4" t="s">
        <v>468</v>
      </c>
      <c r="Z29" s="4" t="s">
        <v>469</v>
      </c>
      <c r="AA29" s="4"/>
      <c r="AB29" s="6">
        <v>46220</v>
      </c>
      <c r="AC29" s="4" t="s">
        <v>470</v>
      </c>
      <c r="AD29" s="4" t="s">
        <v>492</v>
      </c>
    </row>
    <row r="30" spans="1:30" ht="71.25">
      <c r="A30" s="3" t="s">
        <v>534</v>
      </c>
      <c r="B30" s="4" t="s">
        <v>42</v>
      </c>
      <c r="C30" s="4" t="s">
        <v>493</v>
      </c>
      <c r="D30" s="4" t="s">
        <v>494</v>
      </c>
      <c r="E30" s="4" t="s">
        <v>55</v>
      </c>
      <c r="F30" s="4" t="s">
        <v>187</v>
      </c>
      <c r="G30" s="6">
        <v>46216</v>
      </c>
      <c r="H30" s="4" t="s">
        <v>33</v>
      </c>
      <c r="I30" s="4" t="s">
        <v>44</v>
      </c>
      <c r="J30" s="4" t="s">
        <v>50</v>
      </c>
      <c r="K30" s="4" t="str">
        <f t="shared" ca="1" si="1"/>
        <v>Cerrada</v>
      </c>
      <c r="L30" s="8"/>
      <c r="M30" s="8">
        <v>50000</v>
      </c>
      <c r="N30" s="4" t="s">
        <v>36</v>
      </c>
      <c r="O30" s="4" t="s">
        <v>533</v>
      </c>
      <c r="P30" s="4" t="s">
        <v>189</v>
      </c>
      <c r="Q30" s="4" t="s">
        <v>495</v>
      </c>
      <c r="R30" s="4" t="s">
        <v>46</v>
      </c>
      <c r="S30" s="4" t="s">
        <v>496</v>
      </c>
      <c r="T30" s="4" t="s">
        <v>40</v>
      </c>
      <c r="U30" s="4" t="s">
        <v>497</v>
      </c>
      <c r="V30" s="4" t="s">
        <v>498</v>
      </c>
      <c r="W30" s="4" t="s">
        <v>499</v>
      </c>
      <c r="X30" s="4" t="s">
        <v>500</v>
      </c>
      <c r="Y30" s="4" t="s">
        <v>501</v>
      </c>
      <c r="Z30" s="4" t="s">
        <v>502</v>
      </c>
      <c r="AA30" s="4"/>
      <c r="AB30" s="6">
        <v>46220</v>
      </c>
      <c r="AC30" s="4" t="s">
        <v>503</v>
      </c>
      <c r="AD30" s="4" t="s">
        <v>504</v>
      </c>
    </row>
    <row r="31" spans="1:30" ht="71.25">
      <c r="A31" s="3" t="s">
        <v>535</v>
      </c>
      <c r="B31" s="4" t="s">
        <v>42</v>
      </c>
      <c r="C31" s="4" t="s">
        <v>505</v>
      </c>
      <c r="D31" s="4" t="s">
        <v>357</v>
      </c>
      <c r="E31" s="4" t="s">
        <v>55</v>
      </c>
      <c r="F31" s="4" t="s">
        <v>187</v>
      </c>
      <c r="G31" s="6">
        <v>46157</v>
      </c>
      <c r="H31" s="4" t="s">
        <v>33</v>
      </c>
      <c r="I31" s="4" t="s">
        <v>34</v>
      </c>
      <c r="J31" s="4" t="s">
        <v>50</v>
      </c>
      <c r="K31" s="4" t="str">
        <f t="shared" ca="1" si="1"/>
        <v>Cerrada</v>
      </c>
      <c r="L31" s="8"/>
      <c r="M31" s="8">
        <v>20000</v>
      </c>
      <c r="N31" s="4" t="s">
        <v>51</v>
      </c>
      <c r="O31" s="4" t="s">
        <v>281</v>
      </c>
      <c r="P31" s="4" t="s">
        <v>189</v>
      </c>
      <c r="Q31" s="4" t="s">
        <v>506</v>
      </c>
      <c r="R31" s="4" t="s">
        <v>79</v>
      </c>
      <c r="S31" s="4" t="s">
        <v>418</v>
      </c>
      <c r="T31" s="4" t="s">
        <v>40</v>
      </c>
      <c r="U31" s="4" t="s">
        <v>507</v>
      </c>
      <c r="V31" s="4" t="s">
        <v>508</v>
      </c>
      <c r="W31" s="4" t="s">
        <v>509</v>
      </c>
      <c r="X31" s="4" t="s">
        <v>510</v>
      </c>
      <c r="Y31" s="4" t="s">
        <v>511</v>
      </c>
      <c r="Z31" s="4" t="s">
        <v>424</v>
      </c>
      <c r="AA31" s="4"/>
      <c r="AB31" s="6">
        <v>46220</v>
      </c>
      <c r="AC31" s="4" t="s">
        <v>512</v>
      </c>
      <c r="AD31" s="4" t="s">
        <v>513</v>
      </c>
    </row>
    <row r="32" spans="1:30" ht="71.25">
      <c r="A32" s="3" t="s">
        <v>536</v>
      </c>
      <c r="B32" s="4" t="s">
        <v>42</v>
      </c>
      <c r="C32" s="4" t="s">
        <v>514</v>
      </c>
      <c r="D32" s="4" t="s">
        <v>357</v>
      </c>
      <c r="E32" s="4" t="s">
        <v>55</v>
      </c>
      <c r="F32" s="4" t="s">
        <v>187</v>
      </c>
      <c r="G32" s="6">
        <v>46157</v>
      </c>
      <c r="H32" s="4" t="s">
        <v>33</v>
      </c>
      <c r="I32" s="4" t="s">
        <v>34</v>
      </c>
      <c r="J32" s="4" t="s">
        <v>50</v>
      </c>
      <c r="K32" s="4" t="str">
        <f t="shared" ca="1" si="1"/>
        <v>Cerrada</v>
      </c>
      <c r="L32" s="8"/>
      <c r="M32" s="8">
        <v>20000</v>
      </c>
      <c r="N32" s="4" t="s">
        <v>51</v>
      </c>
      <c r="O32" s="4" t="s">
        <v>281</v>
      </c>
      <c r="P32" s="4" t="s">
        <v>189</v>
      </c>
      <c r="Q32" s="4" t="s">
        <v>515</v>
      </c>
      <c r="R32" s="4" t="s">
        <v>79</v>
      </c>
      <c r="S32" s="4" t="s">
        <v>418</v>
      </c>
      <c r="T32" s="4" t="s">
        <v>40</v>
      </c>
      <c r="U32" s="4" t="s">
        <v>516</v>
      </c>
      <c r="V32" s="4" t="s">
        <v>517</v>
      </c>
      <c r="W32" s="4" t="s">
        <v>518</v>
      </c>
      <c r="X32" s="4" t="s">
        <v>519</v>
      </c>
      <c r="Y32" s="4" t="s">
        <v>520</v>
      </c>
      <c r="Z32" s="4" t="s">
        <v>424</v>
      </c>
      <c r="AA32" s="4"/>
      <c r="AB32" s="6">
        <v>46220</v>
      </c>
      <c r="AC32" s="4" t="s">
        <v>512</v>
      </c>
      <c r="AD32" s="4" t="s">
        <v>538</v>
      </c>
    </row>
    <row r="33" spans="1:30" ht="71.25">
      <c r="A33" s="3" t="s">
        <v>537</v>
      </c>
      <c r="B33" s="4" t="s">
        <v>42</v>
      </c>
      <c r="C33" s="4" t="s">
        <v>521</v>
      </c>
      <c r="D33" s="4" t="s">
        <v>522</v>
      </c>
      <c r="E33" s="4" t="s">
        <v>80</v>
      </c>
      <c r="F33" s="4" t="s">
        <v>32</v>
      </c>
      <c r="G33" s="6">
        <v>46357</v>
      </c>
      <c r="H33" s="4" t="s">
        <v>33</v>
      </c>
      <c r="I33" s="4" t="s">
        <v>70</v>
      </c>
      <c r="J33" s="4" t="s">
        <v>35</v>
      </c>
      <c r="K33" s="4" t="str">
        <f t="shared" ca="1" si="1"/>
        <v>Abierta</v>
      </c>
      <c r="L33" s="8"/>
      <c r="M33" s="8">
        <v>5000</v>
      </c>
      <c r="N33" s="4" t="s">
        <v>36</v>
      </c>
      <c r="O33" s="4"/>
      <c r="P33" s="4" t="s">
        <v>60</v>
      </c>
      <c r="Q33" s="4" t="s">
        <v>523</v>
      </c>
      <c r="R33" s="4" t="s">
        <v>524</v>
      </c>
      <c r="S33" s="4" t="s">
        <v>40</v>
      </c>
      <c r="T33" s="4" t="s">
        <v>40</v>
      </c>
      <c r="U33" s="4" t="s">
        <v>525</v>
      </c>
      <c r="V33" s="4" t="s">
        <v>526</v>
      </c>
      <c r="W33" s="4" t="s">
        <v>527</v>
      </c>
      <c r="X33" s="4" t="s">
        <v>528</v>
      </c>
      <c r="Y33" s="4" t="s">
        <v>529</v>
      </c>
      <c r="Z33" s="4" t="s">
        <v>530</v>
      </c>
      <c r="AA33" s="4"/>
      <c r="AB33" s="6">
        <v>46220</v>
      </c>
      <c r="AC33" s="4" t="s">
        <v>531</v>
      </c>
      <c r="AD33" s="4" t="s">
        <v>532</v>
      </c>
    </row>
    <row r="34" spans="1:30" ht="71.25">
      <c r="A34" s="3" t="s">
        <v>595</v>
      </c>
      <c r="B34" s="4" t="s">
        <v>42</v>
      </c>
      <c r="C34" s="4" t="s">
        <v>539</v>
      </c>
      <c r="D34" s="4" t="s">
        <v>540</v>
      </c>
      <c r="E34" s="4" t="s">
        <v>80</v>
      </c>
      <c r="F34" s="4" t="s">
        <v>32</v>
      </c>
      <c r="G34" s="6">
        <v>46264</v>
      </c>
      <c r="H34" s="4" t="s">
        <v>33</v>
      </c>
      <c r="I34" s="4" t="s">
        <v>49</v>
      </c>
      <c r="J34" s="4" t="s">
        <v>35</v>
      </c>
      <c r="K34" s="4" t="str">
        <f t="shared" ca="1" si="1"/>
        <v>Abierta</v>
      </c>
      <c r="L34" s="8"/>
      <c r="M34" s="8">
        <v>50000</v>
      </c>
      <c r="N34" s="4" t="s">
        <v>36</v>
      </c>
      <c r="O34" s="4" t="s">
        <v>541</v>
      </c>
      <c r="P34" s="4" t="s">
        <v>189</v>
      </c>
      <c r="Q34" s="4" t="s">
        <v>542</v>
      </c>
      <c r="R34" s="4" t="s">
        <v>543</v>
      </c>
      <c r="S34" s="4" t="s">
        <v>187</v>
      </c>
      <c r="T34" s="4" t="s">
        <v>40</v>
      </c>
      <c r="U34" s="4" t="s">
        <v>544</v>
      </c>
      <c r="V34" s="4" t="s">
        <v>545</v>
      </c>
      <c r="W34" s="4" t="s">
        <v>546</v>
      </c>
      <c r="X34" s="4" t="s">
        <v>547</v>
      </c>
      <c r="Y34" s="4" t="s">
        <v>548</v>
      </c>
      <c r="Z34" s="4" t="s">
        <v>549</v>
      </c>
      <c r="AA34" s="4"/>
      <c r="AB34" s="6">
        <v>46220</v>
      </c>
      <c r="AC34" s="4" t="s">
        <v>550</v>
      </c>
      <c r="AD34" s="4" t="s">
        <v>600</v>
      </c>
    </row>
    <row r="35" spans="1:30" ht="71.25">
      <c r="A35" s="3" t="s">
        <v>596</v>
      </c>
      <c r="B35" s="4" t="s">
        <v>42</v>
      </c>
      <c r="C35" s="4" t="s">
        <v>551</v>
      </c>
      <c r="D35" s="4" t="s">
        <v>552</v>
      </c>
      <c r="E35" s="4" t="s">
        <v>80</v>
      </c>
      <c r="F35" s="4" t="s">
        <v>187</v>
      </c>
      <c r="G35" s="6">
        <v>46295</v>
      </c>
      <c r="H35" s="4" t="s">
        <v>33</v>
      </c>
      <c r="I35" s="4" t="s">
        <v>70</v>
      </c>
      <c r="J35" s="4" t="s">
        <v>35</v>
      </c>
      <c r="K35" s="4" t="str">
        <f t="shared" ca="1" si="1"/>
        <v>Abierta</v>
      </c>
      <c r="L35" s="8"/>
      <c r="M35" s="8">
        <v>2500</v>
      </c>
      <c r="N35" s="4" t="s">
        <v>51</v>
      </c>
      <c r="O35" s="4" t="s">
        <v>553</v>
      </c>
      <c r="P35" s="4" t="s">
        <v>189</v>
      </c>
      <c r="Q35" s="4" t="s">
        <v>554</v>
      </c>
      <c r="R35" s="4" t="s">
        <v>555</v>
      </c>
      <c r="S35" s="4" t="s">
        <v>187</v>
      </c>
      <c r="T35" s="4" t="s">
        <v>40</v>
      </c>
      <c r="U35" s="4" t="s">
        <v>556</v>
      </c>
      <c r="V35" s="4" t="s">
        <v>557</v>
      </c>
      <c r="W35" s="4" t="s">
        <v>558</v>
      </c>
      <c r="X35" s="4" t="s">
        <v>559</v>
      </c>
      <c r="Y35" s="4" t="s">
        <v>560</v>
      </c>
      <c r="Z35" s="4" t="s">
        <v>561</v>
      </c>
      <c r="AA35" s="4"/>
      <c r="AB35" s="6">
        <v>46220</v>
      </c>
      <c r="AC35" s="4" t="s">
        <v>552</v>
      </c>
      <c r="AD35" s="4" t="s">
        <v>562</v>
      </c>
    </row>
    <row r="36" spans="1:30" ht="71.25">
      <c r="A36" s="3" t="s">
        <v>597</v>
      </c>
      <c r="B36" s="4" t="s">
        <v>42</v>
      </c>
      <c r="C36" s="4" t="s">
        <v>563</v>
      </c>
      <c r="D36" s="4" t="s">
        <v>552</v>
      </c>
      <c r="E36" s="4" t="s">
        <v>80</v>
      </c>
      <c r="F36" s="4" t="s">
        <v>187</v>
      </c>
      <c r="G36" s="6">
        <v>46295</v>
      </c>
      <c r="H36" s="4" t="s">
        <v>33</v>
      </c>
      <c r="I36" s="4" t="s">
        <v>70</v>
      </c>
      <c r="J36" s="4" t="s">
        <v>35</v>
      </c>
      <c r="K36" s="4" t="str">
        <f t="shared" ca="1" si="1"/>
        <v>Abierta</v>
      </c>
      <c r="L36" s="8"/>
      <c r="M36" s="8">
        <v>10000</v>
      </c>
      <c r="N36" s="4" t="s">
        <v>51</v>
      </c>
      <c r="O36" s="4" t="s">
        <v>387</v>
      </c>
      <c r="P36" s="4" t="s">
        <v>189</v>
      </c>
      <c r="Q36" s="4" t="s">
        <v>564</v>
      </c>
      <c r="R36" s="4" t="s">
        <v>565</v>
      </c>
      <c r="S36" s="4" t="s">
        <v>566</v>
      </c>
      <c r="T36" s="4" t="s">
        <v>40</v>
      </c>
      <c r="U36" s="4" t="s">
        <v>567</v>
      </c>
      <c r="V36" s="4" t="s">
        <v>568</v>
      </c>
      <c r="W36" s="4" t="s">
        <v>569</v>
      </c>
      <c r="X36" s="4" t="s">
        <v>570</v>
      </c>
      <c r="Y36" s="4" t="s">
        <v>571</v>
      </c>
      <c r="Z36" s="4" t="s">
        <v>561</v>
      </c>
      <c r="AA36" s="4"/>
      <c r="AB36" s="6">
        <v>46220</v>
      </c>
      <c r="AC36" s="4" t="s">
        <v>572</v>
      </c>
      <c r="AD36" s="4" t="s">
        <v>573</v>
      </c>
    </row>
    <row r="37" spans="1:30" ht="85.5">
      <c r="A37" s="3" t="s">
        <v>598</v>
      </c>
      <c r="B37" s="4" t="s">
        <v>42</v>
      </c>
      <c r="C37" s="4" t="s">
        <v>574</v>
      </c>
      <c r="D37" s="4" t="s">
        <v>575</v>
      </c>
      <c r="E37" s="4" t="s">
        <v>31</v>
      </c>
      <c r="F37" s="4" t="s">
        <v>202</v>
      </c>
      <c r="G37" s="6"/>
      <c r="H37" s="4" t="s">
        <v>56</v>
      </c>
      <c r="I37" s="4" t="s">
        <v>70</v>
      </c>
      <c r="J37" s="4" t="s">
        <v>35</v>
      </c>
      <c r="K37" s="4" t="str">
        <f t="shared" ca="1" si="1"/>
        <v>Sin fecha</v>
      </c>
      <c r="L37" s="8"/>
      <c r="M37" s="8">
        <v>7000</v>
      </c>
      <c r="N37" s="4" t="s">
        <v>59</v>
      </c>
      <c r="O37" s="4" t="s">
        <v>387</v>
      </c>
      <c r="P37" s="4" t="s">
        <v>189</v>
      </c>
      <c r="Q37" s="4" t="s">
        <v>576</v>
      </c>
      <c r="R37" s="4" t="s">
        <v>577</v>
      </c>
      <c r="S37" s="4" t="s">
        <v>135</v>
      </c>
      <c r="T37" s="4" t="s">
        <v>40</v>
      </c>
      <c r="U37" s="4" t="s">
        <v>578</v>
      </c>
      <c r="V37" s="4" t="s">
        <v>579</v>
      </c>
      <c r="W37" s="4" t="s">
        <v>580</v>
      </c>
      <c r="X37" s="4" t="s">
        <v>581</v>
      </c>
      <c r="Y37" s="4" t="s">
        <v>582</v>
      </c>
      <c r="Z37" s="4" t="s">
        <v>583</v>
      </c>
      <c r="AA37" s="4"/>
      <c r="AB37" s="6">
        <v>46220</v>
      </c>
      <c r="AC37" s="4" t="s">
        <v>575</v>
      </c>
      <c r="AD37" s="4" t="s">
        <v>584</v>
      </c>
    </row>
    <row r="38" spans="1:30" ht="85.5">
      <c r="A38" s="3" t="s">
        <v>599</v>
      </c>
      <c r="B38" s="4" t="s">
        <v>42</v>
      </c>
      <c r="C38" s="4" t="s">
        <v>585</v>
      </c>
      <c r="D38" s="4" t="s">
        <v>586</v>
      </c>
      <c r="E38" s="4" t="s">
        <v>80</v>
      </c>
      <c r="F38" s="4" t="s">
        <v>32</v>
      </c>
      <c r="G38" s="6">
        <v>46094</v>
      </c>
      <c r="H38" s="4" t="s">
        <v>33</v>
      </c>
      <c r="I38" s="4" t="s">
        <v>70</v>
      </c>
      <c r="J38" s="4" t="s">
        <v>50</v>
      </c>
      <c r="K38" s="4" t="str">
        <f t="shared" ca="1" si="1"/>
        <v>Cerrada</v>
      </c>
      <c r="L38" s="8"/>
      <c r="M38" s="8">
        <v>10000</v>
      </c>
      <c r="N38" s="4" t="s">
        <v>36</v>
      </c>
      <c r="O38" s="4" t="s">
        <v>138</v>
      </c>
      <c r="P38" s="4" t="s">
        <v>189</v>
      </c>
      <c r="Q38" s="4" t="s">
        <v>587</v>
      </c>
      <c r="R38" s="4" t="s">
        <v>74</v>
      </c>
      <c r="S38" s="4" t="s">
        <v>187</v>
      </c>
      <c r="T38" s="4" t="s">
        <v>40</v>
      </c>
      <c r="U38" s="4" t="s">
        <v>588</v>
      </c>
      <c r="V38" s="4" t="s">
        <v>589</v>
      </c>
      <c r="W38" s="4" t="s">
        <v>590</v>
      </c>
      <c r="X38" s="4" t="s">
        <v>591</v>
      </c>
      <c r="Y38" s="4" t="s">
        <v>592</v>
      </c>
      <c r="Z38" s="4" t="s">
        <v>593</v>
      </c>
      <c r="AA38" s="4"/>
      <c r="AB38" s="6">
        <v>46220</v>
      </c>
      <c r="AC38" s="4" t="s">
        <v>594</v>
      </c>
      <c r="AD38" s="4" t="s">
        <v>601</v>
      </c>
    </row>
    <row r="39" spans="1:30" ht="128.25" customHeight="1">
      <c r="A39" s="3" t="s">
        <v>653</v>
      </c>
      <c r="B39" s="4" t="s">
        <v>42</v>
      </c>
      <c r="C39" s="4" t="s">
        <v>602</v>
      </c>
      <c r="D39" s="4" t="s">
        <v>603</v>
      </c>
      <c r="E39" s="4" t="s">
        <v>80</v>
      </c>
      <c r="F39" s="4" t="s">
        <v>136</v>
      </c>
      <c r="G39" s="6">
        <v>46142</v>
      </c>
      <c r="H39" s="4" t="s">
        <v>33</v>
      </c>
      <c r="I39" s="4" t="s">
        <v>70</v>
      </c>
      <c r="J39" s="4" t="s">
        <v>50</v>
      </c>
      <c r="K39" s="4" t="str">
        <f t="shared" ca="1" si="1"/>
        <v>Cerrada</v>
      </c>
      <c r="L39" s="8">
        <v>15000</v>
      </c>
      <c r="M39" s="8">
        <v>15000</v>
      </c>
      <c r="N39" s="4" t="s">
        <v>51</v>
      </c>
      <c r="O39" s="4" t="s">
        <v>188</v>
      </c>
      <c r="P39" s="4" t="s">
        <v>52</v>
      </c>
      <c r="Q39" s="4" t="s">
        <v>61</v>
      </c>
      <c r="R39" s="4" t="s">
        <v>74</v>
      </c>
      <c r="S39" s="4" t="s">
        <v>604</v>
      </c>
      <c r="T39" s="4" t="s">
        <v>605</v>
      </c>
      <c r="U39" s="4" t="s">
        <v>606</v>
      </c>
      <c r="V39" s="4" t="s">
        <v>607</v>
      </c>
      <c r="W39" s="4" t="s">
        <v>608</v>
      </c>
      <c r="X39" s="4" t="s">
        <v>609</v>
      </c>
      <c r="Y39" s="4" t="s">
        <v>610</v>
      </c>
      <c r="Z39" s="4" t="s">
        <v>611</v>
      </c>
      <c r="AA39" s="4"/>
      <c r="AB39" s="6">
        <v>46223</v>
      </c>
      <c r="AC39" s="4" t="s">
        <v>603</v>
      </c>
      <c r="AD39" s="4" t="s">
        <v>612</v>
      </c>
    </row>
    <row r="40" spans="1:30" ht="128.25" customHeight="1">
      <c r="A40" s="3" t="s">
        <v>654</v>
      </c>
      <c r="B40" s="4" t="s">
        <v>42</v>
      </c>
      <c r="C40" s="4" t="s">
        <v>613</v>
      </c>
      <c r="D40" s="4" t="s">
        <v>614</v>
      </c>
      <c r="E40" s="4" t="s">
        <v>80</v>
      </c>
      <c r="F40" s="4" t="s">
        <v>32</v>
      </c>
      <c r="G40" s="6">
        <v>46204</v>
      </c>
      <c r="H40" s="4" t="s">
        <v>33</v>
      </c>
      <c r="I40" s="4" t="s">
        <v>70</v>
      </c>
      <c r="J40" s="4" t="s">
        <v>50</v>
      </c>
      <c r="K40" s="4" t="str">
        <f t="shared" ca="1" si="1"/>
        <v>Cerrada</v>
      </c>
      <c r="L40" s="8"/>
      <c r="M40" s="8">
        <v>7000</v>
      </c>
      <c r="N40" s="4" t="s">
        <v>36</v>
      </c>
      <c r="O40" s="4" t="s">
        <v>188</v>
      </c>
      <c r="P40" s="4" t="s">
        <v>189</v>
      </c>
      <c r="Q40" s="4" t="s">
        <v>53</v>
      </c>
      <c r="R40" s="4" t="s">
        <v>74</v>
      </c>
      <c r="S40" s="4" t="s">
        <v>187</v>
      </c>
      <c r="T40" s="4" t="s">
        <v>615</v>
      </c>
      <c r="U40" s="4" t="s">
        <v>616</v>
      </c>
      <c r="V40" s="4" t="s">
        <v>617</v>
      </c>
      <c r="W40" s="4" t="s">
        <v>618</v>
      </c>
      <c r="X40" s="4" t="s">
        <v>619</v>
      </c>
      <c r="Y40" s="4" t="s">
        <v>620</v>
      </c>
      <c r="Z40" s="4" t="s">
        <v>621</v>
      </c>
      <c r="AA40" s="4"/>
      <c r="AB40" s="6">
        <v>46223</v>
      </c>
      <c r="AC40" s="4" t="s">
        <v>614</v>
      </c>
      <c r="AD40" s="4" t="s">
        <v>622</v>
      </c>
    </row>
    <row r="41" spans="1:30" ht="128.25" customHeight="1">
      <c r="A41" s="3" t="s">
        <v>655</v>
      </c>
      <c r="B41" s="4" t="s">
        <v>42</v>
      </c>
      <c r="C41" s="4" t="s">
        <v>623</v>
      </c>
      <c r="D41" s="4" t="s">
        <v>614</v>
      </c>
      <c r="E41" s="4" t="s">
        <v>80</v>
      </c>
      <c r="F41" s="4" t="s">
        <v>32</v>
      </c>
      <c r="G41" s="6">
        <v>46204</v>
      </c>
      <c r="H41" s="4" t="s">
        <v>33</v>
      </c>
      <c r="I41" s="4" t="s">
        <v>70</v>
      </c>
      <c r="J41" s="4" t="s">
        <v>50</v>
      </c>
      <c r="K41" s="4" t="str">
        <f t="shared" ca="1" si="1"/>
        <v>Cerrada</v>
      </c>
      <c r="L41" s="8"/>
      <c r="M41" s="8">
        <v>32500</v>
      </c>
      <c r="N41" s="4" t="s">
        <v>36</v>
      </c>
      <c r="O41" s="4" t="s">
        <v>188</v>
      </c>
      <c r="P41" s="4" t="s">
        <v>189</v>
      </c>
      <c r="Q41" s="4" t="s">
        <v>67</v>
      </c>
      <c r="R41" s="4" t="s">
        <v>46</v>
      </c>
      <c r="S41" s="4" t="s">
        <v>624</v>
      </c>
      <c r="T41" s="4" t="s">
        <v>625</v>
      </c>
      <c r="U41" s="4" t="s">
        <v>626</v>
      </c>
      <c r="V41" s="4" t="s">
        <v>627</v>
      </c>
      <c r="W41" s="4" t="s">
        <v>628</v>
      </c>
      <c r="X41" s="4" t="s">
        <v>629</v>
      </c>
      <c r="Y41" s="4" t="s">
        <v>630</v>
      </c>
      <c r="Z41" s="4" t="s">
        <v>621</v>
      </c>
      <c r="AA41" s="4"/>
      <c r="AB41" s="6">
        <v>46223</v>
      </c>
      <c r="AC41" s="4" t="s">
        <v>614</v>
      </c>
      <c r="AD41" s="4" t="s">
        <v>631</v>
      </c>
    </row>
    <row r="42" spans="1:30" ht="128.25" customHeight="1">
      <c r="A42" s="3" t="s">
        <v>656</v>
      </c>
      <c r="B42" s="4" t="s">
        <v>42</v>
      </c>
      <c r="C42" s="4" t="s">
        <v>632</v>
      </c>
      <c r="D42" s="4" t="s">
        <v>633</v>
      </c>
      <c r="E42" s="4" t="s">
        <v>31</v>
      </c>
      <c r="F42" s="4" t="s">
        <v>187</v>
      </c>
      <c r="G42" s="6">
        <v>46341</v>
      </c>
      <c r="H42" s="4" t="s">
        <v>33</v>
      </c>
      <c r="I42" s="4" t="s">
        <v>70</v>
      </c>
      <c r="J42" s="4" t="s">
        <v>35</v>
      </c>
      <c r="K42" s="4" t="str">
        <f t="shared" ca="1" si="1"/>
        <v>Abierta</v>
      </c>
      <c r="L42" s="8">
        <v>1500</v>
      </c>
      <c r="M42" s="8">
        <v>20000</v>
      </c>
      <c r="N42" s="4" t="s">
        <v>36</v>
      </c>
      <c r="O42" s="4" t="s">
        <v>634</v>
      </c>
      <c r="P42" s="4" t="s">
        <v>52</v>
      </c>
      <c r="Q42" s="4" t="s">
        <v>61</v>
      </c>
      <c r="R42" s="4" t="s">
        <v>74</v>
      </c>
      <c r="S42" s="4" t="s">
        <v>187</v>
      </c>
      <c r="T42" s="4" t="s">
        <v>635</v>
      </c>
      <c r="U42" s="4" t="s">
        <v>636</v>
      </c>
      <c r="V42" s="4" t="s">
        <v>637</v>
      </c>
      <c r="W42" s="4" t="s">
        <v>638</v>
      </c>
      <c r="X42" s="4" t="s">
        <v>639</v>
      </c>
      <c r="Y42" s="4" t="s">
        <v>640</v>
      </c>
      <c r="Z42" s="4" t="s">
        <v>641</v>
      </c>
      <c r="AA42" s="4"/>
      <c r="AB42" s="6">
        <v>46223</v>
      </c>
      <c r="AC42" s="4" t="s">
        <v>642</v>
      </c>
      <c r="AD42" s="4" t="s">
        <v>643</v>
      </c>
    </row>
    <row r="43" spans="1:30" ht="128.25" customHeight="1">
      <c r="A43" s="3" t="s">
        <v>657</v>
      </c>
      <c r="B43" s="4" t="s">
        <v>42</v>
      </c>
      <c r="C43" s="4" t="s">
        <v>644</v>
      </c>
      <c r="D43" s="4" t="s">
        <v>633</v>
      </c>
      <c r="E43" s="4" t="s">
        <v>31</v>
      </c>
      <c r="F43" s="4" t="s">
        <v>187</v>
      </c>
      <c r="G43" s="6">
        <v>46265</v>
      </c>
      <c r="H43" s="4" t="s">
        <v>33</v>
      </c>
      <c r="I43" s="4" t="s">
        <v>34</v>
      </c>
      <c r="J43" s="4" t="s">
        <v>35</v>
      </c>
      <c r="K43" s="4" t="str">
        <f t="shared" ca="1" si="1"/>
        <v>Abierta</v>
      </c>
      <c r="L43" s="8"/>
      <c r="M43" s="8">
        <v>200000</v>
      </c>
      <c r="N43" s="4" t="s">
        <v>36</v>
      </c>
      <c r="O43" s="4" t="s">
        <v>645</v>
      </c>
      <c r="P43" s="4" t="s">
        <v>189</v>
      </c>
      <c r="Q43" s="4" t="s">
        <v>67</v>
      </c>
      <c r="R43" s="4" t="s">
        <v>46</v>
      </c>
      <c r="S43" s="4" t="s">
        <v>187</v>
      </c>
      <c r="T43" s="4" t="s">
        <v>635</v>
      </c>
      <c r="U43" s="4" t="s">
        <v>646</v>
      </c>
      <c r="V43" s="4" t="s">
        <v>647</v>
      </c>
      <c r="W43" s="4" t="s">
        <v>648</v>
      </c>
      <c r="X43" s="4" t="s">
        <v>649</v>
      </c>
      <c r="Y43" s="4" t="s">
        <v>650</v>
      </c>
      <c r="Z43" s="4" t="s">
        <v>651</v>
      </c>
      <c r="AA43" s="4"/>
      <c r="AB43" s="6">
        <v>46223</v>
      </c>
      <c r="AC43" s="4" t="s">
        <v>642</v>
      </c>
      <c r="AD43" s="4" t="s">
        <v>652</v>
      </c>
    </row>
    <row r="44" spans="1:30" ht="85.5">
      <c r="A44" s="3" t="s">
        <v>747</v>
      </c>
      <c r="B44" s="4" t="s">
        <v>42</v>
      </c>
      <c r="C44" s="4" t="s">
        <v>658</v>
      </c>
      <c r="D44" s="4" t="s">
        <v>659</v>
      </c>
      <c r="E44" s="4" t="s">
        <v>47</v>
      </c>
      <c r="F44" s="4" t="s">
        <v>32</v>
      </c>
      <c r="G44" s="6">
        <v>46237</v>
      </c>
      <c r="H44" s="4" t="s">
        <v>33</v>
      </c>
      <c r="I44" s="4" t="s">
        <v>49</v>
      </c>
      <c r="J44" s="4" t="s">
        <v>35</v>
      </c>
      <c r="K44" s="4" t="str">
        <f t="shared" ca="1" si="1"/>
        <v>Próxima a vencer</v>
      </c>
      <c r="L44" s="8"/>
      <c r="M44" s="8">
        <v>800000</v>
      </c>
      <c r="N44" s="4" t="s">
        <v>36</v>
      </c>
      <c r="O44" s="4" t="s">
        <v>660</v>
      </c>
      <c r="P44" s="4" t="s">
        <v>189</v>
      </c>
      <c r="Q44" s="4" t="s">
        <v>661</v>
      </c>
      <c r="R44" s="4" t="s">
        <v>662</v>
      </c>
      <c r="S44" s="4" t="s">
        <v>663</v>
      </c>
      <c r="T44" s="4" t="s">
        <v>664</v>
      </c>
      <c r="U44" s="4" t="s">
        <v>665</v>
      </c>
      <c r="V44" s="4" t="s">
        <v>768</v>
      </c>
      <c r="W44" s="4" t="s">
        <v>666</v>
      </c>
      <c r="X44" s="4" t="s">
        <v>667</v>
      </c>
      <c r="Y44" s="4" t="s">
        <v>668</v>
      </c>
      <c r="Z44" s="4" t="s">
        <v>669</v>
      </c>
      <c r="AA44" s="4"/>
      <c r="AB44" s="6">
        <v>46223</v>
      </c>
      <c r="AC44" s="4" t="s">
        <v>670</v>
      </c>
      <c r="AD44" s="4" t="s">
        <v>761</v>
      </c>
    </row>
    <row r="45" spans="1:30" ht="85.5">
      <c r="A45" s="3" t="s">
        <v>748</v>
      </c>
      <c r="B45" s="4" t="s">
        <v>42</v>
      </c>
      <c r="C45" s="4" t="s">
        <v>671</v>
      </c>
      <c r="D45" s="4" t="s">
        <v>672</v>
      </c>
      <c r="E45" s="4" t="s">
        <v>47</v>
      </c>
      <c r="F45" s="4" t="s">
        <v>32</v>
      </c>
      <c r="G45" s="6">
        <v>46226</v>
      </c>
      <c r="H45" s="4" t="s">
        <v>33</v>
      </c>
      <c r="I45" s="4" t="s">
        <v>49</v>
      </c>
      <c r="J45" s="4" t="s">
        <v>35</v>
      </c>
      <c r="K45" s="4" t="str">
        <f t="shared" ca="1" si="1"/>
        <v>Próxima a vencer</v>
      </c>
      <c r="L45" s="8"/>
      <c r="M45" s="8">
        <v>3600000</v>
      </c>
      <c r="N45" s="4" t="s">
        <v>36</v>
      </c>
      <c r="O45" s="4" t="s">
        <v>673</v>
      </c>
      <c r="P45" s="4" t="s">
        <v>189</v>
      </c>
      <c r="Q45" s="4" t="s">
        <v>674</v>
      </c>
      <c r="R45" s="4" t="s">
        <v>662</v>
      </c>
      <c r="S45" s="4" t="s">
        <v>663</v>
      </c>
      <c r="T45" s="4" t="s">
        <v>664</v>
      </c>
      <c r="U45" s="4" t="s">
        <v>675</v>
      </c>
      <c r="V45" s="4" t="s">
        <v>767</v>
      </c>
      <c r="W45" s="4" t="s">
        <v>676</v>
      </c>
      <c r="X45" s="4" t="s">
        <v>677</v>
      </c>
      <c r="Y45" s="4" t="s">
        <v>678</v>
      </c>
      <c r="Z45" s="4" t="s">
        <v>679</v>
      </c>
      <c r="AA45" s="4"/>
      <c r="AB45" s="6">
        <v>46223</v>
      </c>
      <c r="AC45" s="4" t="s">
        <v>680</v>
      </c>
      <c r="AD45" s="4" t="s">
        <v>760</v>
      </c>
    </row>
    <row r="46" spans="1:30" ht="71.25">
      <c r="A46" s="3" t="s">
        <v>749</v>
      </c>
      <c r="B46" s="4" t="s">
        <v>42</v>
      </c>
      <c r="C46" s="4" t="s">
        <v>681</v>
      </c>
      <c r="D46" s="4" t="s">
        <v>672</v>
      </c>
      <c r="E46" s="4" t="s">
        <v>47</v>
      </c>
      <c r="F46" s="4" t="s">
        <v>32</v>
      </c>
      <c r="G46" s="6">
        <v>46226</v>
      </c>
      <c r="H46" s="4" t="s">
        <v>33</v>
      </c>
      <c r="I46" s="4" t="s">
        <v>49</v>
      </c>
      <c r="J46" s="4" t="s">
        <v>35</v>
      </c>
      <c r="K46" s="4" t="str">
        <f t="shared" ca="1" si="1"/>
        <v>Próxima a vencer</v>
      </c>
      <c r="L46" s="8"/>
      <c r="M46" s="8">
        <v>5600000</v>
      </c>
      <c r="N46" s="4" t="s">
        <v>36</v>
      </c>
      <c r="O46" s="4" t="s">
        <v>281</v>
      </c>
      <c r="P46" s="4" t="s">
        <v>189</v>
      </c>
      <c r="Q46" s="4" t="s">
        <v>682</v>
      </c>
      <c r="R46" s="4" t="s">
        <v>683</v>
      </c>
      <c r="S46" s="4" t="s">
        <v>663</v>
      </c>
      <c r="T46" s="4" t="s">
        <v>664</v>
      </c>
      <c r="U46" s="4" t="s">
        <v>675</v>
      </c>
      <c r="V46" s="4" t="s">
        <v>766</v>
      </c>
      <c r="W46" s="4" t="s">
        <v>684</v>
      </c>
      <c r="X46" s="4" t="s">
        <v>685</v>
      </c>
      <c r="Y46" s="4" t="s">
        <v>686</v>
      </c>
      <c r="Z46" s="4" t="s">
        <v>687</v>
      </c>
      <c r="AA46" s="4"/>
      <c r="AB46" s="6">
        <v>46223</v>
      </c>
      <c r="AC46" s="4" t="s">
        <v>680</v>
      </c>
      <c r="AD46" s="4" t="s">
        <v>759</v>
      </c>
    </row>
    <row r="47" spans="1:30" ht="71.25">
      <c r="A47" s="3" t="s">
        <v>750</v>
      </c>
      <c r="B47" s="4" t="s">
        <v>42</v>
      </c>
      <c r="C47" s="4" t="s">
        <v>688</v>
      </c>
      <c r="D47" s="4" t="s">
        <v>689</v>
      </c>
      <c r="E47" s="4" t="s">
        <v>31</v>
      </c>
      <c r="F47" s="4" t="s">
        <v>32</v>
      </c>
      <c r="G47" s="6">
        <v>46296</v>
      </c>
      <c r="H47" s="4" t="s">
        <v>33</v>
      </c>
      <c r="I47" s="4" t="s">
        <v>70</v>
      </c>
      <c r="J47" s="4" t="s">
        <v>35</v>
      </c>
      <c r="K47" s="4" t="str">
        <f t="shared" ca="1" si="1"/>
        <v>Abierta</v>
      </c>
      <c r="L47" s="8">
        <v>150000</v>
      </c>
      <c r="M47" s="8">
        <v>150000</v>
      </c>
      <c r="N47" s="4" t="s">
        <v>36</v>
      </c>
      <c r="O47" s="4" t="s">
        <v>188</v>
      </c>
      <c r="P47" s="4" t="s">
        <v>66</v>
      </c>
      <c r="Q47" s="4" t="s">
        <v>690</v>
      </c>
      <c r="R47" s="4" t="s">
        <v>691</v>
      </c>
      <c r="S47" s="4" t="s">
        <v>692</v>
      </c>
      <c r="T47" s="4" t="s">
        <v>693</v>
      </c>
      <c r="U47" s="4" t="s">
        <v>694</v>
      </c>
      <c r="V47" s="4" t="s">
        <v>765</v>
      </c>
      <c r="W47" s="4" t="s">
        <v>695</v>
      </c>
      <c r="X47" s="4" t="s">
        <v>696</v>
      </c>
      <c r="Y47" s="4" t="s">
        <v>697</v>
      </c>
      <c r="Z47" s="4" t="s">
        <v>698</v>
      </c>
      <c r="AA47" s="4"/>
      <c r="AB47" s="6">
        <v>46223</v>
      </c>
      <c r="AC47" s="4" t="s">
        <v>699</v>
      </c>
      <c r="AD47" s="4" t="s">
        <v>758</v>
      </c>
    </row>
    <row r="48" spans="1:30" ht="71.25">
      <c r="A48" s="3" t="s">
        <v>751</v>
      </c>
      <c r="B48" s="4" t="s">
        <v>42</v>
      </c>
      <c r="C48" s="4" t="s">
        <v>700</v>
      </c>
      <c r="D48" s="4" t="s">
        <v>701</v>
      </c>
      <c r="E48" s="4" t="s">
        <v>80</v>
      </c>
      <c r="F48" s="4" t="s">
        <v>702</v>
      </c>
      <c r="G48" s="6">
        <v>46295</v>
      </c>
      <c r="H48" s="4" t="s">
        <v>33</v>
      </c>
      <c r="I48" s="4" t="s">
        <v>34</v>
      </c>
      <c r="J48" s="4" t="s">
        <v>35</v>
      </c>
      <c r="K48" s="4" t="str">
        <f t="shared" ca="1" si="1"/>
        <v>Abierta</v>
      </c>
      <c r="L48" s="8">
        <v>20000</v>
      </c>
      <c r="M48" s="8">
        <v>20000</v>
      </c>
      <c r="N48" s="4" t="s">
        <v>71</v>
      </c>
      <c r="O48" s="4" t="s">
        <v>138</v>
      </c>
      <c r="P48" s="4" t="s">
        <v>189</v>
      </c>
      <c r="Q48" s="4" t="s">
        <v>703</v>
      </c>
      <c r="R48" s="4" t="s">
        <v>704</v>
      </c>
      <c r="S48" s="4" t="s">
        <v>187</v>
      </c>
      <c r="T48" s="4" t="s">
        <v>705</v>
      </c>
      <c r="U48" s="4" t="s">
        <v>706</v>
      </c>
      <c r="V48" s="4" t="s">
        <v>707</v>
      </c>
      <c r="W48" s="4" t="s">
        <v>708</v>
      </c>
      <c r="X48" s="4" t="s">
        <v>709</v>
      </c>
      <c r="Y48" s="4" t="s">
        <v>710</v>
      </c>
      <c r="Z48" s="4" t="s">
        <v>711</v>
      </c>
      <c r="AA48" s="4"/>
      <c r="AB48" s="6">
        <v>46223</v>
      </c>
      <c r="AC48" s="4" t="s">
        <v>701</v>
      </c>
      <c r="AD48" s="4" t="s">
        <v>757</v>
      </c>
    </row>
    <row r="49" spans="1:30" ht="71.25">
      <c r="A49" s="3" t="s">
        <v>752</v>
      </c>
      <c r="B49" s="4" t="s">
        <v>42</v>
      </c>
      <c r="C49" s="4" t="s">
        <v>712</v>
      </c>
      <c r="D49" s="4" t="s">
        <v>713</v>
      </c>
      <c r="E49" s="4" t="s">
        <v>47</v>
      </c>
      <c r="F49" s="4" t="s">
        <v>32</v>
      </c>
      <c r="G49" s="6">
        <v>46311</v>
      </c>
      <c r="H49" s="4" t="s">
        <v>33</v>
      </c>
      <c r="I49" s="4" t="s">
        <v>34</v>
      </c>
      <c r="J49" s="4" t="s">
        <v>35</v>
      </c>
      <c r="K49" s="4" t="str">
        <f t="shared" ca="1" si="1"/>
        <v>Abierta</v>
      </c>
      <c r="L49" s="8"/>
      <c r="M49" s="8">
        <v>100000</v>
      </c>
      <c r="N49" s="4" t="s">
        <v>36</v>
      </c>
      <c r="O49" s="4" t="s">
        <v>188</v>
      </c>
      <c r="P49" s="4" t="s">
        <v>37</v>
      </c>
      <c r="Q49" s="4" t="s">
        <v>714</v>
      </c>
      <c r="R49" s="4" t="s">
        <v>715</v>
      </c>
      <c r="S49" s="4" t="s">
        <v>663</v>
      </c>
      <c r="T49" s="4" t="s">
        <v>716</v>
      </c>
      <c r="U49" s="4" t="s">
        <v>717</v>
      </c>
      <c r="V49" s="4" t="s">
        <v>764</v>
      </c>
      <c r="W49" s="4" t="s">
        <v>718</v>
      </c>
      <c r="X49" s="4" t="s">
        <v>719</v>
      </c>
      <c r="Y49" s="4" t="s">
        <v>720</v>
      </c>
      <c r="Z49" s="4" t="s">
        <v>721</v>
      </c>
      <c r="AA49" s="4"/>
      <c r="AB49" s="6">
        <v>46223</v>
      </c>
      <c r="AC49" s="4" t="s">
        <v>722</v>
      </c>
      <c r="AD49" s="4" t="s">
        <v>756</v>
      </c>
    </row>
    <row r="50" spans="1:30" ht="85.5">
      <c r="A50" s="3" t="s">
        <v>753</v>
      </c>
      <c r="B50" s="4" t="s">
        <v>42</v>
      </c>
      <c r="C50" s="4" t="s">
        <v>723</v>
      </c>
      <c r="D50" s="4" t="s">
        <v>724</v>
      </c>
      <c r="E50" s="4" t="s">
        <v>31</v>
      </c>
      <c r="F50" s="4" t="s">
        <v>202</v>
      </c>
      <c r="G50" s="6">
        <v>46287</v>
      </c>
      <c r="H50" s="4" t="s">
        <v>33</v>
      </c>
      <c r="I50" s="4" t="s">
        <v>34</v>
      </c>
      <c r="J50" s="4" t="s">
        <v>35</v>
      </c>
      <c r="K50" s="4" t="str">
        <f t="shared" ca="1" si="1"/>
        <v>Abierta</v>
      </c>
      <c r="L50" s="8"/>
      <c r="M50" s="8"/>
      <c r="N50" s="4" t="s">
        <v>59</v>
      </c>
      <c r="O50" s="4" t="s">
        <v>725</v>
      </c>
      <c r="P50" s="4" t="s">
        <v>37</v>
      </c>
      <c r="Q50" s="4" t="s">
        <v>726</v>
      </c>
      <c r="R50" s="4" t="s">
        <v>727</v>
      </c>
      <c r="S50" s="4" t="s">
        <v>728</v>
      </c>
      <c r="T50" s="4" t="s">
        <v>729</v>
      </c>
      <c r="U50" s="4" t="s">
        <v>730</v>
      </c>
      <c r="V50" s="4" t="s">
        <v>763</v>
      </c>
      <c r="W50" s="4" t="s">
        <v>731</v>
      </c>
      <c r="X50" s="4" t="s">
        <v>732</v>
      </c>
      <c r="Y50" s="4" t="s">
        <v>733</v>
      </c>
      <c r="Z50" s="4" t="s">
        <v>734</v>
      </c>
      <c r="AA50" s="4"/>
      <c r="AB50" s="6">
        <v>46223</v>
      </c>
      <c r="AC50" s="4" t="s">
        <v>724</v>
      </c>
      <c r="AD50" s="4"/>
    </row>
    <row r="51" spans="1:30" ht="85.5">
      <c r="A51" s="3" t="s">
        <v>754</v>
      </c>
      <c r="B51" s="4" t="s">
        <v>42</v>
      </c>
      <c r="C51" s="4" t="s">
        <v>735</v>
      </c>
      <c r="D51" s="4" t="s">
        <v>736</v>
      </c>
      <c r="E51" s="4" t="s">
        <v>31</v>
      </c>
      <c r="F51" s="4" t="s">
        <v>737</v>
      </c>
      <c r="G51" s="6">
        <v>46418</v>
      </c>
      <c r="H51" s="4" t="s">
        <v>33</v>
      </c>
      <c r="I51" s="4" t="s">
        <v>70</v>
      </c>
      <c r="J51" s="4" t="s">
        <v>35</v>
      </c>
      <c r="K51" s="4" t="str">
        <f t="shared" ca="1" si="1"/>
        <v>Abierta</v>
      </c>
      <c r="L51" s="8">
        <v>32000</v>
      </c>
      <c r="M51" s="8">
        <v>32000</v>
      </c>
      <c r="N51" s="4" t="s">
        <v>51</v>
      </c>
      <c r="O51" s="4" t="s">
        <v>138</v>
      </c>
      <c r="P51" s="4" t="s">
        <v>66</v>
      </c>
      <c r="Q51" s="4" t="s">
        <v>738</v>
      </c>
      <c r="R51" s="4" t="s">
        <v>739</v>
      </c>
      <c r="S51" s="4" t="s">
        <v>187</v>
      </c>
      <c r="T51" s="4" t="s">
        <v>740</v>
      </c>
      <c r="U51" s="4" t="s">
        <v>741</v>
      </c>
      <c r="V51" s="4" t="s">
        <v>762</v>
      </c>
      <c r="W51" s="4" t="s">
        <v>742</v>
      </c>
      <c r="X51" s="4" t="s">
        <v>743</v>
      </c>
      <c r="Y51" s="4" t="s">
        <v>744</v>
      </c>
      <c r="Z51" s="4" t="s">
        <v>745</v>
      </c>
      <c r="AA51" s="4"/>
      <c r="AB51" s="6">
        <v>46223</v>
      </c>
      <c r="AC51" s="4" t="s">
        <v>746</v>
      </c>
      <c r="AD51" s="4" t="s">
        <v>755</v>
      </c>
    </row>
    <row r="52" spans="1:30" ht="85.5">
      <c r="A52" s="3" t="s">
        <v>817</v>
      </c>
      <c r="B52" s="4" t="s">
        <v>42</v>
      </c>
      <c r="C52" s="4" t="s">
        <v>769</v>
      </c>
      <c r="D52" s="4" t="s">
        <v>770</v>
      </c>
      <c r="E52" s="4" t="s">
        <v>47</v>
      </c>
      <c r="F52" s="4" t="s">
        <v>202</v>
      </c>
      <c r="G52" s="6">
        <v>46223</v>
      </c>
      <c r="H52" s="4" t="s">
        <v>33</v>
      </c>
      <c r="I52" s="4" t="s">
        <v>57</v>
      </c>
      <c r="J52" s="4" t="s">
        <v>35</v>
      </c>
      <c r="K52" s="4" t="str">
        <f t="shared" ca="1" si="1"/>
        <v>Próxima a vencer</v>
      </c>
      <c r="L52" s="8">
        <v>200000</v>
      </c>
      <c r="M52" s="8">
        <v>1000000</v>
      </c>
      <c r="N52" s="4" t="s">
        <v>59</v>
      </c>
      <c r="O52" s="4" t="s">
        <v>771</v>
      </c>
      <c r="P52" s="4" t="s">
        <v>37</v>
      </c>
      <c r="Q52" s="4" t="s">
        <v>772</v>
      </c>
      <c r="R52" s="4" t="s">
        <v>773</v>
      </c>
      <c r="S52" s="4" t="s">
        <v>774</v>
      </c>
      <c r="T52" s="4" t="s">
        <v>40</v>
      </c>
      <c r="U52" s="4" t="s">
        <v>775</v>
      </c>
      <c r="V52" s="4" t="s">
        <v>776</v>
      </c>
      <c r="W52" s="4" t="s">
        <v>777</v>
      </c>
      <c r="X52" s="4" t="s">
        <v>778</v>
      </c>
      <c r="Y52" s="4" t="s">
        <v>779</v>
      </c>
      <c r="Z52" s="4" t="s">
        <v>780</v>
      </c>
      <c r="AA52" s="4" t="s">
        <v>781</v>
      </c>
      <c r="AB52" s="6">
        <v>46223</v>
      </c>
      <c r="AC52" s="4" t="s">
        <v>782</v>
      </c>
      <c r="AD52" s="4" t="s">
        <v>783</v>
      </c>
    </row>
    <row r="53" spans="1:30" ht="71.25">
      <c r="A53" s="3" t="s">
        <v>818</v>
      </c>
      <c r="B53" s="4" t="s">
        <v>42</v>
      </c>
      <c r="C53" s="4" t="s">
        <v>784</v>
      </c>
      <c r="D53" s="4" t="s">
        <v>770</v>
      </c>
      <c r="E53" s="4" t="s">
        <v>47</v>
      </c>
      <c r="F53" s="4" t="s">
        <v>202</v>
      </c>
      <c r="G53" s="6">
        <v>46265</v>
      </c>
      <c r="H53" s="4" t="s">
        <v>33</v>
      </c>
      <c r="I53" s="4" t="s">
        <v>34</v>
      </c>
      <c r="J53" s="4" t="s">
        <v>35</v>
      </c>
      <c r="K53" s="4" t="str">
        <f t="shared" ca="1" si="1"/>
        <v>Abierta</v>
      </c>
      <c r="L53" s="8">
        <v>75000</v>
      </c>
      <c r="M53" s="8">
        <v>250000</v>
      </c>
      <c r="N53" s="4" t="s">
        <v>59</v>
      </c>
      <c r="O53" s="4" t="s">
        <v>533</v>
      </c>
      <c r="P53" s="4" t="s">
        <v>72</v>
      </c>
      <c r="Q53" s="4" t="s">
        <v>785</v>
      </c>
      <c r="R53" s="4" t="s">
        <v>786</v>
      </c>
      <c r="S53" s="4" t="s">
        <v>774</v>
      </c>
      <c r="T53" s="4" t="s">
        <v>40</v>
      </c>
      <c r="U53" s="4" t="s">
        <v>787</v>
      </c>
      <c r="V53" s="4" t="s">
        <v>788</v>
      </c>
      <c r="W53" s="4" t="s">
        <v>789</v>
      </c>
      <c r="X53" s="4" t="s">
        <v>790</v>
      </c>
      <c r="Y53" s="4" t="s">
        <v>791</v>
      </c>
      <c r="Z53" s="4" t="s">
        <v>792</v>
      </c>
      <c r="AA53" s="4"/>
      <c r="AB53" s="6">
        <v>46223</v>
      </c>
      <c r="AC53" s="4" t="s">
        <v>782</v>
      </c>
      <c r="AD53" s="4" t="s">
        <v>821</v>
      </c>
    </row>
    <row r="54" spans="1:30" ht="85.5">
      <c r="A54" s="3" t="s">
        <v>819</v>
      </c>
      <c r="B54" s="4" t="s">
        <v>42</v>
      </c>
      <c r="C54" s="4" t="s">
        <v>793</v>
      </c>
      <c r="D54" s="4" t="s">
        <v>794</v>
      </c>
      <c r="E54" s="4" t="s">
        <v>31</v>
      </c>
      <c r="F54" s="4" t="s">
        <v>32</v>
      </c>
      <c r="G54" s="6">
        <v>46378</v>
      </c>
      <c r="H54" s="4" t="s">
        <v>33</v>
      </c>
      <c r="I54" s="4" t="s">
        <v>49</v>
      </c>
      <c r="J54" s="4" t="s">
        <v>64</v>
      </c>
      <c r="K54" s="4" t="str">
        <f t="shared" ca="1" si="1"/>
        <v>Pendiente Apertura</v>
      </c>
      <c r="L54" s="8"/>
      <c r="M54" s="8"/>
      <c r="N54" s="4" t="s">
        <v>36</v>
      </c>
      <c r="O54" s="4" t="s">
        <v>188</v>
      </c>
      <c r="P54" s="4" t="s">
        <v>37</v>
      </c>
      <c r="Q54" s="4" t="s">
        <v>795</v>
      </c>
      <c r="R54" s="4" t="s">
        <v>796</v>
      </c>
      <c r="S54" s="4" t="s">
        <v>797</v>
      </c>
      <c r="T54" s="4" t="s">
        <v>40</v>
      </c>
      <c r="U54" s="4" t="s">
        <v>798</v>
      </c>
      <c r="V54" s="4" t="s">
        <v>799</v>
      </c>
      <c r="W54" s="4" t="s">
        <v>800</v>
      </c>
      <c r="X54" s="4" t="s">
        <v>801</v>
      </c>
      <c r="Y54" s="4" t="s">
        <v>802</v>
      </c>
      <c r="Z54" s="4" t="s">
        <v>803</v>
      </c>
      <c r="AA54" s="4"/>
      <c r="AB54" s="6">
        <v>46223</v>
      </c>
      <c r="AC54" s="4" t="s">
        <v>804</v>
      </c>
      <c r="AD54" s="4"/>
    </row>
    <row r="55" spans="1:30" ht="71.25">
      <c r="A55" s="3" t="s">
        <v>820</v>
      </c>
      <c r="B55" s="4" t="s">
        <v>42</v>
      </c>
      <c r="C55" s="4" t="s">
        <v>805</v>
      </c>
      <c r="D55" s="4" t="s">
        <v>806</v>
      </c>
      <c r="E55" s="4" t="s">
        <v>47</v>
      </c>
      <c r="F55" s="4" t="s">
        <v>32</v>
      </c>
      <c r="G55" s="6">
        <v>46295</v>
      </c>
      <c r="H55" s="4" t="s">
        <v>33</v>
      </c>
      <c r="I55" s="4" t="s">
        <v>34</v>
      </c>
      <c r="J55" s="4" t="s">
        <v>35</v>
      </c>
      <c r="K55" s="4" t="str">
        <f t="shared" ca="1" si="1"/>
        <v>Abierta</v>
      </c>
      <c r="L55" s="8"/>
      <c r="M55" s="8"/>
      <c r="N55" s="4" t="s">
        <v>36</v>
      </c>
      <c r="O55" s="4" t="s">
        <v>387</v>
      </c>
      <c r="P55" s="4" t="s">
        <v>37</v>
      </c>
      <c r="Q55" s="4" t="s">
        <v>807</v>
      </c>
      <c r="R55" s="4" t="s">
        <v>808</v>
      </c>
      <c r="S55" s="4" t="s">
        <v>663</v>
      </c>
      <c r="T55" s="4" t="s">
        <v>40</v>
      </c>
      <c r="U55" s="4" t="s">
        <v>809</v>
      </c>
      <c r="V55" s="4" t="s">
        <v>810</v>
      </c>
      <c r="W55" s="4" t="s">
        <v>811</v>
      </c>
      <c r="X55" s="4" t="s">
        <v>812</v>
      </c>
      <c r="Y55" s="4" t="s">
        <v>813</v>
      </c>
      <c r="Z55" s="4" t="s">
        <v>814</v>
      </c>
      <c r="AA55" s="4" t="s">
        <v>815</v>
      </c>
      <c r="AB55" s="6">
        <v>46223</v>
      </c>
      <c r="AC55" s="4" t="s">
        <v>816</v>
      </c>
      <c r="AD55" s="4" t="s">
        <v>822</v>
      </c>
    </row>
    <row r="56" spans="1:30" ht="114">
      <c r="A56" s="3" t="s">
        <v>888</v>
      </c>
      <c r="B56" s="4" t="s">
        <v>42</v>
      </c>
      <c r="C56" s="4" t="s">
        <v>823</v>
      </c>
      <c r="D56" s="4" t="s">
        <v>824</v>
      </c>
      <c r="E56" s="4" t="s">
        <v>31</v>
      </c>
      <c r="F56" s="4" t="s">
        <v>737</v>
      </c>
      <c r="G56" s="6"/>
      <c r="H56" s="4" t="s">
        <v>56</v>
      </c>
      <c r="I56" s="4" t="s">
        <v>49</v>
      </c>
      <c r="J56" s="4" t="s">
        <v>35</v>
      </c>
      <c r="K56" s="4" t="str">
        <f t="shared" ca="1" si="1"/>
        <v>Sin fecha</v>
      </c>
      <c r="L56" s="8"/>
      <c r="M56" s="8">
        <v>300000</v>
      </c>
      <c r="N56" s="4" t="s">
        <v>36</v>
      </c>
      <c r="O56" s="4" t="s">
        <v>825</v>
      </c>
      <c r="P56" s="4" t="s">
        <v>189</v>
      </c>
      <c r="Q56" s="4" t="s">
        <v>61</v>
      </c>
      <c r="R56" s="4" t="s">
        <v>46</v>
      </c>
      <c r="S56" s="4" t="s">
        <v>826</v>
      </c>
      <c r="T56" s="4" t="s">
        <v>40</v>
      </c>
      <c r="U56" s="4" t="s">
        <v>827</v>
      </c>
      <c r="V56" s="4" t="s">
        <v>828</v>
      </c>
      <c r="W56" s="4" t="s">
        <v>829</v>
      </c>
      <c r="X56" s="4" t="s">
        <v>830</v>
      </c>
      <c r="Y56" s="4" t="s">
        <v>831</v>
      </c>
      <c r="Z56" s="4" t="s">
        <v>832</v>
      </c>
      <c r="AA56" s="4"/>
      <c r="AB56" s="6">
        <v>46223</v>
      </c>
      <c r="AC56" s="4" t="s">
        <v>833</v>
      </c>
      <c r="AD56" s="4" t="s">
        <v>834</v>
      </c>
    </row>
    <row r="57" spans="1:30" ht="85.5">
      <c r="A57" s="3" t="s">
        <v>889</v>
      </c>
      <c r="B57" s="4" t="s">
        <v>42</v>
      </c>
      <c r="C57" s="4" t="s">
        <v>835</v>
      </c>
      <c r="D57" s="4" t="s">
        <v>836</v>
      </c>
      <c r="E57" s="4" t="s">
        <v>31</v>
      </c>
      <c r="F57" s="4" t="s">
        <v>187</v>
      </c>
      <c r="G57" s="6">
        <v>46371</v>
      </c>
      <c r="H57" s="4" t="s">
        <v>48</v>
      </c>
      <c r="I57" s="4" t="s">
        <v>70</v>
      </c>
      <c r="J57" s="4" t="s">
        <v>64</v>
      </c>
      <c r="K57" s="4" t="str">
        <f t="shared" ca="1" si="1"/>
        <v>Pendiente Apertura</v>
      </c>
      <c r="L57" s="8">
        <v>25000</v>
      </c>
      <c r="M57" s="8">
        <v>250000</v>
      </c>
      <c r="N57" s="4" t="s">
        <v>36</v>
      </c>
      <c r="O57" s="4" t="s">
        <v>837</v>
      </c>
      <c r="P57" s="4" t="s">
        <v>82</v>
      </c>
      <c r="Q57" s="4" t="s">
        <v>61</v>
      </c>
      <c r="R57" s="4" t="s">
        <v>46</v>
      </c>
      <c r="S57" s="4" t="s">
        <v>838</v>
      </c>
      <c r="T57" s="4" t="s">
        <v>40</v>
      </c>
      <c r="U57" s="4" t="s">
        <v>839</v>
      </c>
      <c r="V57" s="4" t="s">
        <v>840</v>
      </c>
      <c r="W57" s="4" t="s">
        <v>841</v>
      </c>
      <c r="X57" s="4" t="s">
        <v>842</v>
      </c>
      <c r="Y57" s="4" t="s">
        <v>843</v>
      </c>
      <c r="Z57" s="4" t="s">
        <v>844</v>
      </c>
      <c r="AA57" s="4"/>
      <c r="AB57" s="6">
        <v>46223</v>
      </c>
      <c r="AC57" s="4" t="s">
        <v>845</v>
      </c>
      <c r="AD57" s="4" t="s">
        <v>846</v>
      </c>
    </row>
    <row r="58" spans="1:30" ht="99.75">
      <c r="A58" s="3" t="s">
        <v>890</v>
      </c>
      <c r="B58" s="4" t="s">
        <v>42</v>
      </c>
      <c r="C58" s="4" t="s">
        <v>847</v>
      </c>
      <c r="D58" s="4" t="s">
        <v>848</v>
      </c>
      <c r="E58" s="4" t="s">
        <v>80</v>
      </c>
      <c r="F58" s="4" t="s">
        <v>32</v>
      </c>
      <c r="G58" s="6">
        <v>46307</v>
      </c>
      <c r="H58" s="4" t="s">
        <v>33</v>
      </c>
      <c r="I58" s="4" t="s">
        <v>70</v>
      </c>
      <c r="J58" s="4" t="s">
        <v>35</v>
      </c>
      <c r="K58" s="4" t="str">
        <f t="shared" ca="1" si="1"/>
        <v>Abierta</v>
      </c>
      <c r="L58" s="8"/>
      <c r="M58" s="8">
        <v>2500</v>
      </c>
      <c r="N58" s="4" t="s">
        <v>36</v>
      </c>
      <c r="O58" s="4" t="s">
        <v>849</v>
      </c>
      <c r="P58" s="4" t="s">
        <v>52</v>
      </c>
      <c r="Q58" s="4" t="s">
        <v>61</v>
      </c>
      <c r="R58" s="4" t="s">
        <v>74</v>
      </c>
      <c r="S58" s="4" t="s">
        <v>187</v>
      </c>
      <c r="T58" s="4" t="s">
        <v>850</v>
      </c>
      <c r="U58" s="4" t="s">
        <v>851</v>
      </c>
      <c r="V58" s="4" t="s">
        <v>852</v>
      </c>
      <c r="W58" s="4" t="s">
        <v>853</v>
      </c>
      <c r="X58" s="4" t="s">
        <v>854</v>
      </c>
      <c r="Y58" s="4" t="s">
        <v>855</v>
      </c>
      <c r="Z58" s="4" t="s">
        <v>856</v>
      </c>
      <c r="AA58" s="4" t="s">
        <v>857</v>
      </c>
      <c r="AB58" s="6">
        <v>46223</v>
      </c>
      <c r="AC58" s="4" t="s">
        <v>858</v>
      </c>
      <c r="AD58" s="4" t="s">
        <v>859</v>
      </c>
    </row>
    <row r="59" spans="1:30" ht="99.75">
      <c r="A59" s="3" t="s">
        <v>891</v>
      </c>
      <c r="B59" s="4" t="s">
        <v>42</v>
      </c>
      <c r="C59" s="4" t="s">
        <v>860</v>
      </c>
      <c r="D59" s="4" t="s">
        <v>848</v>
      </c>
      <c r="E59" s="4" t="s">
        <v>80</v>
      </c>
      <c r="F59" s="4" t="s">
        <v>32</v>
      </c>
      <c r="G59" s="6">
        <v>46307</v>
      </c>
      <c r="H59" s="4" t="s">
        <v>33</v>
      </c>
      <c r="I59" s="4" t="s">
        <v>70</v>
      </c>
      <c r="J59" s="4" t="s">
        <v>35</v>
      </c>
      <c r="K59" s="4" t="str">
        <f t="shared" ca="1" si="1"/>
        <v>Abierta</v>
      </c>
      <c r="L59" s="8"/>
      <c r="M59" s="8">
        <v>2000</v>
      </c>
      <c r="N59" s="4" t="s">
        <v>36</v>
      </c>
      <c r="O59" s="4" t="s">
        <v>387</v>
      </c>
      <c r="P59" s="4" t="s">
        <v>52</v>
      </c>
      <c r="Q59" s="4" t="s">
        <v>53</v>
      </c>
      <c r="R59" s="4" t="s">
        <v>74</v>
      </c>
      <c r="S59" s="4" t="s">
        <v>187</v>
      </c>
      <c r="T59" s="4" t="s">
        <v>850</v>
      </c>
      <c r="U59" s="4" t="s">
        <v>861</v>
      </c>
      <c r="V59" s="4" t="s">
        <v>862</v>
      </c>
      <c r="W59" s="4" t="s">
        <v>863</v>
      </c>
      <c r="X59" s="4" t="s">
        <v>864</v>
      </c>
      <c r="Y59" s="4" t="s">
        <v>865</v>
      </c>
      <c r="Z59" s="4" t="s">
        <v>866</v>
      </c>
      <c r="AA59" s="4"/>
      <c r="AB59" s="6">
        <v>46223</v>
      </c>
      <c r="AC59" s="4" t="s">
        <v>858</v>
      </c>
      <c r="AD59" s="4" t="s">
        <v>867</v>
      </c>
    </row>
    <row r="60" spans="1:30" ht="85.5">
      <c r="A60" s="3" t="s">
        <v>892</v>
      </c>
      <c r="B60" s="4" t="s">
        <v>42</v>
      </c>
      <c r="C60" s="4" t="s">
        <v>868</v>
      </c>
      <c r="D60" s="4" t="s">
        <v>869</v>
      </c>
      <c r="E60" s="4" t="s">
        <v>31</v>
      </c>
      <c r="F60" s="4" t="s">
        <v>870</v>
      </c>
      <c r="G60" s="6"/>
      <c r="H60" s="4" t="s">
        <v>56</v>
      </c>
      <c r="I60" s="4" t="s">
        <v>75</v>
      </c>
      <c r="J60" s="4" t="s">
        <v>35</v>
      </c>
      <c r="K60" s="4" t="str">
        <f t="shared" ca="1" si="1"/>
        <v>Sin fecha</v>
      </c>
      <c r="L60" s="8">
        <v>150000</v>
      </c>
      <c r="M60" s="8">
        <v>1500000</v>
      </c>
      <c r="N60" s="4" t="s">
        <v>36</v>
      </c>
      <c r="O60" s="4" t="s">
        <v>83</v>
      </c>
      <c r="P60" s="4" t="s">
        <v>60</v>
      </c>
      <c r="Q60" s="4" t="s">
        <v>83</v>
      </c>
      <c r="R60" s="4" t="s">
        <v>46</v>
      </c>
      <c r="S60" s="4" t="s">
        <v>187</v>
      </c>
      <c r="T60" s="4" t="s">
        <v>40</v>
      </c>
      <c r="U60" s="4" t="s">
        <v>871</v>
      </c>
      <c r="V60" s="4" t="s">
        <v>872</v>
      </c>
      <c r="W60" s="4" t="s">
        <v>873</v>
      </c>
      <c r="X60" s="4" t="s">
        <v>874</v>
      </c>
      <c r="Y60" s="4" t="s">
        <v>875</v>
      </c>
      <c r="Z60" s="4" t="s">
        <v>876</v>
      </c>
      <c r="AA60" s="4"/>
      <c r="AB60" s="6">
        <v>46223</v>
      </c>
      <c r="AC60" s="4" t="s">
        <v>869</v>
      </c>
      <c r="AD60" s="4" t="s">
        <v>877</v>
      </c>
    </row>
    <row r="61" spans="1:30" ht="85.5">
      <c r="A61" s="3" t="s">
        <v>893</v>
      </c>
      <c r="B61" s="4" t="s">
        <v>42</v>
      </c>
      <c r="C61" s="4" t="s">
        <v>878</v>
      </c>
      <c r="D61" s="4" t="s">
        <v>879</v>
      </c>
      <c r="E61" s="4" t="s">
        <v>80</v>
      </c>
      <c r="F61" s="4" t="s">
        <v>32</v>
      </c>
      <c r="G61" s="6">
        <v>46063</v>
      </c>
      <c r="H61" s="4" t="s">
        <v>33</v>
      </c>
      <c r="I61" s="4" t="s">
        <v>75</v>
      </c>
      <c r="J61" s="4" t="s">
        <v>50</v>
      </c>
      <c r="K61" s="4" t="str">
        <f t="shared" ca="1" si="1"/>
        <v>Cerrada</v>
      </c>
      <c r="L61" s="8"/>
      <c r="M61" s="8"/>
      <c r="N61" s="4" t="s">
        <v>36</v>
      </c>
      <c r="O61" s="4" t="s">
        <v>83</v>
      </c>
      <c r="P61" s="4" t="s">
        <v>60</v>
      </c>
      <c r="Q61" s="4" t="s">
        <v>83</v>
      </c>
      <c r="R61" s="4" t="s">
        <v>74</v>
      </c>
      <c r="S61" s="4" t="s">
        <v>187</v>
      </c>
      <c r="T61" s="4" t="s">
        <v>880</v>
      </c>
      <c r="U61" s="4" t="s">
        <v>881</v>
      </c>
      <c r="V61" s="4" t="s">
        <v>882</v>
      </c>
      <c r="W61" s="4" t="s">
        <v>883</v>
      </c>
      <c r="X61" s="4" t="s">
        <v>884</v>
      </c>
      <c r="Y61" s="4"/>
      <c r="Z61" s="4" t="s">
        <v>885</v>
      </c>
      <c r="AA61" s="4" t="s">
        <v>886</v>
      </c>
      <c r="AB61" s="6">
        <v>46223</v>
      </c>
      <c r="AC61" s="4" t="s">
        <v>879</v>
      </c>
      <c r="AD61" s="4" t="s">
        <v>887</v>
      </c>
    </row>
    <row r="62" spans="1:30" ht="71.25">
      <c r="A62" s="3" t="s">
        <v>940</v>
      </c>
      <c r="B62" s="4" t="s">
        <v>42</v>
      </c>
      <c r="C62" s="4" t="s">
        <v>894</v>
      </c>
      <c r="D62" s="4" t="s">
        <v>895</v>
      </c>
      <c r="E62" s="4" t="s">
        <v>31</v>
      </c>
      <c r="F62" s="4" t="s">
        <v>32</v>
      </c>
      <c r="G62" s="6">
        <v>46351</v>
      </c>
      <c r="H62" s="4" t="s">
        <v>33</v>
      </c>
      <c r="I62" s="4" t="s">
        <v>70</v>
      </c>
      <c r="J62" s="4" t="s">
        <v>64</v>
      </c>
      <c r="K62" s="4" t="str">
        <f t="shared" ca="1" si="1"/>
        <v>Pendiente Apertura</v>
      </c>
      <c r="L62" s="8"/>
      <c r="M62" s="8">
        <v>5500</v>
      </c>
      <c r="N62" s="4" t="s">
        <v>36</v>
      </c>
      <c r="O62" s="4" t="s">
        <v>896</v>
      </c>
      <c r="P62" s="4" t="s">
        <v>52</v>
      </c>
      <c r="Q62" s="4" t="s">
        <v>897</v>
      </c>
      <c r="R62" s="4" t="s">
        <v>898</v>
      </c>
      <c r="S62" s="4" t="s">
        <v>899</v>
      </c>
      <c r="T62" s="4" t="s">
        <v>369</v>
      </c>
      <c r="U62" s="4" t="s">
        <v>900</v>
      </c>
      <c r="V62" s="4" t="s">
        <v>901</v>
      </c>
      <c r="W62" s="4" t="s">
        <v>902</v>
      </c>
      <c r="X62" s="4" t="s">
        <v>903</v>
      </c>
      <c r="Y62" s="4" t="s">
        <v>904</v>
      </c>
      <c r="Z62" s="4" t="s">
        <v>905</v>
      </c>
      <c r="AA62" s="4"/>
      <c r="AB62" s="6">
        <v>46223</v>
      </c>
      <c r="AC62" s="4" t="s">
        <v>906</v>
      </c>
      <c r="AD62" s="4" t="s">
        <v>947</v>
      </c>
    </row>
    <row r="63" spans="1:30" ht="71.25">
      <c r="A63" s="3" t="s">
        <v>941</v>
      </c>
      <c r="B63" s="4" t="s">
        <v>42</v>
      </c>
      <c r="C63" s="4" t="s">
        <v>907</v>
      </c>
      <c r="D63" s="4" t="s">
        <v>895</v>
      </c>
      <c r="E63" s="4" t="s">
        <v>31</v>
      </c>
      <c r="F63" s="4" t="s">
        <v>32</v>
      </c>
      <c r="G63" s="6">
        <v>46295</v>
      </c>
      <c r="H63" s="4" t="s">
        <v>33</v>
      </c>
      <c r="I63" s="4" t="s">
        <v>57</v>
      </c>
      <c r="J63" s="4" t="s">
        <v>64</v>
      </c>
      <c r="K63" s="4" t="str">
        <f t="shared" ca="1" si="1"/>
        <v>Pendiente Apertura</v>
      </c>
      <c r="L63" s="8"/>
      <c r="M63" s="8"/>
      <c r="N63" s="4" t="s">
        <v>36</v>
      </c>
      <c r="O63" s="4" t="s">
        <v>908</v>
      </c>
      <c r="P63" s="4" t="s">
        <v>189</v>
      </c>
      <c r="Q63" s="4" t="s">
        <v>909</v>
      </c>
      <c r="R63" s="4" t="s">
        <v>910</v>
      </c>
      <c r="S63" s="4" t="s">
        <v>187</v>
      </c>
      <c r="T63" s="4" t="s">
        <v>911</v>
      </c>
      <c r="U63" s="4" t="s">
        <v>912</v>
      </c>
      <c r="V63" s="4" t="s">
        <v>913</v>
      </c>
      <c r="W63" s="4" t="s">
        <v>914</v>
      </c>
      <c r="X63" s="4" t="s">
        <v>915</v>
      </c>
      <c r="Y63" s="4" t="s">
        <v>916</v>
      </c>
      <c r="Z63" s="4" t="s">
        <v>917</v>
      </c>
      <c r="AA63" s="4"/>
      <c r="AB63" s="6">
        <v>46223</v>
      </c>
      <c r="AC63" s="4" t="s">
        <v>918</v>
      </c>
      <c r="AD63" s="4" t="s">
        <v>946</v>
      </c>
    </row>
    <row r="64" spans="1:30" ht="71.25">
      <c r="A64" s="3" t="s">
        <v>942</v>
      </c>
      <c r="B64" s="4" t="s">
        <v>42</v>
      </c>
      <c r="C64" s="4" t="s">
        <v>919</v>
      </c>
      <c r="D64" s="4" t="s">
        <v>920</v>
      </c>
      <c r="E64" s="4" t="s">
        <v>31</v>
      </c>
      <c r="F64" s="4" t="s">
        <v>202</v>
      </c>
      <c r="G64" s="6">
        <v>46295</v>
      </c>
      <c r="H64" s="4" t="s">
        <v>33</v>
      </c>
      <c r="I64" s="4" t="s">
        <v>70</v>
      </c>
      <c r="J64" s="4" t="s">
        <v>35</v>
      </c>
      <c r="K64" s="4" t="str">
        <f t="shared" ca="1" si="1"/>
        <v>Abierta</v>
      </c>
      <c r="L64" s="8">
        <v>100</v>
      </c>
      <c r="M64" s="8">
        <v>1000</v>
      </c>
      <c r="N64" s="4" t="s">
        <v>59</v>
      </c>
      <c r="O64" s="4" t="s">
        <v>387</v>
      </c>
      <c r="P64" s="4" t="s">
        <v>189</v>
      </c>
      <c r="Q64" s="4" t="s">
        <v>921</v>
      </c>
      <c r="R64" s="4" t="s">
        <v>74</v>
      </c>
      <c r="S64" s="4" t="s">
        <v>187</v>
      </c>
      <c r="T64" s="4" t="s">
        <v>369</v>
      </c>
      <c r="U64" s="4" t="s">
        <v>922</v>
      </c>
      <c r="V64" s="4" t="s">
        <v>923</v>
      </c>
      <c r="W64" s="4" t="s">
        <v>924</v>
      </c>
      <c r="X64" s="4" t="s">
        <v>925</v>
      </c>
      <c r="Y64" s="4" t="s">
        <v>926</v>
      </c>
      <c r="Z64" s="4" t="s">
        <v>927</v>
      </c>
      <c r="AA64" s="4"/>
      <c r="AB64" s="6">
        <v>46223</v>
      </c>
      <c r="AC64" s="4" t="s">
        <v>928</v>
      </c>
      <c r="AD64" s="4" t="s">
        <v>945</v>
      </c>
    </row>
    <row r="65" spans="1:30" ht="85.5">
      <c r="A65" s="3" t="s">
        <v>943</v>
      </c>
      <c r="B65" s="4" t="s">
        <v>42</v>
      </c>
      <c r="C65" s="4" t="s">
        <v>929</v>
      </c>
      <c r="D65" s="4" t="s">
        <v>930</v>
      </c>
      <c r="E65" s="4" t="s">
        <v>31</v>
      </c>
      <c r="F65" s="4" t="s">
        <v>32</v>
      </c>
      <c r="G65" s="6">
        <v>46255</v>
      </c>
      <c r="H65" s="4" t="s">
        <v>33</v>
      </c>
      <c r="I65" s="4" t="s">
        <v>34</v>
      </c>
      <c r="J65" s="4" t="s">
        <v>35</v>
      </c>
      <c r="K65" s="4" t="str">
        <f t="shared" ca="1" si="1"/>
        <v>Abierta</v>
      </c>
      <c r="L65" s="8"/>
      <c r="M65" s="8">
        <v>50000</v>
      </c>
      <c r="N65" s="4" t="s">
        <v>36</v>
      </c>
      <c r="O65" s="4" t="s">
        <v>931</v>
      </c>
      <c r="P65" s="4" t="s">
        <v>189</v>
      </c>
      <c r="Q65" s="4" t="s">
        <v>932</v>
      </c>
      <c r="R65" s="4" t="s">
        <v>910</v>
      </c>
      <c r="S65" s="4" t="s">
        <v>187</v>
      </c>
      <c r="T65" s="4" t="s">
        <v>369</v>
      </c>
      <c r="U65" s="4" t="s">
        <v>933</v>
      </c>
      <c r="V65" s="4" t="s">
        <v>934</v>
      </c>
      <c r="W65" s="4" t="s">
        <v>935</v>
      </c>
      <c r="X65" s="4" t="s">
        <v>936</v>
      </c>
      <c r="Y65" s="4" t="s">
        <v>937</v>
      </c>
      <c r="Z65" s="4" t="s">
        <v>938</v>
      </c>
      <c r="AA65" s="4"/>
      <c r="AB65" s="6">
        <v>46223</v>
      </c>
      <c r="AC65" s="4" t="s">
        <v>939</v>
      </c>
      <c r="AD65" s="4" t="s">
        <v>944</v>
      </c>
    </row>
    <row r="66" spans="1:30">
      <c r="A66" s="4" t="str">
        <f t="shared" ref="A65:A128" si="2">IF(C66="","","OP-"&amp;TEXT(ROW()-1,"0000"))</f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ca="1" si="1"/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si="2"/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1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2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1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2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1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2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1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2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1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2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1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2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1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2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1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2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1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2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1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2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1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2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1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2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1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2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1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2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ref="K81:K118" ca="1" si="3">IF(J81="En revisión","Pendiente Apertura",IF(J81="Cerrada","Cerrada",IF(J81="Suspendida","Suspendida",IF(G81="","Sin fecha",IF(G81&lt;TODAY(),"Vencida",IF(G81-TODAY()&lt;=30,"Próxima a vencer","Abierta"))))))</f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2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3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2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3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2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3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2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3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2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3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2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3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2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3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2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3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2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3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2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3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2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3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2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3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2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3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2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3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2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3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2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3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2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3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2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3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2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3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2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3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2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3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2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3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2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3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2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3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2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3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2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3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2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3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2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3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2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3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2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3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2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3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2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3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2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3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2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3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2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3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2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3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2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3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2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ref="K119:K127" ca="1" si="4">IF(J119="Cerrada","Cerrada",IF(J119="Suspendida","Suspendida",IF(G119="","Sin fecha",IF(G119&lt;TODAY(),"Vencida",IF(G119-TODAY()&lt;=30,"Próxima a vencer","Abierta")))))</f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2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4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2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4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2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4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2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4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2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4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2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4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2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4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2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4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2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ref="K128:K191" ca="1" si="5">IF(J128="Cerrada","Cerrada",IF(J128="Suspendida","Suspendida",IF(G128="","Sin fecha",IF(G128&lt;TODAY(),"Vencida",IF(G128-TODAY()&lt;=30,"Próxima a vencer","Abierta")))))</f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ref="A129:A192" si="6">IF(C129="","","OP-"&amp;TEXT(ROW()-1,"0000"))</f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5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6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ca="1" si="5"/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si="6"/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5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6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5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6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5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6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5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6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5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6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5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6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5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6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5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6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5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6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5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6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5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6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5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6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5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6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5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6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5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6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5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6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5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6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5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6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5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6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5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6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5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6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5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6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5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6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5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6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5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6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5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6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5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6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5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6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5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6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5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6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5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6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5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6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5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6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5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6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5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6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5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6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5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6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5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6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5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6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5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6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5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6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5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6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5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6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5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6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5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6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5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6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5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6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5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6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5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6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5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6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5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6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5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6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5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6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5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6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5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6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5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6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5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6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5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6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5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6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5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6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5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6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ref="K192:K255" ca="1" si="7">IF(J192="Cerrada","Cerrada",IF(J192="Suspendida","Suspendida",IF(G192="","Sin fecha",IF(G192&lt;TODAY(),"Vencida",IF(G192-TODAY()&lt;=30,"Próxima a vencer","Abierta")))))</f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ref="A193:A256" si="8">IF(C193="","","OP-"&amp;TEXT(ROW()-1,"0000"))</f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7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8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ca="1" si="7"/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si="8"/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7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8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7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8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7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8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7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8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7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8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7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8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7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8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7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8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7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8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7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8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7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8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7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8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7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8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7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8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7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8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7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8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7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8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7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8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7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8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7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8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7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8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7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8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7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8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7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8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7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8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7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8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7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8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7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8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7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8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7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8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7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8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7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8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7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8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7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8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7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8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7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8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7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8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7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8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7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8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7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8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7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8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7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8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7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8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7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8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7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8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7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8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7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8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7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8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7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8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7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8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7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8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7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8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7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8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7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8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7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8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7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8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7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8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7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8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7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8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7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8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7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8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ref="K256:K319" ca="1" si="9">IF(J256="Cerrada","Cerrada",IF(J256="Suspendida","Suspendida",IF(G256="","Sin fecha",IF(G256&lt;TODAY(),"Vencida",IF(G256-TODAY()&lt;=30,"Próxima a vencer","Abierta")))))</f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ref="A257:A320" si="10">IF(C257="","","OP-"&amp;TEXT(ROW()-1,"0000"))</f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9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10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ca="1" si="9"/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si="10"/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9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10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9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10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9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10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9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10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9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10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9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10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9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10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9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10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9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10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9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10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9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10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9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10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9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10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9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10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9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10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9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10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9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10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9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10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9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10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9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10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9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10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9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10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9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10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9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10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9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10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9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10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9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10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9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10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9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10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9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10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9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10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9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10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9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10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9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10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9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10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9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10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9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10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9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10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9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10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9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10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9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10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9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10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9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10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9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10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9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10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9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10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9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10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9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10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9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10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9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10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9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10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9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10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9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10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9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10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9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10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9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10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9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10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9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10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9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10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9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10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9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10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ref="K320:K383" ca="1" si="11">IF(J320="Cerrada","Cerrada",IF(J320="Suspendida","Suspendida",IF(G320="","Sin fecha",IF(G320&lt;TODAY(),"Vencida",IF(G320-TODAY()&lt;=30,"Próxima a vencer","Abierta")))))</f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ref="A321:A384" si="12">IF(C321="","","OP-"&amp;TEXT(ROW()-1,"0000"))</f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11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12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ca="1" si="11"/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si="12"/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1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2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1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2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1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2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1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2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1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2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1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2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1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2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1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2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1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2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1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2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1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2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1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2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1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2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1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2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1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2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1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2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1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2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1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2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1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2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1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2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1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2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1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2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1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2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1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2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1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2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1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2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1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2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1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2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1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2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1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2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1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2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1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2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1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2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1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2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1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2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1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2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1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2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1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2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1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2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1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2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1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2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1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2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1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2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1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2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1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2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1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2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1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2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1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2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1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2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1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2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1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2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1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2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1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2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1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2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1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2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1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2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1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2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1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2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1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2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1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2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1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2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ref="K384:K447" ca="1" si="13">IF(J384="Cerrada","Cerrada",IF(J384="Suspendida","Suspendida",IF(G384="","Sin fecha",IF(G384&lt;TODAY(),"Vencida",IF(G384-TODAY()&lt;=30,"Próxima a vencer","Abierta")))))</f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ref="A385:A448" si="14">IF(C385="","","OP-"&amp;TEXT(ROW()-1,"0000"))</f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3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4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ca="1" si="13"/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si="14"/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3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4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3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4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3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4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3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4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3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4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3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4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3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4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3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4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3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4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3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4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3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4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3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4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3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4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3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4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3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4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3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4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3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4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3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4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3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4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3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4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3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4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3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4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3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4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3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4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3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4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3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4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3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4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3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4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3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4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3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4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3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4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3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4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3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4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3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4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3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4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3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4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3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4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3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4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3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4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3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4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3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4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3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4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3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4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3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4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3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4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3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4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3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4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3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4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3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4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3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4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3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4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3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4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3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4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3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4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3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4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3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4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3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4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3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4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3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4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3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4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3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4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ref="K448:K499" ca="1" si="15">IF(J448="Cerrada","Cerrada",IF(J448="Suspendida","Suspendida",IF(G448="","Sin fecha",IF(G448&lt;TODAY(),"Vencida",IF(G448-TODAY()&lt;=30,"Próxima a vencer","Abierta")))))</f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ref="A449:A499" si="16">IF(C449="","","OP-"&amp;TEXT(ROW()-1,"0000"))</f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5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6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ca="1" si="15"/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si="16"/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5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6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5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6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5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6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5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6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5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6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5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6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5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6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5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6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5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6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5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6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5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6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5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6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5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6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5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6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5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6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5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6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5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6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5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6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5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6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5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6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5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6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5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6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5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6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5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6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5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6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5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6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5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6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5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6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5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6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5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6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5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6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5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6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5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6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5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6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5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6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5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6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5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6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5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6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5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6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5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6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5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6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5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6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5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6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5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6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5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6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5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6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5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6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5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6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5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</sheetData>
  <conditionalFormatting sqref="K2:K499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2">
    <dataValidation type="list" allowBlank="1" showInputMessage="1" showErrorMessage="1" sqref="F2:F499" xr:uid="{D276CFF5-768A-468D-9AF4-70BEFC205A95}">
      <formula1>ListaPaises</formula1>
    </dataValidation>
    <dataValidation type="date" allowBlank="1" showInputMessage="1" showErrorMessage="1" sqref="G2:G499" xr:uid="{158AF163-2C09-4CF8-8007-D423D0B61CD9}">
      <formula1>46023</formula1>
      <formula2>73050</formula2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  <hyperlink ref="Z12" r:id="rId14" xr:uid="{F872502C-FE0A-420C-B938-DBB0CD6B238C}"/>
    <hyperlink ref="Z13" r:id="rId15" xr:uid="{01F0AA5B-D78A-4F19-A009-CF0523CCB418}"/>
    <hyperlink ref="Z14" r:id="rId16" xr:uid="{D05FF4DF-1116-45D3-9B6F-8D7B84418772}"/>
    <hyperlink ref="Z15" r:id="rId17" xr:uid="{6ACE1176-275C-4722-B826-470447F186B4}"/>
    <hyperlink ref="AA15" r:id="rId18" xr:uid="{7F7B90AF-833E-443A-A46D-DBC340742EF5}"/>
    <hyperlink ref="Z16" r:id="rId19" xr:uid="{389666AF-4919-4E77-BA8F-31DD485B4348}"/>
  </hyperlinks>
  <pageMargins left="0.7" right="0.7" top="0.75" bottom="0.75" header="0.3" footer="0.3"/>
  <tableParts count="1">
    <tablePart r:id="rId20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xr:uid="{00000000-0002-0000-0000-000006000000}">
          <x14:formula1>
            <xm:f>Catálogos!$G$2:$G$9</xm:f>
          </x14:formula1>
          <xm:sqref>P11 P13 P22:P499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  <x14:dataValidation type="list" xr:uid="{A35CBE74-7E2E-474C-A170-1B3127731756}">
          <x14:formula1>
            <xm:f>Catálogos!$G$2:$G$11</xm:f>
          </x14:formula1>
          <xm:sqref>P12 P14:P21</xm:sqref>
        </x14:dataValidation>
        <x14:dataValidation type="list" xr:uid="{00000000-0002-0000-0000-000000000000}">
          <x14:formula1>
            <xm:f>Catálogos!$A$2:$A$3</xm:f>
          </x14:formula1>
          <xm:sqref>B2:B499</xm:sqref>
        </x14:dataValidation>
        <x14:dataValidation type="list" xr:uid="{00000000-0002-0000-0000-000001000000}">
          <x14:formula1>
            <xm:f>Catálogos!$B$2:$B$10</xm:f>
          </x14:formula1>
          <xm:sqref>E2:E499</xm:sqref>
        </x14:dataValidation>
        <x14:dataValidation type="list" xr:uid="{00000000-0002-0000-0000-000002000000}">
          <x14:formula1>
            <xm:f>Catálogos!$C$2:$C$5</xm:f>
          </x14:formula1>
          <xm:sqref>H2:H499</xm:sqref>
        </x14:dataValidation>
        <x14:dataValidation type="list" xr:uid="{00000000-0002-0000-0000-000003000000}">
          <x14:formula1>
            <xm:f>Catálogos!$D$2:$D$10</xm:f>
          </x14:formula1>
          <xm:sqref>I2:I499</xm:sqref>
        </x14:dataValidation>
        <x14:dataValidation type="list" xr:uid="{00000000-0002-0000-0000-000004000000}">
          <x14:formula1>
            <xm:f>Catálogos!$E$2:$E$5</xm:f>
          </x14:formula1>
          <xm:sqref>J2:J499</xm:sqref>
        </x14:dataValidation>
        <x14:dataValidation type="list" xr:uid="{00000000-0002-0000-0000-000005000000}">
          <x14:formula1>
            <xm:f>Catálogos!$F$2:$F$7</xm:f>
          </x14:formula1>
          <xm:sqref>N2:N499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J9" sqref="J9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134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135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136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187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  <c r="J7" t="s">
        <v>258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  <c r="J8" t="s">
        <v>737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2026-07-20T18:16:40Z</dcterms:modified>
</cp:coreProperties>
</file>